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V:\顧客組\"/>
    </mc:Choice>
  </mc:AlternateContent>
  <bookViews>
    <workbookView xWindow="0" yWindow="0" windowWidth="2160" windowHeight="0"/>
  </bookViews>
  <sheets>
    <sheet name="OmsControlTable" sheetId="2" r:id="rId1"/>
    <sheet name="申請CYBERARK用" sheetId="23" r:id="rId2"/>
    <sheet name="SQL" sheetId="18" r:id="rId3"/>
    <sheet name="temp2" sheetId="16" r:id="rId4"/>
    <sheet name="mailMemberList" sheetId="10" r:id="rId5"/>
    <sheet name="raw_data" sheetId="3" r:id="rId6"/>
    <sheet name="para" sheetId="12" r:id="rId7"/>
    <sheet name="交易逾時" sheetId="22" r:id="rId8"/>
  </sheets>
  <functionGroups builtInGroupCount="18"/>
  <definedNames>
    <definedName name="_xlnm._FilterDatabase" localSheetId="0" hidden="1">OmsControlTable!$A$4:$QP$742</definedName>
  </definedNames>
  <calcPr calcId="162913"/>
  <webPublishing allowPng="1" targetScreenSize="1024x768" codePage="95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8" l="1"/>
  <c r="A8" i="18"/>
  <c r="A43" i="18"/>
  <c r="A56" i="18"/>
  <c r="A57" i="18"/>
  <c r="A68" i="18"/>
  <c r="A76" i="18"/>
  <c r="A88" i="18"/>
  <c r="A97" i="18"/>
  <c r="A118" i="18"/>
  <c r="A130" i="18"/>
  <c r="A143" i="18"/>
  <c r="A150" i="18"/>
  <c r="A157" i="18"/>
  <c r="A158" i="18"/>
  <c r="A159" i="18"/>
  <c r="A160" i="18"/>
  <c r="A167" i="18"/>
  <c r="A171" i="18"/>
  <c r="A177" i="18"/>
  <c r="A185" i="18"/>
  <c r="A195" i="18"/>
  <c r="A214" i="18"/>
  <c r="A217" i="18"/>
  <c r="B1" i="2" l="1"/>
  <c r="B3" i="23" l="1"/>
  <c r="A6" i="3" l="1"/>
  <c r="C3" i="23" l="1"/>
  <c r="O346" i="2" l="1"/>
  <c r="M291" i="2" l="1"/>
  <c r="N289" i="2" l="1"/>
  <c r="N290" i="2"/>
  <c r="N291" i="2"/>
  <c r="N292" i="2"/>
  <c r="N293" i="2"/>
  <c r="N294" i="2"/>
  <c r="N295" i="2"/>
  <c r="N296" i="2"/>
  <c r="M289" i="2"/>
  <c r="M290" i="2"/>
  <c r="M292" i="2"/>
  <c r="M293" i="2"/>
  <c r="M294" i="2"/>
  <c r="M295" i="2"/>
  <c r="M296" i="2"/>
  <c r="M297" i="2" l="1"/>
  <c r="N297" i="2"/>
  <c r="M298" i="2"/>
  <c r="N298" i="2"/>
  <c r="M299" i="2"/>
  <c r="N299" i="2"/>
  <c r="M300" i="2"/>
  <c r="N300" i="2"/>
  <c r="M301" i="2"/>
  <c r="N301" i="2"/>
  <c r="M302" i="2"/>
  <c r="N302" i="2"/>
  <c r="M303" i="2"/>
  <c r="N303" i="2"/>
  <c r="M304" i="2"/>
  <c r="N304" i="2"/>
  <c r="M305" i="2"/>
  <c r="N305" i="2"/>
  <c r="M306" i="2"/>
  <c r="N306" i="2"/>
  <c r="M307" i="2"/>
  <c r="N307" i="2"/>
  <c r="M308" i="2"/>
  <c r="N308" i="2"/>
  <c r="M309" i="2"/>
  <c r="N309" i="2"/>
  <c r="M310" i="2"/>
  <c r="N310" i="2"/>
  <c r="M311" i="2"/>
  <c r="N311" i="2"/>
  <c r="M312" i="2"/>
  <c r="N312" i="2"/>
  <c r="M313" i="2"/>
  <c r="N313" i="2"/>
  <c r="M314" i="2"/>
  <c r="N314" i="2"/>
  <c r="M315" i="2"/>
  <c r="N315" i="2"/>
  <c r="M316" i="2"/>
  <c r="N316" i="2"/>
  <c r="M317" i="2"/>
  <c r="N317" i="2"/>
  <c r="M318" i="2"/>
  <c r="N318" i="2"/>
  <c r="M319" i="2"/>
  <c r="N319" i="2"/>
  <c r="M320" i="2"/>
  <c r="N320" i="2"/>
  <c r="M321" i="2"/>
  <c r="N321" i="2"/>
  <c r="M322" i="2"/>
  <c r="N322" i="2"/>
  <c r="M323" i="2"/>
  <c r="N323" i="2"/>
  <c r="M324" i="2"/>
  <c r="N324" i="2"/>
  <c r="M325" i="2"/>
  <c r="N325" i="2"/>
  <c r="M326" i="2"/>
  <c r="N326" i="2"/>
  <c r="M327" i="2"/>
  <c r="N327" i="2"/>
  <c r="M328" i="2"/>
  <c r="N328" i="2"/>
  <c r="M329" i="2"/>
  <c r="N329" i="2"/>
  <c r="M330" i="2"/>
  <c r="N330" i="2"/>
  <c r="M331" i="2"/>
  <c r="N331" i="2"/>
  <c r="M332" i="2"/>
  <c r="N332" i="2"/>
  <c r="M333" i="2"/>
  <c r="N333" i="2"/>
  <c r="M334" i="2"/>
  <c r="N334" i="2"/>
  <c r="M335" i="2"/>
  <c r="N335" i="2"/>
  <c r="M336" i="2"/>
  <c r="N336" i="2"/>
  <c r="M337" i="2"/>
  <c r="N337" i="2"/>
  <c r="M338" i="2"/>
  <c r="N338" i="2"/>
  <c r="M339" i="2"/>
  <c r="N339" i="2"/>
  <c r="M340" i="2"/>
  <c r="N340" i="2"/>
  <c r="M341" i="2"/>
  <c r="N341" i="2"/>
  <c r="M342" i="2"/>
  <c r="N342" i="2"/>
  <c r="M343" i="2"/>
  <c r="N343" i="2"/>
  <c r="M344" i="2"/>
  <c r="N344" i="2"/>
  <c r="M345" i="2"/>
  <c r="N345" i="2"/>
  <c r="M346" i="2"/>
  <c r="N346" i="2"/>
  <c r="M347" i="2"/>
  <c r="N347" i="2"/>
  <c r="M348" i="2"/>
  <c r="N348" i="2"/>
  <c r="M349" i="2"/>
  <c r="N349" i="2"/>
  <c r="M350" i="2"/>
  <c r="N350" i="2"/>
  <c r="M351" i="2"/>
  <c r="N351" i="2"/>
  <c r="M352" i="2"/>
  <c r="N352" i="2"/>
  <c r="M353" i="2"/>
  <c r="N353" i="2"/>
  <c r="M354" i="2"/>
  <c r="N354" i="2"/>
  <c r="M355" i="2"/>
  <c r="N355" i="2"/>
  <c r="M356" i="2"/>
  <c r="N356" i="2"/>
  <c r="M357" i="2"/>
  <c r="N357" i="2"/>
  <c r="M358" i="2"/>
  <c r="N358" i="2"/>
  <c r="M359" i="2"/>
  <c r="N359" i="2"/>
  <c r="M360" i="2"/>
  <c r="N360" i="2"/>
  <c r="M361" i="2"/>
  <c r="N361" i="2"/>
  <c r="M362" i="2"/>
  <c r="N362" i="2"/>
  <c r="M363" i="2"/>
  <c r="N363" i="2"/>
  <c r="M364" i="2"/>
  <c r="N364" i="2"/>
  <c r="M365" i="2"/>
  <c r="N365" i="2"/>
  <c r="M366" i="2"/>
  <c r="N366" i="2"/>
  <c r="M367" i="2"/>
  <c r="N367" i="2"/>
  <c r="M368" i="2"/>
  <c r="N368" i="2"/>
  <c r="M369" i="2"/>
  <c r="N369" i="2"/>
  <c r="M370" i="2"/>
  <c r="N370" i="2"/>
  <c r="M371" i="2"/>
  <c r="N371" i="2"/>
  <c r="M372" i="2"/>
  <c r="N372" i="2"/>
  <c r="M373" i="2"/>
  <c r="N373" i="2"/>
  <c r="M374" i="2"/>
  <c r="N374" i="2"/>
  <c r="M375" i="2"/>
  <c r="N375" i="2"/>
  <c r="M376" i="2"/>
  <c r="N376" i="2"/>
  <c r="M377" i="2"/>
  <c r="N377" i="2"/>
  <c r="M378" i="2"/>
  <c r="N378" i="2"/>
  <c r="M379" i="2"/>
  <c r="N379" i="2"/>
  <c r="M380" i="2"/>
  <c r="N380" i="2"/>
  <c r="M381" i="2"/>
  <c r="N381" i="2"/>
  <c r="M382" i="2"/>
  <c r="N382" i="2"/>
  <c r="M383" i="2"/>
  <c r="N383" i="2"/>
  <c r="M384" i="2"/>
  <c r="N384" i="2"/>
  <c r="M385" i="2"/>
  <c r="N385" i="2"/>
  <c r="M386" i="2"/>
  <c r="N386" i="2"/>
  <c r="M387" i="2"/>
  <c r="N387" i="2"/>
  <c r="M388" i="2"/>
  <c r="N388" i="2"/>
  <c r="M389" i="2"/>
  <c r="N389" i="2"/>
  <c r="M390" i="2"/>
  <c r="N390" i="2"/>
  <c r="M391" i="2"/>
  <c r="N391" i="2"/>
  <c r="M392" i="2"/>
  <c r="N392" i="2"/>
  <c r="M393" i="2"/>
  <c r="N393" i="2"/>
  <c r="M394" i="2"/>
  <c r="N394" i="2"/>
  <c r="M395" i="2"/>
  <c r="N395" i="2"/>
  <c r="M396" i="2"/>
  <c r="N396" i="2"/>
  <c r="M397" i="2"/>
  <c r="N397" i="2"/>
  <c r="M398" i="2"/>
  <c r="N398" i="2"/>
  <c r="M399" i="2"/>
  <c r="N399" i="2"/>
  <c r="M400" i="2"/>
  <c r="N400" i="2"/>
  <c r="M401" i="2"/>
  <c r="N401" i="2"/>
  <c r="M402" i="2"/>
  <c r="N402" i="2"/>
  <c r="M403" i="2"/>
  <c r="N403" i="2"/>
  <c r="M404" i="2"/>
  <c r="N404" i="2"/>
  <c r="M405" i="2"/>
  <c r="N405" i="2"/>
  <c r="M406" i="2"/>
  <c r="N406" i="2"/>
  <c r="M407" i="2"/>
  <c r="N407" i="2"/>
  <c r="M408" i="2"/>
  <c r="N408" i="2"/>
  <c r="M409" i="2"/>
  <c r="N409" i="2"/>
  <c r="M410" i="2"/>
  <c r="N410" i="2"/>
  <c r="M411" i="2"/>
  <c r="N411" i="2"/>
  <c r="M412" i="2"/>
  <c r="N412" i="2"/>
  <c r="M413" i="2"/>
  <c r="N413" i="2"/>
  <c r="M414" i="2"/>
  <c r="N414" i="2"/>
  <c r="M415" i="2"/>
  <c r="N415" i="2"/>
  <c r="M416" i="2"/>
  <c r="N416" i="2"/>
  <c r="M417" i="2"/>
  <c r="N417" i="2"/>
  <c r="M418" i="2"/>
  <c r="N418" i="2"/>
  <c r="M419" i="2"/>
  <c r="N419" i="2"/>
  <c r="M420" i="2"/>
  <c r="N420" i="2"/>
  <c r="M421" i="2"/>
  <c r="N421" i="2"/>
  <c r="M422" i="2"/>
  <c r="N422" i="2"/>
  <c r="M423" i="2"/>
  <c r="N423" i="2"/>
  <c r="M424" i="2"/>
  <c r="N424" i="2"/>
  <c r="M425" i="2"/>
  <c r="N425" i="2"/>
  <c r="M426" i="2"/>
  <c r="N426" i="2"/>
  <c r="M427" i="2"/>
  <c r="N427" i="2"/>
  <c r="M428" i="2"/>
  <c r="N428" i="2"/>
  <c r="M429" i="2"/>
  <c r="N429" i="2"/>
  <c r="M430" i="2"/>
  <c r="N430" i="2"/>
  <c r="M431" i="2"/>
  <c r="N431" i="2"/>
  <c r="M432" i="2"/>
  <c r="N432" i="2"/>
  <c r="M433" i="2"/>
  <c r="N433" i="2"/>
  <c r="M434" i="2"/>
  <c r="N434" i="2"/>
  <c r="M435" i="2"/>
  <c r="N435" i="2"/>
  <c r="M436" i="2"/>
  <c r="N436" i="2"/>
  <c r="M437" i="2"/>
  <c r="N437" i="2"/>
  <c r="M438" i="2"/>
  <c r="N438" i="2"/>
  <c r="M439" i="2"/>
  <c r="N439" i="2"/>
  <c r="M440" i="2"/>
  <c r="N440" i="2"/>
  <c r="M441" i="2"/>
  <c r="N441" i="2"/>
  <c r="M442" i="2"/>
  <c r="N442" i="2"/>
  <c r="M443" i="2"/>
  <c r="N443" i="2"/>
  <c r="M444" i="2"/>
  <c r="N444" i="2"/>
  <c r="M445" i="2"/>
  <c r="N445" i="2"/>
  <c r="M446" i="2"/>
  <c r="N446" i="2"/>
  <c r="M447" i="2"/>
  <c r="N447" i="2"/>
  <c r="M448" i="2"/>
  <c r="N448" i="2"/>
  <c r="M449" i="2"/>
  <c r="N449" i="2"/>
  <c r="M450" i="2"/>
  <c r="N450" i="2"/>
  <c r="M451" i="2"/>
  <c r="N451" i="2"/>
  <c r="M452" i="2"/>
  <c r="N452" i="2"/>
  <c r="M453" i="2"/>
  <c r="N453" i="2"/>
  <c r="M454" i="2"/>
  <c r="N454" i="2"/>
  <c r="M455" i="2"/>
  <c r="N455" i="2"/>
  <c r="M456" i="2"/>
  <c r="N456" i="2"/>
  <c r="M457" i="2"/>
  <c r="N457" i="2"/>
  <c r="M458" i="2"/>
  <c r="N458" i="2"/>
  <c r="M459" i="2"/>
  <c r="N459" i="2"/>
  <c r="M460" i="2"/>
  <c r="N460" i="2"/>
  <c r="M461" i="2"/>
  <c r="N461" i="2"/>
  <c r="M462" i="2"/>
  <c r="N462" i="2"/>
  <c r="M463" i="2"/>
  <c r="N463" i="2"/>
  <c r="M464" i="2"/>
  <c r="N464" i="2"/>
  <c r="M465" i="2"/>
  <c r="N465" i="2"/>
  <c r="M466" i="2"/>
  <c r="N466" i="2"/>
  <c r="M467" i="2"/>
  <c r="N467" i="2"/>
  <c r="M468" i="2"/>
  <c r="N468" i="2"/>
  <c r="M469" i="2"/>
  <c r="N469" i="2"/>
  <c r="M470" i="2"/>
  <c r="N470" i="2"/>
  <c r="M471" i="2"/>
  <c r="N471" i="2"/>
  <c r="M472" i="2"/>
  <c r="N472" i="2"/>
  <c r="M473" i="2"/>
  <c r="N473" i="2"/>
  <c r="M474" i="2"/>
  <c r="N474" i="2"/>
  <c r="M475" i="2"/>
  <c r="N475" i="2"/>
  <c r="M476" i="2"/>
  <c r="N476" i="2"/>
  <c r="M477" i="2"/>
  <c r="N477" i="2"/>
  <c r="M478" i="2"/>
  <c r="N478" i="2"/>
  <c r="M479" i="2"/>
  <c r="N479" i="2"/>
  <c r="M480" i="2"/>
  <c r="N480" i="2"/>
  <c r="M481" i="2"/>
  <c r="N481" i="2"/>
  <c r="M482" i="2"/>
  <c r="N482" i="2"/>
  <c r="M483" i="2"/>
  <c r="N483" i="2"/>
  <c r="M484" i="2"/>
  <c r="N484" i="2"/>
  <c r="M485" i="2"/>
  <c r="N485" i="2"/>
  <c r="M486" i="2"/>
  <c r="N486" i="2"/>
  <c r="M487" i="2"/>
  <c r="N487" i="2"/>
  <c r="M488" i="2"/>
  <c r="N488" i="2"/>
  <c r="M489" i="2"/>
  <c r="N489" i="2"/>
  <c r="M490" i="2"/>
  <c r="N490" i="2"/>
  <c r="M491" i="2"/>
  <c r="N491" i="2"/>
  <c r="M492" i="2"/>
  <c r="N492" i="2"/>
  <c r="M493" i="2"/>
  <c r="N493" i="2"/>
  <c r="M494" i="2"/>
  <c r="N494" i="2"/>
  <c r="M495" i="2"/>
  <c r="N495" i="2"/>
  <c r="M496" i="2"/>
  <c r="N496" i="2"/>
  <c r="M497" i="2"/>
  <c r="N497" i="2"/>
  <c r="M498" i="2"/>
  <c r="N498" i="2"/>
  <c r="M499" i="2"/>
  <c r="N499" i="2"/>
  <c r="M500" i="2"/>
  <c r="N500" i="2"/>
  <c r="M501" i="2"/>
  <c r="N501" i="2"/>
  <c r="M502" i="2"/>
  <c r="N502" i="2"/>
  <c r="M503" i="2"/>
  <c r="N503" i="2"/>
  <c r="M504" i="2"/>
  <c r="N504" i="2"/>
  <c r="M505" i="2"/>
  <c r="N505" i="2"/>
  <c r="M506" i="2"/>
  <c r="N506" i="2"/>
  <c r="M507" i="2"/>
  <c r="N507" i="2"/>
  <c r="M508" i="2"/>
  <c r="N508" i="2"/>
  <c r="M509" i="2"/>
  <c r="N509" i="2"/>
  <c r="M510" i="2"/>
  <c r="N510" i="2"/>
  <c r="M511" i="2"/>
  <c r="N511" i="2"/>
  <c r="M512" i="2"/>
  <c r="N512" i="2"/>
  <c r="M513" i="2"/>
  <c r="N513" i="2"/>
  <c r="M514" i="2"/>
  <c r="N514" i="2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B219" i="2" l="1"/>
  <c r="O211" i="2" l="1"/>
  <c r="O212" i="2"/>
  <c r="P212" i="2" s="1"/>
  <c r="O213" i="2"/>
  <c r="N189" i="2" l="1"/>
  <c r="N190" i="2"/>
  <c r="N191" i="2"/>
  <c r="M189" i="2"/>
  <c r="M190" i="2"/>
  <c r="M191" i="2"/>
  <c r="N192" i="2"/>
  <c r="N193" i="2"/>
  <c r="M192" i="2"/>
  <c r="M193" i="2"/>
  <c r="N194" i="2" l="1"/>
  <c r="M188" i="2"/>
  <c r="N188" i="2"/>
  <c r="N176" i="2" l="1"/>
  <c r="N177" i="2"/>
  <c r="N178" i="2"/>
  <c r="N179" i="2"/>
  <c r="N180" i="2"/>
  <c r="N181" i="2"/>
  <c r="N182" i="2"/>
  <c r="N183" i="2"/>
  <c r="N184" i="2"/>
  <c r="N185" i="2"/>
  <c r="N186" i="2"/>
  <c r="N187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7" i="2"/>
  <c r="N248" i="2"/>
  <c r="N249" i="2"/>
  <c r="N250" i="2"/>
  <c r="N251" i="2"/>
  <c r="N252" i="2"/>
  <c r="N253" i="2"/>
  <c r="N245" i="2"/>
  <c r="N254" i="2"/>
  <c r="N255" i="2"/>
  <c r="N246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113" i="2" l="1"/>
  <c r="N114" i="2"/>
  <c r="N115" i="2"/>
  <c r="N116" i="2"/>
  <c r="N117" i="2"/>
  <c r="N118" i="2"/>
  <c r="N119" i="2"/>
  <c r="N120" i="2"/>
  <c r="M114" i="2"/>
  <c r="M115" i="2"/>
  <c r="M116" i="2"/>
  <c r="M117" i="2"/>
  <c r="M119" i="2"/>
  <c r="N121" i="2" l="1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6" i="2"/>
  <c r="N137" i="2"/>
  <c r="N135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4" i="2"/>
  <c r="N175" i="2"/>
  <c r="M129" i="2"/>
  <c r="M130" i="2"/>
  <c r="M132" i="2"/>
  <c r="M134" i="2"/>
  <c r="M135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7" i="2"/>
  <c r="M248" i="2"/>
  <c r="M249" i="2"/>
  <c r="M250" i="2"/>
  <c r="M251" i="2"/>
  <c r="M252" i="2"/>
  <c r="M253" i="2"/>
  <c r="M245" i="2"/>
  <c r="M254" i="2"/>
  <c r="M255" i="2"/>
  <c r="M246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5" i="2"/>
  <c r="M96" i="2" l="1"/>
  <c r="M99" i="2"/>
  <c r="M101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94" i="2"/>
  <c r="M94" i="2"/>
  <c r="A82" i="2" l="1"/>
  <c r="B82" i="2"/>
  <c r="M82" i="2"/>
  <c r="N82" i="2"/>
  <c r="A83" i="2"/>
  <c r="B83" i="2"/>
  <c r="M83" i="2"/>
  <c r="N83" i="2"/>
  <c r="A84" i="2"/>
  <c r="B84" i="2"/>
  <c r="M84" i="2"/>
  <c r="N84" i="2"/>
  <c r="A85" i="2"/>
  <c r="B85" i="2"/>
  <c r="M85" i="2"/>
  <c r="N85" i="2"/>
  <c r="A86" i="2"/>
  <c r="B86" i="2"/>
  <c r="M86" i="2"/>
  <c r="N86" i="2"/>
  <c r="A87" i="2"/>
  <c r="B87" i="2"/>
  <c r="M87" i="2"/>
  <c r="N87" i="2"/>
  <c r="A88" i="2"/>
  <c r="B88" i="2"/>
  <c r="M88" i="2"/>
  <c r="N88" i="2"/>
  <c r="A89" i="2"/>
  <c r="B89" i="2"/>
  <c r="M89" i="2"/>
  <c r="N89" i="2"/>
  <c r="A90" i="2"/>
  <c r="B90" i="2"/>
  <c r="M90" i="2"/>
  <c r="N90" i="2"/>
  <c r="A91" i="2"/>
  <c r="B91" i="2"/>
  <c r="M91" i="2"/>
  <c r="N91" i="2"/>
  <c r="A92" i="2"/>
  <c r="B92" i="2"/>
  <c r="M92" i="2"/>
  <c r="N92" i="2"/>
  <c r="A93" i="2"/>
  <c r="B93" i="2"/>
  <c r="M93" i="2"/>
  <c r="N93" i="2"/>
  <c r="A94" i="2"/>
  <c r="B94" i="2"/>
  <c r="A95" i="2"/>
  <c r="B95" i="2"/>
  <c r="A96" i="2"/>
  <c r="B96" i="2"/>
  <c r="A97" i="2"/>
  <c r="B97" i="2"/>
  <c r="A98" i="2"/>
  <c r="B98" i="2"/>
  <c r="O98" i="2"/>
  <c r="P98" i="2" s="1"/>
  <c r="M77" i="2" l="1"/>
  <c r="M78" i="2"/>
  <c r="M79" i="2"/>
  <c r="M80" i="2"/>
  <c r="M81" i="2"/>
  <c r="O99" i="2" l="1"/>
  <c r="P99" i="2" s="1"/>
  <c r="O100" i="2"/>
  <c r="P100" i="2" s="1"/>
  <c r="O101" i="2"/>
  <c r="P101" i="2" s="1"/>
  <c r="O102" i="2"/>
  <c r="P102" i="2" s="1"/>
  <c r="O103" i="2"/>
  <c r="O104" i="2"/>
  <c r="P104" i="2" s="1"/>
  <c r="O105" i="2"/>
  <c r="P105" i="2" s="1"/>
  <c r="O106" i="2"/>
  <c r="P106" i="2" s="1"/>
  <c r="O107" i="2"/>
  <c r="P107" i="2" s="1"/>
  <c r="O108" i="2"/>
  <c r="P108" i="2" s="1"/>
  <c r="O109" i="2"/>
  <c r="P109" i="2" s="1"/>
  <c r="O110" i="2"/>
  <c r="O111" i="2"/>
  <c r="P111" i="2" s="1"/>
  <c r="O112" i="2"/>
  <c r="P112" i="2" s="1"/>
  <c r="O114" i="2"/>
  <c r="P114" i="2" s="1"/>
  <c r="O116" i="2"/>
  <c r="P116" i="2" s="1"/>
  <c r="O117" i="2"/>
  <c r="P117" i="2" s="1"/>
  <c r="O118" i="2"/>
  <c r="P118" i="2" s="1"/>
  <c r="O119" i="2"/>
  <c r="P119" i="2" s="1"/>
  <c r="O120" i="2"/>
  <c r="P120" i="2" s="1"/>
  <c r="O113" i="2"/>
  <c r="P113" i="2" s="1"/>
  <c r="O121" i="2"/>
  <c r="P121" i="2" s="1"/>
  <c r="O122" i="2"/>
  <c r="P122" i="2" s="1"/>
  <c r="O123" i="2"/>
  <c r="O124" i="2"/>
  <c r="O125" i="2"/>
  <c r="P125" i="2" s="1"/>
  <c r="O126" i="2"/>
  <c r="P126" i="2" s="1"/>
  <c r="O127" i="2"/>
  <c r="P127" i="2" s="1"/>
  <c r="O128" i="2"/>
  <c r="P128" i="2" s="1"/>
  <c r="O129" i="2"/>
  <c r="O130" i="2"/>
  <c r="O131" i="2"/>
  <c r="P131" i="2" s="1"/>
  <c r="O132" i="2"/>
  <c r="P132" i="2" s="1"/>
  <c r="O133" i="2"/>
  <c r="O134" i="2"/>
  <c r="P134" i="2" s="1"/>
  <c r="O136" i="2"/>
  <c r="P136" i="2" s="1"/>
  <c r="O137" i="2"/>
  <c r="P137" i="2" s="1"/>
  <c r="O135" i="2"/>
  <c r="P135" i="2" s="1"/>
  <c r="O138" i="2"/>
  <c r="P138" i="2" s="1"/>
  <c r="O139" i="2"/>
  <c r="P139" i="2" s="1"/>
  <c r="O140" i="2"/>
  <c r="P140" i="2" s="1"/>
  <c r="O141" i="2"/>
  <c r="P141" i="2" s="1"/>
  <c r="O142" i="2"/>
  <c r="P142" i="2" s="1"/>
  <c r="O143" i="2"/>
  <c r="P143" i="2" s="1"/>
  <c r="O144" i="2"/>
  <c r="P144" i="2" s="1"/>
  <c r="O145" i="2"/>
  <c r="P145" i="2" s="1"/>
  <c r="O146" i="2"/>
  <c r="P146" i="2" s="1"/>
  <c r="O147" i="2"/>
  <c r="P147" i="2" s="1"/>
  <c r="O148" i="2"/>
  <c r="P148" i="2" s="1"/>
  <c r="O149" i="2"/>
  <c r="P149" i="2" s="1"/>
  <c r="O150" i="2"/>
  <c r="P150" i="2" s="1"/>
  <c r="O151" i="2"/>
  <c r="P151" i="2" s="1"/>
  <c r="O152" i="2"/>
  <c r="P152" i="2" s="1"/>
  <c r="O153" i="2"/>
  <c r="P153" i="2" s="1"/>
  <c r="O154" i="2"/>
  <c r="P154" i="2" s="1"/>
  <c r="O155" i="2"/>
  <c r="P155" i="2" s="1"/>
  <c r="O156" i="2"/>
  <c r="P156" i="2" s="1"/>
  <c r="O157" i="2"/>
  <c r="P157" i="2" s="1"/>
  <c r="O158" i="2"/>
  <c r="P158" i="2" s="1"/>
  <c r="O159" i="2"/>
  <c r="P159" i="2" s="1"/>
  <c r="O160" i="2"/>
  <c r="P160" i="2" s="1"/>
  <c r="O161" i="2"/>
  <c r="P161" i="2" s="1"/>
  <c r="O162" i="2"/>
  <c r="P162" i="2" s="1"/>
  <c r="O163" i="2"/>
  <c r="P163" i="2" s="1"/>
  <c r="O164" i="2"/>
  <c r="P164" i="2" s="1"/>
  <c r="O165" i="2"/>
  <c r="P165" i="2" s="1"/>
  <c r="O166" i="2"/>
  <c r="P166" i="2" s="1"/>
  <c r="O167" i="2"/>
  <c r="P167" i="2" s="1"/>
  <c r="O168" i="2"/>
  <c r="P168" i="2" s="1"/>
  <c r="O169" i="2"/>
  <c r="P169" i="2" s="1"/>
  <c r="O170" i="2"/>
  <c r="P170" i="2" s="1"/>
  <c r="O171" i="2"/>
  <c r="P171" i="2" s="1"/>
  <c r="O172" i="2"/>
  <c r="P172" i="2" s="1"/>
  <c r="O173" i="2"/>
  <c r="P173" i="2" s="1"/>
  <c r="O174" i="2"/>
  <c r="P174" i="2" s="1"/>
  <c r="O175" i="2"/>
  <c r="P175" i="2" s="1"/>
  <c r="O176" i="2"/>
  <c r="P176" i="2" s="1"/>
  <c r="O177" i="2"/>
  <c r="P177" i="2" s="1"/>
  <c r="O178" i="2"/>
  <c r="P178" i="2" s="1"/>
  <c r="O179" i="2"/>
  <c r="P179" i="2" s="1"/>
  <c r="O180" i="2"/>
  <c r="P180" i="2" s="1"/>
  <c r="O181" i="2"/>
  <c r="P181" i="2" s="1"/>
  <c r="O182" i="2"/>
  <c r="P182" i="2" s="1"/>
  <c r="O183" i="2"/>
  <c r="P183" i="2" s="1"/>
  <c r="O184" i="2"/>
  <c r="P184" i="2" s="1"/>
  <c r="O185" i="2"/>
  <c r="P185" i="2" s="1"/>
  <c r="O186" i="2"/>
  <c r="P186" i="2" s="1"/>
  <c r="O187" i="2"/>
  <c r="O188" i="2"/>
  <c r="O189" i="2"/>
  <c r="O190" i="2"/>
  <c r="P190" i="2" s="1"/>
  <c r="O191" i="2"/>
  <c r="P191" i="2" s="1"/>
  <c r="O192" i="2"/>
  <c r="P192" i="2" s="1"/>
  <c r="O193" i="2"/>
  <c r="O194" i="2"/>
  <c r="O195" i="2"/>
  <c r="P195" i="2" s="1"/>
  <c r="O196" i="2"/>
  <c r="O197" i="2"/>
  <c r="P197" i="2" s="1"/>
  <c r="O198" i="2"/>
  <c r="P198" i="2" s="1"/>
  <c r="O199" i="2"/>
  <c r="P199" i="2" s="1"/>
  <c r="O200" i="2"/>
  <c r="P200" i="2" s="1"/>
  <c r="O201" i="2"/>
  <c r="P201" i="2" s="1"/>
  <c r="O202" i="2"/>
  <c r="P202" i="2" s="1"/>
  <c r="O203" i="2"/>
  <c r="P203" i="2" s="1"/>
  <c r="O204" i="2"/>
  <c r="P204" i="2" s="1"/>
  <c r="O205" i="2"/>
  <c r="P205" i="2" s="1"/>
  <c r="O206" i="2"/>
  <c r="P206" i="2" s="1"/>
  <c r="O207" i="2"/>
  <c r="P207" i="2" s="1"/>
  <c r="O208" i="2"/>
  <c r="P208" i="2" s="1"/>
  <c r="O209" i="2"/>
  <c r="P209" i="2" s="1"/>
  <c r="O210" i="2"/>
  <c r="P210" i="2" s="1"/>
  <c r="P211" i="2"/>
  <c r="P213" i="2"/>
  <c r="O214" i="2"/>
  <c r="P214" i="2" s="1"/>
  <c r="O215" i="2"/>
  <c r="P215" i="2" s="1"/>
  <c r="O216" i="2"/>
  <c r="P216" i="2" s="1"/>
  <c r="O217" i="2"/>
  <c r="P217" i="2" s="1"/>
  <c r="O218" i="2"/>
  <c r="P218" i="2" s="1"/>
  <c r="O219" i="2"/>
  <c r="P219" i="2" s="1"/>
  <c r="O220" i="2"/>
  <c r="P220" i="2" s="1"/>
  <c r="O221" i="2"/>
  <c r="P221" i="2" s="1"/>
  <c r="O222" i="2"/>
  <c r="P222" i="2" s="1"/>
  <c r="O223" i="2"/>
  <c r="P223" i="2" s="1"/>
  <c r="O224" i="2"/>
  <c r="P224" i="2" s="1"/>
  <c r="O225" i="2"/>
  <c r="P225" i="2" s="1"/>
  <c r="O226" i="2"/>
  <c r="P226" i="2" s="1"/>
  <c r="O227" i="2"/>
  <c r="P227" i="2" s="1"/>
  <c r="O228" i="2"/>
  <c r="P228" i="2" s="1"/>
  <c r="O229" i="2"/>
  <c r="P229" i="2" s="1"/>
  <c r="O230" i="2"/>
  <c r="P230" i="2" s="1"/>
  <c r="O231" i="2"/>
  <c r="P231" i="2" s="1"/>
  <c r="O232" i="2"/>
  <c r="P232" i="2" s="1"/>
  <c r="O233" i="2"/>
  <c r="P233" i="2" s="1"/>
  <c r="O234" i="2"/>
  <c r="P234" i="2" s="1"/>
  <c r="O235" i="2"/>
  <c r="P235" i="2" s="1"/>
  <c r="O236" i="2"/>
  <c r="P236" i="2" s="1"/>
  <c r="O237" i="2"/>
  <c r="P237" i="2" s="1"/>
  <c r="O238" i="2"/>
  <c r="P238" i="2" s="1"/>
  <c r="O239" i="2"/>
  <c r="P239" i="2" s="1"/>
  <c r="O240" i="2"/>
  <c r="P240" i="2" s="1"/>
  <c r="O241" i="2"/>
  <c r="P241" i="2" s="1"/>
  <c r="O242" i="2"/>
  <c r="P242" i="2" s="1"/>
  <c r="O243" i="2"/>
  <c r="P243" i="2" s="1"/>
  <c r="O244" i="2"/>
  <c r="P244" i="2" s="1"/>
  <c r="O247" i="2"/>
  <c r="P247" i="2" s="1"/>
  <c r="O248" i="2"/>
  <c r="P248" i="2" s="1"/>
  <c r="O249" i="2"/>
  <c r="P249" i="2" s="1"/>
  <c r="O250" i="2"/>
  <c r="P250" i="2" s="1"/>
  <c r="O251" i="2"/>
  <c r="P251" i="2" s="1"/>
  <c r="O252" i="2"/>
  <c r="P252" i="2" s="1"/>
  <c r="O253" i="2"/>
  <c r="P253" i="2" s="1"/>
  <c r="O245" i="2"/>
  <c r="P245" i="2" s="1"/>
  <c r="O254" i="2"/>
  <c r="P254" i="2" s="1"/>
  <c r="O255" i="2"/>
  <c r="P255" i="2" s="1"/>
  <c r="O246" i="2"/>
  <c r="P246" i="2" s="1"/>
  <c r="O256" i="2"/>
  <c r="P256" i="2" s="1"/>
  <c r="O257" i="2"/>
  <c r="P257" i="2" s="1"/>
  <c r="O258" i="2"/>
  <c r="P258" i="2" s="1"/>
  <c r="O259" i="2"/>
  <c r="P259" i="2" s="1"/>
  <c r="O260" i="2"/>
  <c r="P260" i="2" s="1"/>
  <c r="O261" i="2"/>
  <c r="P261" i="2" s="1"/>
  <c r="O262" i="2"/>
  <c r="P262" i="2" s="1"/>
  <c r="O263" i="2"/>
  <c r="P263" i="2" s="1"/>
  <c r="O264" i="2"/>
  <c r="P264" i="2" s="1"/>
  <c r="O265" i="2"/>
  <c r="P265" i="2" s="1"/>
  <c r="O266" i="2"/>
  <c r="P266" i="2" s="1"/>
  <c r="O267" i="2"/>
  <c r="P267" i="2" s="1"/>
  <c r="O268" i="2"/>
  <c r="P268" i="2" s="1"/>
  <c r="O269" i="2"/>
  <c r="P269" i="2" s="1"/>
  <c r="O270" i="2"/>
  <c r="P270" i="2" s="1"/>
  <c r="O271" i="2"/>
  <c r="P271" i="2" s="1"/>
  <c r="O272" i="2"/>
  <c r="P272" i="2" s="1"/>
  <c r="O273" i="2"/>
  <c r="P273" i="2" s="1"/>
  <c r="O274" i="2"/>
  <c r="P274" i="2" s="1"/>
  <c r="O275" i="2"/>
  <c r="P275" i="2" s="1"/>
  <c r="O276" i="2"/>
  <c r="P276" i="2" s="1"/>
  <c r="O277" i="2"/>
  <c r="P277" i="2" s="1"/>
  <c r="O278" i="2"/>
  <c r="P278" i="2" s="1"/>
  <c r="O279" i="2"/>
  <c r="P279" i="2" s="1"/>
  <c r="O280" i="2"/>
  <c r="P280" i="2" s="1"/>
  <c r="O281" i="2"/>
  <c r="P281" i="2" s="1"/>
  <c r="O282" i="2"/>
  <c r="P282" i="2" s="1"/>
  <c r="O283" i="2"/>
  <c r="P283" i="2" s="1"/>
  <c r="O284" i="2"/>
  <c r="P284" i="2" s="1"/>
  <c r="O285" i="2"/>
  <c r="P285" i="2" s="1"/>
  <c r="O286" i="2"/>
  <c r="P286" i="2" s="1"/>
  <c r="O287" i="2"/>
  <c r="P287" i="2" s="1"/>
  <c r="O288" i="2"/>
  <c r="P288" i="2" s="1"/>
  <c r="O289" i="2"/>
  <c r="P289" i="2" s="1"/>
  <c r="O290" i="2"/>
  <c r="P290" i="2" s="1"/>
  <c r="O291" i="2"/>
  <c r="P291" i="2" s="1"/>
  <c r="O292" i="2"/>
  <c r="P292" i="2" s="1"/>
  <c r="O293" i="2"/>
  <c r="P293" i="2" s="1"/>
  <c r="O294" i="2"/>
  <c r="P294" i="2" s="1"/>
  <c r="O295" i="2"/>
  <c r="P295" i="2" s="1"/>
  <c r="O296" i="2"/>
  <c r="P296" i="2" s="1"/>
  <c r="O297" i="2"/>
  <c r="P297" i="2" s="1"/>
  <c r="O298" i="2"/>
  <c r="P298" i="2" s="1"/>
  <c r="O299" i="2"/>
  <c r="P299" i="2" s="1"/>
  <c r="O300" i="2"/>
  <c r="P300" i="2" s="1"/>
  <c r="O301" i="2"/>
  <c r="P301" i="2" s="1"/>
  <c r="O302" i="2"/>
  <c r="P302" i="2" s="1"/>
  <c r="O303" i="2"/>
  <c r="P303" i="2" s="1"/>
  <c r="O304" i="2"/>
  <c r="P304" i="2" s="1"/>
  <c r="O305" i="2"/>
  <c r="P305" i="2" s="1"/>
  <c r="O306" i="2"/>
  <c r="P306" i="2" s="1"/>
  <c r="O307" i="2"/>
  <c r="P307" i="2" s="1"/>
  <c r="O308" i="2"/>
  <c r="P308" i="2" s="1"/>
  <c r="O309" i="2"/>
  <c r="P309" i="2" s="1"/>
  <c r="O310" i="2"/>
  <c r="P310" i="2" s="1"/>
  <c r="O311" i="2"/>
  <c r="P311" i="2" s="1"/>
  <c r="O312" i="2"/>
  <c r="P312" i="2" s="1"/>
  <c r="O313" i="2"/>
  <c r="P313" i="2" s="1"/>
  <c r="O314" i="2"/>
  <c r="P314" i="2" s="1"/>
  <c r="O315" i="2"/>
  <c r="P315" i="2" s="1"/>
  <c r="O316" i="2"/>
  <c r="P316" i="2" s="1"/>
  <c r="O317" i="2"/>
  <c r="P317" i="2" s="1"/>
  <c r="O318" i="2"/>
  <c r="P318" i="2" s="1"/>
  <c r="O319" i="2"/>
  <c r="P319" i="2" s="1"/>
  <c r="O320" i="2"/>
  <c r="P320" i="2" s="1"/>
  <c r="O321" i="2"/>
  <c r="P321" i="2" s="1"/>
  <c r="O322" i="2"/>
  <c r="P322" i="2" s="1"/>
  <c r="O323" i="2"/>
  <c r="P323" i="2" s="1"/>
  <c r="O324" i="2"/>
  <c r="P324" i="2" s="1"/>
  <c r="O325" i="2"/>
  <c r="P325" i="2" s="1"/>
  <c r="O326" i="2"/>
  <c r="P326" i="2" s="1"/>
  <c r="O327" i="2"/>
  <c r="P327" i="2" s="1"/>
  <c r="O328" i="2"/>
  <c r="P328" i="2" s="1"/>
  <c r="O329" i="2"/>
  <c r="P329" i="2" s="1"/>
  <c r="O330" i="2"/>
  <c r="P330" i="2" s="1"/>
  <c r="O331" i="2"/>
  <c r="P331" i="2" s="1"/>
  <c r="O332" i="2"/>
  <c r="P332" i="2" s="1"/>
  <c r="O333" i="2"/>
  <c r="P333" i="2" s="1"/>
  <c r="O334" i="2"/>
  <c r="P334" i="2" s="1"/>
  <c r="O335" i="2"/>
  <c r="P335" i="2" s="1"/>
  <c r="O336" i="2"/>
  <c r="P336" i="2" s="1"/>
  <c r="O337" i="2"/>
  <c r="P337" i="2" s="1"/>
  <c r="O338" i="2"/>
  <c r="P338" i="2" s="1"/>
  <c r="O339" i="2"/>
  <c r="P339" i="2" s="1"/>
  <c r="O340" i="2"/>
  <c r="P340" i="2" s="1"/>
  <c r="O341" i="2"/>
  <c r="P341" i="2" s="1"/>
  <c r="O342" i="2"/>
  <c r="P342" i="2" s="1"/>
  <c r="O343" i="2"/>
  <c r="P343" i="2" s="1"/>
  <c r="O344" i="2"/>
  <c r="P344" i="2" s="1"/>
  <c r="O345" i="2"/>
  <c r="P345" i="2" s="1"/>
  <c r="P346" i="2"/>
  <c r="O347" i="2"/>
  <c r="P347" i="2" s="1"/>
  <c r="O348" i="2"/>
  <c r="P348" i="2" s="1"/>
  <c r="O349" i="2"/>
  <c r="P349" i="2" s="1"/>
  <c r="O350" i="2"/>
  <c r="P350" i="2" s="1"/>
  <c r="O351" i="2"/>
  <c r="P351" i="2" s="1"/>
  <c r="O352" i="2"/>
  <c r="P352" i="2" s="1"/>
  <c r="O353" i="2"/>
  <c r="P353" i="2" s="1"/>
  <c r="O354" i="2"/>
  <c r="P354" i="2" s="1"/>
  <c r="O355" i="2"/>
  <c r="P355" i="2" s="1"/>
  <c r="O356" i="2"/>
  <c r="P356" i="2" s="1"/>
  <c r="O357" i="2"/>
  <c r="P357" i="2" s="1"/>
  <c r="O358" i="2"/>
  <c r="P358" i="2" s="1"/>
  <c r="O359" i="2"/>
  <c r="P359" i="2" s="1"/>
  <c r="O360" i="2"/>
  <c r="P360" i="2" s="1"/>
  <c r="O361" i="2"/>
  <c r="P361" i="2" s="1"/>
  <c r="O362" i="2"/>
  <c r="P362" i="2" s="1"/>
  <c r="O363" i="2"/>
  <c r="P363" i="2" s="1"/>
  <c r="O364" i="2"/>
  <c r="P364" i="2" s="1"/>
  <c r="O365" i="2"/>
  <c r="P365" i="2" s="1"/>
  <c r="O366" i="2"/>
  <c r="P366" i="2" s="1"/>
  <c r="O367" i="2"/>
  <c r="P367" i="2" s="1"/>
  <c r="O368" i="2"/>
  <c r="P368" i="2" s="1"/>
  <c r="O369" i="2"/>
  <c r="P369" i="2" s="1"/>
  <c r="O370" i="2"/>
  <c r="P370" i="2" s="1"/>
  <c r="O371" i="2"/>
  <c r="P371" i="2" s="1"/>
  <c r="O372" i="2"/>
  <c r="P372" i="2" s="1"/>
  <c r="O373" i="2"/>
  <c r="P373" i="2" s="1"/>
  <c r="O374" i="2"/>
  <c r="P374" i="2" s="1"/>
  <c r="O375" i="2"/>
  <c r="P375" i="2" s="1"/>
  <c r="O376" i="2"/>
  <c r="P376" i="2" s="1"/>
  <c r="O377" i="2"/>
  <c r="P377" i="2" s="1"/>
  <c r="O378" i="2"/>
  <c r="P378" i="2" s="1"/>
  <c r="O379" i="2"/>
  <c r="P379" i="2" s="1"/>
  <c r="O380" i="2"/>
  <c r="P380" i="2" s="1"/>
  <c r="O381" i="2"/>
  <c r="P381" i="2" s="1"/>
  <c r="O382" i="2"/>
  <c r="P382" i="2" s="1"/>
  <c r="O383" i="2"/>
  <c r="P383" i="2" s="1"/>
  <c r="O384" i="2"/>
  <c r="P384" i="2" s="1"/>
  <c r="O385" i="2"/>
  <c r="P385" i="2" s="1"/>
  <c r="O386" i="2"/>
  <c r="P386" i="2" s="1"/>
  <c r="O387" i="2"/>
  <c r="P387" i="2" s="1"/>
  <c r="O388" i="2"/>
  <c r="P388" i="2" s="1"/>
  <c r="O389" i="2"/>
  <c r="P389" i="2" s="1"/>
  <c r="O390" i="2"/>
  <c r="P390" i="2" s="1"/>
  <c r="O391" i="2"/>
  <c r="P391" i="2" s="1"/>
  <c r="O392" i="2"/>
  <c r="P392" i="2" s="1"/>
  <c r="O393" i="2"/>
  <c r="P393" i="2" s="1"/>
  <c r="O394" i="2"/>
  <c r="P394" i="2" s="1"/>
  <c r="O395" i="2"/>
  <c r="P395" i="2" s="1"/>
  <c r="O396" i="2"/>
  <c r="P396" i="2" s="1"/>
  <c r="O397" i="2"/>
  <c r="P397" i="2" s="1"/>
  <c r="O398" i="2"/>
  <c r="P398" i="2" s="1"/>
  <c r="O399" i="2"/>
  <c r="P399" i="2" s="1"/>
  <c r="O400" i="2"/>
  <c r="P400" i="2" s="1"/>
  <c r="O401" i="2"/>
  <c r="P401" i="2" s="1"/>
  <c r="O402" i="2"/>
  <c r="P402" i="2" s="1"/>
  <c r="O403" i="2"/>
  <c r="P403" i="2" s="1"/>
  <c r="O404" i="2"/>
  <c r="P404" i="2" s="1"/>
  <c r="O405" i="2"/>
  <c r="P405" i="2" s="1"/>
  <c r="O406" i="2"/>
  <c r="P406" i="2" s="1"/>
  <c r="O407" i="2"/>
  <c r="P407" i="2" s="1"/>
  <c r="O408" i="2"/>
  <c r="P408" i="2" s="1"/>
  <c r="O409" i="2"/>
  <c r="P409" i="2" s="1"/>
  <c r="O410" i="2"/>
  <c r="P410" i="2" s="1"/>
  <c r="O411" i="2"/>
  <c r="P411" i="2" s="1"/>
  <c r="O412" i="2"/>
  <c r="P412" i="2" s="1"/>
  <c r="O413" i="2"/>
  <c r="P413" i="2" s="1"/>
  <c r="O414" i="2"/>
  <c r="P414" i="2" s="1"/>
  <c r="O415" i="2"/>
  <c r="P415" i="2" s="1"/>
  <c r="O416" i="2"/>
  <c r="P416" i="2" s="1"/>
  <c r="O417" i="2"/>
  <c r="P417" i="2" s="1"/>
  <c r="O418" i="2"/>
  <c r="P418" i="2" s="1"/>
  <c r="O419" i="2"/>
  <c r="P419" i="2" s="1"/>
  <c r="O420" i="2"/>
  <c r="P420" i="2" s="1"/>
  <c r="O421" i="2"/>
  <c r="P421" i="2" s="1"/>
  <c r="O422" i="2"/>
  <c r="P422" i="2" s="1"/>
  <c r="O423" i="2"/>
  <c r="P423" i="2" s="1"/>
  <c r="O424" i="2"/>
  <c r="P424" i="2" s="1"/>
  <c r="O425" i="2"/>
  <c r="P425" i="2" s="1"/>
  <c r="O426" i="2"/>
  <c r="P426" i="2" s="1"/>
  <c r="O427" i="2"/>
  <c r="P427" i="2" s="1"/>
  <c r="O428" i="2"/>
  <c r="P428" i="2" s="1"/>
  <c r="O429" i="2"/>
  <c r="P429" i="2" s="1"/>
  <c r="O430" i="2"/>
  <c r="P430" i="2" s="1"/>
  <c r="O431" i="2"/>
  <c r="P431" i="2" s="1"/>
  <c r="O432" i="2"/>
  <c r="P432" i="2" s="1"/>
  <c r="O433" i="2"/>
  <c r="P433" i="2" s="1"/>
  <c r="O434" i="2"/>
  <c r="P434" i="2" s="1"/>
  <c r="O435" i="2"/>
  <c r="P435" i="2" s="1"/>
  <c r="O436" i="2"/>
  <c r="P436" i="2" s="1"/>
  <c r="O437" i="2"/>
  <c r="P437" i="2" s="1"/>
  <c r="O438" i="2"/>
  <c r="P438" i="2" s="1"/>
  <c r="O439" i="2"/>
  <c r="P439" i="2" s="1"/>
  <c r="O440" i="2"/>
  <c r="P440" i="2" s="1"/>
  <c r="O441" i="2"/>
  <c r="P441" i="2" s="1"/>
  <c r="O442" i="2"/>
  <c r="P442" i="2" s="1"/>
  <c r="O443" i="2"/>
  <c r="P443" i="2" s="1"/>
  <c r="O444" i="2"/>
  <c r="P444" i="2" s="1"/>
  <c r="O445" i="2"/>
  <c r="P445" i="2" s="1"/>
  <c r="O446" i="2"/>
  <c r="P446" i="2" s="1"/>
  <c r="O447" i="2"/>
  <c r="P447" i="2" s="1"/>
  <c r="O448" i="2"/>
  <c r="P448" i="2" s="1"/>
  <c r="O449" i="2"/>
  <c r="P449" i="2" s="1"/>
  <c r="O450" i="2"/>
  <c r="P450" i="2" s="1"/>
  <c r="O451" i="2"/>
  <c r="P451" i="2" s="1"/>
  <c r="O452" i="2"/>
  <c r="P452" i="2" s="1"/>
  <c r="O453" i="2"/>
  <c r="P453" i="2" s="1"/>
  <c r="O454" i="2"/>
  <c r="P454" i="2" s="1"/>
  <c r="O455" i="2"/>
  <c r="P455" i="2" s="1"/>
  <c r="O456" i="2"/>
  <c r="P456" i="2" s="1"/>
  <c r="O457" i="2"/>
  <c r="P457" i="2" s="1"/>
  <c r="O458" i="2"/>
  <c r="P458" i="2" s="1"/>
  <c r="O459" i="2"/>
  <c r="P459" i="2" s="1"/>
  <c r="O460" i="2"/>
  <c r="P460" i="2" s="1"/>
  <c r="O461" i="2"/>
  <c r="P461" i="2" s="1"/>
  <c r="O462" i="2"/>
  <c r="P462" i="2" s="1"/>
  <c r="O463" i="2"/>
  <c r="P463" i="2" s="1"/>
  <c r="O464" i="2"/>
  <c r="P464" i="2" s="1"/>
  <c r="O465" i="2"/>
  <c r="P465" i="2" s="1"/>
  <c r="O466" i="2"/>
  <c r="P466" i="2" s="1"/>
  <c r="O467" i="2"/>
  <c r="P467" i="2" s="1"/>
  <c r="O468" i="2"/>
  <c r="P468" i="2" s="1"/>
  <c r="O469" i="2"/>
  <c r="P469" i="2" s="1"/>
  <c r="O470" i="2"/>
  <c r="P470" i="2" s="1"/>
  <c r="O471" i="2"/>
  <c r="P471" i="2" s="1"/>
  <c r="O472" i="2"/>
  <c r="P472" i="2" s="1"/>
  <c r="O473" i="2"/>
  <c r="P473" i="2" s="1"/>
  <c r="O474" i="2"/>
  <c r="P474" i="2" s="1"/>
  <c r="O475" i="2"/>
  <c r="P475" i="2" s="1"/>
  <c r="O476" i="2"/>
  <c r="P476" i="2" s="1"/>
  <c r="O477" i="2"/>
  <c r="P477" i="2" s="1"/>
  <c r="O478" i="2"/>
  <c r="P478" i="2" s="1"/>
  <c r="O479" i="2"/>
  <c r="P479" i="2" s="1"/>
  <c r="O480" i="2"/>
  <c r="P480" i="2" s="1"/>
  <c r="O481" i="2"/>
  <c r="P481" i="2" s="1"/>
  <c r="O482" i="2"/>
  <c r="P482" i="2" s="1"/>
  <c r="O483" i="2"/>
  <c r="P483" i="2" s="1"/>
  <c r="O484" i="2"/>
  <c r="P484" i="2" s="1"/>
  <c r="O485" i="2"/>
  <c r="P485" i="2" s="1"/>
  <c r="O486" i="2"/>
  <c r="P486" i="2" s="1"/>
  <c r="O487" i="2"/>
  <c r="P487" i="2" s="1"/>
  <c r="O488" i="2"/>
  <c r="P488" i="2" s="1"/>
  <c r="O489" i="2"/>
  <c r="P489" i="2" s="1"/>
  <c r="O490" i="2"/>
  <c r="P490" i="2" s="1"/>
  <c r="O491" i="2"/>
  <c r="P491" i="2" s="1"/>
  <c r="O492" i="2"/>
  <c r="P492" i="2" s="1"/>
  <c r="O493" i="2"/>
  <c r="P493" i="2" s="1"/>
  <c r="O494" i="2"/>
  <c r="P494" i="2" s="1"/>
  <c r="O495" i="2"/>
  <c r="P495" i="2" s="1"/>
  <c r="O496" i="2"/>
  <c r="P496" i="2" s="1"/>
  <c r="O497" i="2"/>
  <c r="P497" i="2" s="1"/>
  <c r="O498" i="2"/>
  <c r="P498" i="2" s="1"/>
  <c r="O499" i="2"/>
  <c r="P499" i="2" s="1"/>
  <c r="O500" i="2"/>
  <c r="P500" i="2" s="1"/>
  <c r="O501" i="2"/>
  <c r="P501" i="2" s="1"/>
  <c r="O502" i="2"/>
  <c r="P502" i="2" s="1"/>
  <c r="O503" i="2"/>
  <c r="P503" i="2" s="1"/>
  <c r="O504" i="2"/>
  <c r="P504" i="2" s="1"/>
  <c r="O505" i="2"/>
  <c r="P505" i="2" s="1"/>
  <c r="O506" i="2"/>
  <c r="P506" i="2" s="1"/>
  <c r="O507" i="2"/>
  <c r="P507" i="2" s="1"/>
  <c r="O508" i="2"/>
  <c r="P508" i="2" s="1"/>
  <c r="O509" i="2"/>
  <c r="P509" i="2" s="1"/>
  <c r="O510" i="2"/>
  <c r="P510" i="2" s="1"/>
  <c r="O511" i="2"/>
  <c r="P511" i="2" s="1"/>
  <c r="O512" i="2"/>
  <c r="P512" i="2" s="1"/>
  <c r="O513" i="2"/>
  <c r="P513" i="2" s="1"/>
  <c r="O514" i="2"/>
  <c r="P514" i="2" s="1"/>
  <c r="O515" i="2"/>
  <c r="P515" i="2" s="1"/>
  <c r="O516" i="2"/>
  <c r="P516" i="2" s="1"/>
  <c r="O517" i="2"/>
  <c r="P517" i="2" s="1"/>
  <c r="O518" i="2"/>
  <c r="P518" i="2" s="1"/>
  <c r="O519" i="2"/>
  <c r="P519" i="2" s="1"/>
  <c r="O520" i="2"/>
  <c r="P520" i="2" s="1"/>
  <c r="O521" i="2"/>
  <c r="P521" i="2" s="1"/>
  <c r="O522" i="2"/>
  <c r="P522" i="2" s="1"/>
  <c r="O523" i="2"/>
  <c r="P523" i="2" s="1"/>
  <c r="O524" i="2"/>
  <c r="P524" i="2" s="1"/>
  <c r="O525" i="2"/>
  <c r="P525" i="2" s="1"/>
  <c r="O526" i="2"/>
  <c r="P526" i="2" s="1"/>
  <c r="O527" i="2"/>
  <c r="P527" i="2" s="1"/>
  <c r="O528" i="2"/>
  <c r="P528" i="2" s="1"/>
  <c r="O529" i="2"/>
  <c r="P529" i="2" s="1"/>
  <c r="O530" i="2"/>
  <c r="P530" i="2" s="1"/>
  <c r="O531" i="2"/>
  <c r="P531" i="2" s="1"/>
  <c r="O532" i="2"/>
  <c r="P532" i="2" s="1"/>
  <c r="O533" i="2"/>
  <c r="P533" i="2" s="1"/>
  <c r="O534" i="2"/>
  <c r="P534" i="2" s="1"/>
  <c r="O535" i="2"/>
  <c r="P535" i="2" s="1"/>
  <c r="O536" i="2"/>
  <c r="P536" i="2" s="1"/>
  <c r="O537" i="2"/>
  <c r="P537" i="2" s="1"/>
  <c r="O538" i="2"/>
  <c r="P538" i="2" s="1"/>
  <c r="O539" i="2"/>
  <c r="P539" i="2" s="1"/>
  <c r="O540" i="2"/>
  <c r="P540" i="2" s="1"/>
  <c r="O541" i="2"/>
  <c r="P541" i="2" s="1"/>
  <c r="O542" i="2"/>
  <c r="P542" i="2" s="1"/>
  <c r="O543" i="2"/>
  <c r="P543" i="2" s="1"/>
  <c r="O544" i="2"/>
  <c r="P544" i="2" s="1"/>
  <c r="O545" i="2"/>
  <c r="P545" i="2" s="1"/>
  <c r="O546" i="2"/>
  <c r="P546" i="2" s="1"/>
  <c r="O547" i="2"/>
  <c r="P547" i="2" s="1"/>
  <c r="O548" i="2"/>
  <c r="P548" i="2" s="1"/>
  <c r="O549" i="2"/>
  <c r="P549" i="2" s="1"/>
  <c r="O550" i="2"/>
  <c r="P550" i="2" s="1"/>
  <c r="O551" i="2"/>
  <c r="P551" i="2" s="1"/>
  <c r="O552" i="2"/>
  <c r="P552" i="2" s="1"/>
  <c r="O553" i="2"/>
  <c r="P553" i="2" s="1"/>
  <c r="O554" i="2"/>
  <c r="P554" i="2" s="1"/>
  <c r="O555" i="2"/>
  <c r="P555" i="2" s="1"/>
  <c r="O556" i="2"/>
  <c r="P556" i="2" s="1"/>
  <c r="O557" i="2"/>
  <c r="P557" i="2" s="1"/>
  <c r="O558" i="2"/>
  <c r="P558" i="2" s="1"/>
  <c r="O559" i="2"/>
  <c r="P559" i="2" s="1"/>
  <c r="O560" i="2"/>
  <c r="P560" i="2" s="1"/>
  <c r="O561" i="2"/>
  <c r="P561" i="2" s="1"/>
  <c r="O562" i="2"/>
  <c r="P562" i="2" s="1"/>
  <c r="O563" i="2"/>
  <c r="P563" i="2" s="1"/>
  <c r="O564" i="2"/>
  <c r="P564" i="2" s="1"/>
  <c r="O565" i="2"/>
  <c r="P565" i="2" s="1"/>
  <c r="O566" i="2"/>
  <c r="P566" i="2" s="1"/>
  <c r="O567" i="2"/>
  <c r="P567" i="2" s="1"/>
  <c r="O568" i="2"/>
  <c r="P568" i="2" s="1"/>
  <c r="O569" i="2"/>
  <c r="P569" i="2" s="1"/>
  <c r="O570" i="2"/>
  <c r="P570" i="2" s="1"/>
  <c r="O571" i="2"/>
  <c r="P571" i="2" s="1"/>
  <c r="O572" i="2"/>
  <c r="P572" i="2" s="1"/>
  <c r="O573" i="2"/>
  <c r="P573" i="2" s="1"/>
  <c r="O574" i="2"/>
  <c r="P574" i="2" s="1"/>
  <c r="O575" i="2"/>
  <c r="P575" i="2" s="1"/>
  <c r="O576" i="2"/>
  <c r="P576" i="2" s="1"/>
  <c r="O577" i="2"/>
  <c r="P577" i="2" s="1"/>
  <c r="O578" i="2"/>
  <c r="P578" i="2" s="1"/>
  <c r="O579" i="2"/>
  <c r="P579" i="2" s="1"/>
  <c r="O580" i="2"/>
  <c r="P580" i="2" s="1"/>
  <c r="O581" i="2"/>
  <c r="P581" i="2" s="1"/>
  <c r="O582" i="2"/>
  <c r="P582" i="2" s="1"/>
  <c r="O583" i="2"/>
  <c r="P583" i="2" s="1"/>
  <c r="O584" i="2"/>
  <c r="P584" i="2" s="1"/>
  <c r="O585" i="2"/>
  <c r="P585" i="2" s="1"/>
  <c r="O586" i="2"/>
  <c r="P586" i="2" s="1"/>
  <c r="O587" i="2"/>
  <c r="P587" i="2" s="1"/>
  <c r="O588" i="2"/>
  <c r="P588" i="2" s="1"/>
  <c r="O589" i="2"/>
  <c r="P589" i="2" s="1"/>
  <c r="O590" i="2"/>
  <c r="P590" i="2" s="1"/>
  <c r="O591" i="2"/>
  <c r="P591" i="2" s="1"/>
  <c r="O592" i="2"/>
  <c r="P592" i="2" s="1"/>
  <c r="O593" i="2"/>
  <c r="P593" i="2" s="1"/>
  <c r="O594" i="2"/>
  <c r="P594" i="2" s="1"/>
  <c r="O595" i="2"/>
  <c r="P595" i="2" s="1"/>
  <c r="O596" i="2"/>
  <c r="P596" i="2" s="1"/>
  <c r="O597" i="2"/>
  <c r="P597" i="2" s="1"/>
  <c r="O598" i="2"/>
  <c r="P598" i="2" s="1"/>
  <c r="O599" i="2"/>
  <c r="P599" i="2" s="1"/>
  <c r="O600" i="2"/>
  <c r="P600" i="2" s="1"/>
  <c r="O601" i="2"/>
  <c r="P601" i="2" s="1"/>
  <c r="O602" i="2"/>
  <c r="P602" i="2" s="1"/>
  <c r="O603" i="2"/>
  <c r="P603" i="2" s="1"/>
  <c r="O604" i="2"/>
  <c r="P604" i="2" s="1"/>
  <c r="O605" i="2"/>
  <c r="P605" i="2" s="1"/>
  <c r="O606" i="2"/>
  <c r="P606" i="2" s="1"/>
  <c r="O607" i="2"/>
  <c r="P607" i="2" s="1"/>
  <c r="O608" i="2"/>
  <c r="P608" i="2" s="1"/>
  <c r="O609" i="2"/>
  <c r="P609" i="2" s="1"/>
  <c r="O610" i="2"/>
  <c r="P610" i="2" s="1"/>
  <c r="O611" i="2"/>
  <c r="P611" i="2" s="1"/>
  <c r="O612" i="2"/>
  <c r="P612" i="2" s="1"/>
  <c r="O613" i="2"/>
  <c r="P613" i="2" s="1"/>
  <c r="O614" i="2"/>
  <c r="P614" i="2" s="1"/>
  <c r="O615" i="2"/>
  <c r="P615" i="2" s="1"/>
  <c r="O616" i="2"/>
  <c r="P616" i="2" s="1"/>
  <c r="O617" i="2"/>
  <c r="P617" i="2" s="1"/>
  <c r="O618" i="2"/>
  <c r="P618" i="2" s="1"/>
  <c r="O619" i="2"/>
  <c r="P619" i="2" s="1"/>
  <c r="O620" i="2"/>
  <c r="P620" i="2" s="1"/>
  <c r="O621" i="2"/>
  <c r="P621" i="2" s="1"/>
  <c r="O622" i="2"/>
  <c r="P622" i="2" s="1"/>
  <c r="O623" i="2"/>
  <c r="P623" i="2" s="1"/>
  <c r="O624" i="2"/>
  <c r="P624" i="2" s="1"/>
  <c r="O625" i="2"/>
  <c r="P625" i="2" s="1"/>
  <c r="O626" i="2"/>
  <c r="P626" i="2" s="1"/>
  <c r="O627" i="2"/>
  <c r="P627" i="2" s="1"/>
  <c r="O628" i="2"/>
  <c r="P628" i="2" s="1"/>
  <c r="O629" i="2"/>
  <c r="P629" i="2" s="1"/>
  <c r="O630" i="2"/>
  <c r="P630" i="2" s="1"/>
  <c r="O631" i="2"/>
  <c r="P631" i="2" s="1"/>
  <c r="O632" i="2"/>
  <c r="P632" i="2" s="1"/>
  <c r="O633" i="2"/>
  <c r="P633" i="2" s="1"/>
  <c r="O634" i="2"/>
  <c r="P634" i="2" s="1"/>
  <c r="O635" i="2"/>
  <c r="P635" i="2" s="1"/>
  <c r="O636" i="2"/>
  <c r="P636" i="2" s="1"/>
  <c r="O637" i="2"/>
  <c r="P637" i="2" s="1"/>
  <c r="O638" i="2"/>
  <c r="P638" i="2" s="1"/>
  <c r="O639" i="2"/>
  <c r="P639" i="2" s="1"/>
  <c r="O640" i="2"/>
  <c r="P640" i="2" s="1"/>
  <c r="O641" i="2"/>
  <c r="P641" i="2" s="1"/>
  <c r="O642" i="2"/>
  <c r="P642" i="2" s="1"/>
  <c r="O643" i="2"/>
  <c r="P643" i="2" s="1"/>
  <c r="O644" i="2"/>
  <c r="P644" i="2" s="1"/>
  <c r="O645" i="2"/>
  <c r="P645" i="2" s="1"/>
  <c r="O646" i="2"/>
  <c r="P646" i="2" s="1"/>
  <c r="O647" i="2"/>
  <c r="P647" i="2" s="1"/>
  <c r="O648" i="2"/>
  <c r="P648" i="2" s="1"/>
  <c r="O649" i="2"/>
  <c r="P649" i="2" s="1"/>
  <c r="O650" i="2"/>
  <c r="P650" i="2" s="1"/>
  <c r="O651" i="2"/>
  <c r="P651" i="2" s="1"/>
  <c r="O652" i="2"/>
  <c r="P652" i="2" s="1"/>
  <c r="O653" i="2"/>
  <c r="P653" i="2" s="1"/>
  <c r="O654" i="2"/>
  <c r="P654" i="2" s="1"/>
  <c r="O655" i="2"/>
  <c r="P655" i="2" s="1"/>
  <c r="O656" i="2"/>
  <c r="P656" i="2" s="1"/>
  <c r="O657" i="2"/>
  <c r="P657" i="2" s="1"/>
  <c r="O658" i="2"/>
  <c r="P658" i="2" s="1"/>
  <c r="O659" i="2"/>
  <c r="P659" i="2" s="1"/>
  <c r="O660" i="2"/>
  <c r="P660" i="2" s="1"/>
  <c r="O661" i="2"/>
  <c r="P661" i="2" s="1"/>
  <c r="O662" i="2"/>
  <c r="P662" i="2" s="1"/>
  <c r="O663" i="2"/>
  <c r="P663" i="2" s="1"/>
  <c r="O664" i="2"/>
  <c r="P664" i="2" s="1"/>
  <c r="O665" i="2"/>
  <c r="P665" i="2" s="1"/>
  <c r="O666" i="2"/>
  <c r="P666" i="2" s="1"/>
  <c r="O667" i="2"/>
  <c r="P667" i="2" s="1"/>
  <c r="O668" i="2"/>
  <c r="P668" i="2" s="1"/>
  <c r="O669" i="2"/>
  <c r="P669" i="2" s="1"/>
  <c r="O670" i="2"/>
  <c r="P670" i="2" s="1"/>
  <c r="O671" i="2"/>
  <c r="P671" i="2" s="1"/>
  <c r="O672" i="2"/>
  <c r="P672" i="2" s="1"/>
  <c r="O673" i="2"/>
  <c r="P673" i="2" s="1"/>
  <c r="O674" i="2"/>
  <c r="P674" i="2" s="1"/>
  <c r="O675" i="2"/>
  <c r="P675" i="2" s="1"/>
  <c r="O676" i="2"/>
  <c r="P676" i="2" s="1"/>
  <c r="O677" i="2"/>
  <c r="P677" i="2" s="1"/>
  <c r="O678" i="2"/>
  <c r="P678" i="2" s="1"/>
  <c r="O679" i="2"/>
  <c r="P679" i="2" s="1"/>
  <c r="O680" i="2"/>
  <c r="P680" i="2" s="1"/>
  <c r="O681" i="2"/>
  <c r="P681" i="2" s="1"/>
  <c r="O682" i="2"/>
  <c r="P682" i="2" s="1"/>
  <c r="O683" i="2"/>
  <c r="P683" i="2" s="1"/>
  <c r="O684" i="2"/>
  <c r="P684" i="2" s="1"/>
  <c r="O685" i="2"/>
  <c r="P685" i="2" s="1"/>
  <c r="O686" i="2"/>
  <c r="P686" i="2" s="1"/>
  <c r="O687" i="2"/>
  <c r="P687" i="2" s="1"/>
  <c r="O688" i="2"/>
  <c r="P688" i="2" s="1"/>
  <c r="O689" i="2"/>
  <c r="P689" i="2" s="1"/>
  <c r="O690" i="2"/>
  <c r="P690" i="2" s="1"/>
  <c r="O691" i="2"/>
  <c r="P691" i="2" s="1"/>
  <c r="O692" i="2"/>
  <c r="P692" i="2" s="1"/>
  <c r="O693" i="2"/>
  <c r="P693" i="2" s="1"/>
  <c r="O694" i="2"/>
  <c r="P694" i="2" s="1"/>
  <c r="O695" i="2"/>
  <c r="P695" i="2" s="1"/>
  <c r="O696" i="2"/>
  <c r="P696" i="2" s="1"/>
  <c r="O697" i="2"/>
  <c r="P697" i="2" s="1"/>
  <c r="O698" i="2"/>
  <c r="P698" i="2" s="1"/>
  <c r="O699" i="2"/>
  <c r="P699" i="2" s="1"/>
  <c r="O700" i="2"/>
  <c r="P700" i="2" s="1"/>
  <c r="O701" i="2"/>
  <c r="P701" i="2" s="1"/>
  <c r="O702" i="2"/>
  <c r="P702" i="2" s="1"/>
  <c r="O703" i="2"/>
  <c r="P703" i="2" s="1"/>
  <c r="O704" i="2"/>
  <c r="P704" i="2" s="1"/>
  <c r="O705" i="2"/>
  <c r="P705" i="2" s="1"/>
  <c r="O706" i="2"/>
  <c r="P706" i="2" s="1"/>
  <c r="O707" i="2"/>
  <c r="P707" i="2" s="1"/>
  <c r="O708" i="2"/>
  <c r="P708" i="2" s="1"/>
  <c r="O709" i="2"/>
  <c r="P709" i="2" s="1"/>
  <c r="O710" i="2"/>
  <c r="P710" i="2" s="1"/>
  <c r="O711" i="2"/>
  <c r="P711" i="2" s="1"/>
  <c r="O712" i="2"/>
  <c r="P712" i="2" s="1"/>
  <c r="O713" i="2"/>
  <c r="P713" i="2" s="1"/>
  <c r="O714" i="2"/>
  <c r="P714" i="2" s="1"/>
  <c r="O715" i="2"/>
  <c r="P715" i="2" s="1"/>
  <c r="O716" i="2"/>
  <c r="P716" i="2" s="1"/>
  <c r="O717" i="2"/>
  <c r="P717" i="2" s="1"/>
  <c r="O718" i="2"/>
  <c r="P718" i="2" s="1"/>
  <c r="O719" i="2"/>
  <c r="P719" i="2" s="1"/>
  <c r="O720" i="2"/>
  <c r="P720" i="2" s="1"/>
  <c r="O721" i="2"/>
  <c r="P721" i="2" s="1"/>
  <c r="O722" i="2"/>
  <c r="P722" i="2" s="1"/>
  <c r="O723" i="2"/>
  <c r="P723" i="2" s="1"/>
  <c r="O724" i="2"/>
  <c r="P724" i="2" s="1"/>
  <c r="O725" i="2"/>
  <c r="P725" i="2" s="1"/>
  <c r="O726" i="2"/>
  <c r="P726" i="2" s="1"/>
  <c r="O727" i="2"/>
  <c r="P727" i="2" s="1"/>
  <c r="O728" i="2"/>
  <c r="P728" i="2" s="1"/>
  <c r="O729" i="2"/>
  <c r="P729" i="2" s="1"/>
  <c r="O730" i="2"/>
  <c r="P730" i="2" s="1"/>
  <c r="O731" i="2"/>
  <c r="P731" i="2" s="1"/>
  <c r="O732" i="2"/>
  <c r="P732" i="2" s="1"/>
  <c r="O733" i="2"/>
  <c r="P733" i="2" s="1"/>
  <c r="O734" i="2"/>
  <c r="P734" i="2" s="1"/>
  <c r="O735" i="2"/>
  <c r="P735" i="2" s="1"/>
  <c r="O736" i="2"/>
  <c r="P736" i="2" s="1"/>
  <c r="O737" i="2"/>
  <c r="P737" i="2" s="1"/>
  <c r="O738" i="2"/>
  <c r="P738" i="2" s="1"/>
  <c r="O739" i="2"/>
  <c r="P739" i="2" s="1"/>
  <c r="O740" i="2"/>
  <c r="P740" i="2" s="1"/>
  <c r="O741" i="2"/>
  <c r="P741" i="2" s="1"/>
  <c r="O742" i="2"/>
  <c r="P742" i="2" s="1"/>
  <c r="N5" i="2" l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B70" i="2" l="1"/>
  <c r="B68" i="2" l="1"/>
  <c r="B69" i="2"/>
  <c r="J32" i="10" l="1"/>
  <c r="J31" i="10"/>
  <c r="J30" i="10"/>
  <c r="J29" i="10"/>
  <c r="J28" i="10"/>
  <c r="J27" i="10"/>
  <c r="A7" i="3" l="1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36" i="2" l="1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A69" i="2"/>
  <c r="A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4" i="2"/>
  <c r="B114" i="2"/>
  <c r="A116" i="2"/>
  <c r="B116" i="2"/>
  <c r="A117" i="2"/>
  <c r="B117" i="2"/>
  <c r="A118" i="2"/>
  <c r="B118" i="2"/>
  <c r="A119" i="2"/>
  <c r="B119" i="2"/>
  <c r="A120" i="2"/>
  <c r="B120" i="2"/>
  <c r="A113" i="2"/>
  <c r="B113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6" i="2"/>
  <c r="B136" i="2"/>
  <c r="A137" i="2"/>
  <c r="B137" i="2"/>
  <c r="A135" i="2"/>
  <c r="B135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A201" i="2"/>
  <c r="B201" i="2"/>
  <c r="A202" i="2"/>
  <c r="B202" i="2"/>
  <c r="A203" i="2"/>
  <c r="B203" i="2"/>
  <c r="A204" i="2"/>
  <c r="B204" i="2"/>
  <c r="A205" i="2"/>
  <c r="B205" i="2"/>
  <c r="A206" i="2"/>
  <c r="B206" i="2"/>
  <c r="A207" i="2"/>
  <c r="B207" i="2"/>
  <c r="A208" i="2"/>
  <c r="B208" i="2"/>
  <c r="A209" i="2"/>
  <c r="B209" i="2"/>
  <c r="A210" i="2"/>
  <c r="B210" i="2"/>
  <c r="A211" i="2"/>
  <c r="B211" i="2"/>
  <c r="A212" i="2"/>
  <c r="B212" i="2"/>
  <c r="A213" i="2"/>
  <c r="B213" i="2"/>
  <c r="A214" i="2"/>
  <c r="B214" i="2"/>
  <c r="A215" i="2"/>
  <c r="B215" i="2"/>
  <c r="A216" i="2"/>
  <c r="B216" i="2"/>
  <c r="A217" i="2"/>
  <c r="B217" i="2"/>
  <c r="A218" i="2"/>
  <c r="B218" i="2"/>
  <c r="A219" i="2"/>
  <c r="A220" i="2"/>
  <c r="B220" i="2"/>
  <c r="A221" i="2"/>
  <c r="B221" i="2"/>
  <c r="A222" i="2"/>
  <c r="B222" i="2"/>
  <c r="A223" i="2"/>
  <c r="B223" i="2"/>
  <c r="A224" i="2"/>
  <c r="B224" i="2"/>
  <c r="A225" i="2"/>
  <c r="B225" i="2"/>
  <c r="A226" i="2"/>
  <c r="B226" i="2"/>
  <c r="A227" i="2"/>
  <c r="B227" i="2"/>
  <c r="A228" i="2"/>
  <c r="B228" i="2"/>
  <c r="A229" i="2"/>
  <c r="B229" i="2"/>
  <c r="A230" i="2"/>
  <c r="B230" i="2"/>
  <c r="A231" i="2"/>
  <c r="B231" i="2"/>
  <c r="A232" i="2"/>
  <c r="B232" i="2"/>
  <c r="A233" i="2"/>
  <c r="B233" i="2"/>
  <c r="A234" i="2"/>
  <c r="B234" i="2"/>
  <c r="A235" i="2"/>
  <c r="B235" i="2"/>
  <c r="A236" i="2"/>
  <c r="B236" i="2"/>
  <c r="A237" i="2"/>
  <c r="B237" i="2"/>
  <c r="A238" i="2"/>
  <c r="B238" i="2"/>
  <c r="A239" i="2"/>
  <c r="B239" i="2"/>
  <c r="A240" i="2"/>
  <c r="B240" i="2"/>
  <c r="A241" i="2"/>
  <c r="B241" i="2"/>
  <c r="A242" i="2"/>
  <c r="B242" i="2"/>
  <c r="A243" i="2"/>
  <c r="B243" i="2"/>
  <c r="A244" i="2"/>
  <c r="B244" i="2"/>
  <c r="A247" i="2"/>
  <c r="B247" i="2"/>
  <c r="A248" i="2"/>
  <c r="B248" i="2"/>
  <c r="A249" i="2"/>
  <c r="B249" i="2"/>
  <c r="A250" i="2"/>
  <c r="B250" i="2"/>
  <c r="A251" i="2"/>
  <c r="B251" i="2"/>
  <c r="A252" i="2"/>
  <c r="B252" i="2"/>
  <c r="A253" i="2"/>
  <c r="B253" i="2"/>
  <c r="A245" i="2"/>
  <c r="B245" i="2"/>
  <c r="A254" i="2"/>
  <c r="B254" i="2"/>
  <c r="A255" i="2"/>
  <c r="B255" i="2"/>
  <c r="A246" i="2"/>
  <c r="B246" i="2"/>
  <c r="A256" i="2"/>
  <c r="B256" i="2"/>
  <c r="A257" i="2"/>
  <c r="B257" i="2"/>
  <c r="A258" i="2"/>
  <c r="B258" i="2"/>
  <c r="A259" i="2"/>
  <c r="B259" i="2"/>
  <c r="A260" i="2"/>
  <c r="B260" i="2"/>
  <c r="A261" i="2"/>
  <c r="B261" i="2"/>
  <c r="A262" i="2"/>
  <c r="B262" i="2"/>
  <c r="A263" i="2"/>
  <c r="B263" i="2"/>
  <c r="A264" i="2"/>
  <c r="B264" i="2"/>
  <c r="A265" i="2"/>
  <c r="B265" i="2"/>
  <c r="A266" i="2"/>
  <c r="B266" i="2"/>
  <c r="A267" i="2"/>
  <c r="B267" i="2"/>
  <c r="A268" i="2"/>
  <c r="B268" i="2"/>
  <c r="A269" i="2"/>
  <c r="B269" i="2"/>
  <c r="A270" i="2"/>
  <c r="B270" i="2"/>
  <c r="A271" i="2"/>
  <c r="B271" i="2"/>
  <c r="A272" i="2"/>
  <c r="B272" i="2"/>
  <c r="A273" i="2"/>
  <c r="B273" i="2"/>
  <c r="A274" i="2"/>
  <c r="B274" i="2"/>
  <c r="A275" i="2"/>
  <c r="B275" i="2"/>
  <c r="A276" i="2"/>
  <c r="B276" i="2"/>
  <c r="A277" i="2"/>
  <c r="B277" i="2"/>
  <c r="A278" i="2"/>
  <c r="B278" i="2"/>
  <c r="A279" i="2"/>
  <c r="B279" i="2"/>
  <c r="A280" i="2"/>
  <c r="B280" i="2"/>
  <c r="A281" i="2"/>
  <c r="B281" i="2"/>
  <c r="A282" i="2"/>
  <c r="B282" i="2"/>
  <c r="A283" i="2"/>
  <c r="B283" i="2"/>
  <c r="A284" i="2"/>
  <c r="B284" i="2"/>
  <c r="A285" i="2"/>
  <c r="B285" i="2"/>
  <c r="A286" i="2"/>
  <c r="B286" i="2"/>
  <c r="A287" i="2"/>
  <c r="B287" i="2"/>
  <c r="A288" i="2"/>
  <c r="B288" i="2"/>
  <c r="A289" i="2"/>
  <c r="B289" i="2"/>
  <c r="A290" i="2"/>
  <c r="B290" i="2"/>
  <c r="A291" i="2"/>
  <c r="B291" i="2"/>
  <c r="A292" i="2"/>
  <c r="B292" i="2"/>
  <c r="A293" i="2"/>
  <c r="B293" i="2"/>
  <c r="A294" i="2"/>
  <c r="B294" i="2"/>
  <c r="A295" i="2"/>
  <c r="B295" i="2"/>
  <c r="A296" i="2"/>
  <c r="B296" i="2"/>
  <c r="A297" i="2"/>
  <c r="B297" i="2"/>
  <c r="A298" i="2"/>
  <c r="B298" i="2"/>
  <c r="A299" i="2"/>
  <c r="B299" i="2"/>
  <c r="A300" i="2"/>
  <c r="B300" i="2"/>
  <c r="A301" i="2"/>
  <c r="B301" i="2"/>
  <c r="A302" i="2"/>
  <c r="B302" i="2"/>
  <c r="A303" i="2"/>
  <c r="B303" i="2"/>
  <c r="A304" i="2"/>
  <c r="B304" i="2"/>
  <c r="A305" i="2"/>
  <c r="B305" i="2"/>
  <c r="A306" i="2"/>
  <c r="B306" i="2"/>
  <c r="A307" i="2"/>
  <c r="B307" i="2"/>
  <c r="A308" i="2"/>
  <c r="B308" i="2"/>
  <c r="A309" i="2"/>
  <c r="B309" i="2"/>
  <c r="A310" i="2"/>
  <c r="B310" i="2"/>
  <c r="A311" i="2"/>
  <c r="B311" i="2"/>
  <c r="A312" i="2"/>
  <c r="B312" i="2"/>
  <c r="A313" i="2"/>
  <c r="B313" i="2"/>
  <c r="A314" i="2"/>
  <c r="B314" i="2"/>
  <c r="A315" i="2"/>
  <c r="B315" i="2"/>
  <c r="A316" i="2"/>
  <c r="B316" i="2"/>
  <c r="A318" i="2"/>
  <c r="B318" i="2"/>
  <c r="A319" i="2"/>
  <c r="B319" i="2"/>
  <c r="A320" i="2"/>
  <c r="B320" i="2"/>
  <c r="A321" i="2"/>
  <c r="B321" i="2"/>
  <c r="A322" i="2"/>
  <c r="B322" i="2"/>
  <c r="A323" i="2"/>
  <c r="B323" i="2"/>
  <c r="A324" i="2"/>
  <c r="B324" i="2"/>
  <c r="A325" i="2"/>
  <c r="B325" i="2"/>
  <c r="A326" i="2"/>
  <c r="B326" i="2"/>
  <c r="A327" i="2"/>
  <c r="B327" i="2"/>
  <c r="A328" i="2"/>
  <c r="B328" i="2"/>
  <c r="A329" i="2"/>
  <c r="B329" i="2"/>
  <c r="A330" i="2"/>
  <c r="B330" i="2"/>
  <c r="A331" i="2"/>
  <c r="B331" i="2"/>
  <c r="A332" i="2"/>
  <c r="B332" i="2"/>
  <c r="A333" i="2"/>
  <c r="B333" i="2"/>
  <c r="A334" i="2"/>
  <c r="B334" i="2"/>
  <c r="A335" i="2"/>
  <c r="B335" i="2"/>
  <c r="A336" i="2"/>
  <c r="B336" i="2"/>
  <c r="A337" i="2"/>
  <c r="B337" i="2"/>
  <c r="A338" i="2"/>
  <c r="B338" i="2"/>
  <c r="A339" i="2"/>
  <c r="B339" i="2"/>
  <c r="A340" i="2"/>
  <c r="B340" i="2"/>
  <c r="A341" i="2"/>
  <c r="B341" i="2"/>
  <c r="A342" i="2"/>
  <c r="B342" i="2"/>
  <c r="A343" i="2"/>
  <c r="B343" i="2"/>
  <c r="A344" i="2"/>
  <c r="B344" i="2"/>
  <c r="A345" i="2"/>
  <c r="B345" i="2"/>
  <c r="A346" i="2"/>
  <c r="B346" i="2"/>
  <c r="A347" i="2"/>
  <c r="B347" i="2"/>
  <c r="A348" i="2"/>
  <c r="B348" i="2"/>
  <c r="A349" i="2"/>
  <c r="B349" i="2"/>
  <c r="A350" i="2"/>
  <c r="B350" i="2"/>
  <c r="A351" i="2"/>
  <c r="B351" i="2"/>
  <c r="A352" i="2"/>
  <c r="B352" i="2"/>
  <c r="A353" i="2"/>
  <c r="B353" i="2"/>
  <c r="A354" i="2"/>
  <c r="B354" i="2"/>
  <c r="A355" i="2"/>
  <c r="B355" i="2"/>
  <c r="A356" i="2"/>
  <c r="B356" i="2"/>
  <c r="A357" i="2"/>
  <c r="B357" i="2"/>
  <c r="A358" i="2"/>
  <c r="B358" i="2"/>
  <c r="A359" i="2"/>
  <c r="B359" i="2"/>
  <c r="A360" i="2"/>
  <c r="B360" i="2"/>
  <c r="A361" i="2"/>
  <c r="B361" i="2"/>
  <c r="A362" i="2"/>
  <c r="B362" i="2"/>
  <c r="A363" i="2"/>
  <c r="B363" i="2"/>
  <c r="A364" i="2"/>
  <c r="B364" i="2"/>
  <c r="A365" i="2"/>
  <c r="B365" i="2"/>
  <c r="A366" i="2"/>
  <c r="B366" i="2"/>
  <c r="A367" i="2"/>
  <c r="B367" i="2"/>
  <c r="A368" i="2"/>
  <c r="B368" i="2"/>
  <c r="A369" i="2"/>
  <c r="B369" i="2"/>
  <c r="A370" i="2"/>
  <c r="B370" i="2"/>
  <c r="A371" i="2"/>
  <c r="B371" i="2"/>
  <c r="A372" i="2"/>
  <c r="B372" i="2"/>
  <c r="A373" i="2"/>
  <c r="B373" i="2"/>
  <c r="A374" i="2"/>
  <c r="B374" i="2"/>
  <c r="A375" i="2"/>
  <c r="B375" i="2"/>
  <c r="A376" i="2"/>
  <c r="B376" i="2"/>
  <c r="A377" i="2"/>
  <c r="B377" i="2"/>
  <c r="A378" i="2"/>
  <c r="B378" i="2"/>
  <c r="A379" i="2"/>
  <c r="B379" i="2"/>
  <c r="A380" i="2"/>
  <c r="B380" i="2"/>
  <c r="A381" i="2"/>
  <c r="B381" i="2"/>
  <c r="A382" i="2"/>
  <c r="B382" i="2"/>
  <c r="A383" i="2"/>
  <c r="B383" i="2"/>
  <c r="A384" i="2"/>
  <c r="B384" i="2"/>
  <c r="A385" i="2"/>
  <c r="B385" i="2"/>
  <c r="A386" i="2"/>
  <c r="B386" i="2"/>
  <c r="A387" i="2"/>
  <c r="B387" i="2"/>
  <c r="A388" i="2"/>
  <c r="B388" i="2"/>
  <c r="A389" i="2"/>
  <c r="B389" i="2"/>
  <c r="A390" i="2"/>
  <c r="B390" i="2"/>
  <c r="A391" i="2"/>
  <c r="B391" i="2"/>
  <c r="A392" i="2"/>
  <c r="B392" i="2"/>
  <c r="A393" i="2"/>
  <c r="B393" i="2"/>
  <c r="A394" i="2"/>
  <c r="B394" i="2"/>
  <c r="A395" i="2"/>
  <c r="B395" i="2"/>
  <c r="A396" i="2"/>
  <c r="B396" i="2"/>
  <c r="A397" i="2"/>
  <c r="B397" i="2"/>
  <c r="A398" i="2"/>
  <c r="B398" i="2"/>
  <c r="A399" i="2"/>
  <c r="B399" i="2"/>
  <c r="A400" i="2"/>
  <c r="B400" i="2"/>
  <c r="A401" i="2"/>
  <c r="B401" i="2"/>
  <c r="A402" i="2"/>
  <c r="B402" i="2"/>
  <c r="A403" i="2"/>
  <c r="B403" i="2"/>
  <c r="A404" i="2"/>
  <c r="B404" i="2"/>
  <c r="A405" i="2"/>
  <c r="B405" i="2"/>
  <c r="A406" i="2"/>
  <c r="B406" i="2"/>
  <c r="A407" i="2"/>
  <c r="B407" i="2"/>
  <c r="A408" i="2"/>
  <c r="B408" i="2"/>
  <c r="A409" i="2"/>
  <c r="B409" i="2"/>
  <c r="A410" i="2"/>
  <c r="B410" i="2"/>
  <c r="A411" i="2"/>
  <c r="B411" i="2"/>
  <c r="A412" i="2"/>
  <c r="B412" i="2"/>
  <c r="A413" i="2"/>
  <c r="B413" i="2"/>
  <c r="A414" i="2"/>
  <c r="B414" i="2"/>
  <c r="A415" i="2"/>
  <c r="B415" i="2"/>
  <c r="A416" i="2"/>
  <c r="B416" i="2"/>
  <c r="A417" i="2"/>
  <c r="B417" i="2"/>
  <c r="A418" i="2"/>
  <c r="B418" i="2"/>
  <c r="A419" i="2"/>
  <c r="B419" i="2"/>
  <c r="A420" i="2"/>
  <c r="B420" i="2"/>
  <c r="A421" i="2"/>
  <c r="B421" i="2"/>
  <c r="A422" i="2"/>
  <c r="B422" i="2"/>
  <c r="A423" i="2"/>
  <c r="B423" i="2"/>
  <c r="A424" i="2"/>
  <c r="B424" i="2"/>
  <c r="A425" i="2"/>
  <c r="B425" i="2"/>
  <c r="A426" i="2"/>
  <c r="B426" i="2"/>
  <c r="A427" i="2"/>
  <c r="B427" i="2"/>
  <c r="A428" i="2"/>
  <c r="B428" i="2"/>
  <c r="A429" i="2"/>
  <c r="B429" i="2"/>
  <c r="A430" i="2"/>
  <c r="B430" i="2"/>
  <c r="A431" i="2"/>
  <c r="B431" i="2"/>
  <c r="A432" i="2"/>
  <c r="B432" i="2"/>
  <c r="A433" i="2"/>
  <c r="B433" i="2"/>
  <c r="A434" i="2"/>
  <c r="B434" i="2"/>
  <c r="A435" i="2"/>
  <c r="B435" i="2"/>
  <c r="A436" i="2"/>
  <c r="B436" i="2"/>
  <c r="A437" i="2"/>
  <c r="B437" i="2"/>
  <c r="A438" i="2"/>
  <c r="B438" i="2"/>
  <c r="A439" i="2"/>
  <c r="B439" i="2"/>
  <c r="A440" i="2"/>
  <c r="B440" i="2"/>
  <c r="A441" i="2"/>
  <c r="B441" i="2"/>
  <c r="A442" i="2"/>
  <c r="B442" i="2"/>
  <c r="A443" i="2"/>
  <c r="B443" i="2"/>
  <c r="A444" i="2"/>
  <c r="B444" i="2"/>
  <c r="A445" i="2"/>
  <c r="B445" i="2"/>
  <c r="A446" i="2"/>
  <c r="B446" i="2"/>
  <c r="A447" i="2"/>
  <c r="B447" i="2"/>
  <c r="A448" i="2"/>
  <c r="B448" i="2"/>
  <c r="A449" i="2"/>
  <c r="B449" i="2"/>
  <c r="A450" i="2"/>
  <c r="B450" i="2"/>
  <c r="A451" i="2"/>
  <c r="B451" i="2"/>
  <c r="A452" i="2"/>
  <c r="B452" i="2"/>
  <c r="A453" i="2"/>
  <c r="B453" i="2"/>
  <c r="A454" i="2"/>
  <c r="B454" i="2"/>
  <c r="A455" i="2"/>
  <c r="B455" i="2"/>
  <c r="A456" i="2"/>
  <c r="B456" i="2"/>
  <c r="A457" i="2"/>
  <c r="B457" i="2"/>
  <c r="A458" i="2"/>
  <c r="B458" i="2"/>
  <c r="A459" i="2"/>
  <c r="B459" i="2"/>
  <c r="A460" i="2"/>
  <c r="B460" i="2"/>
  <c r="A461" i="2"/>
  <c r="B461" i="2"/>
  <c r="A462" i="2"/>
  <c r="B462" i="2"/>
  <c r="A463" i="2"/>
  <c r="B463" i="2"/>
  <c r="A464" i="2"/>
  <c r="B464" i="2"/>
  <c r="A465" i="2"/>
  <c r="B465" i="2"/>
  <c r="A466" i="2"/>
  <c r="B466" i="2"/>
  <c r="A467" i="2"/>
  <c r="B467" i="2"/>
  <c r="A468" i="2"/>
  <c r="B468" i="2"/>
  <c r="A469" i="2"/>
  <c r="B469" i="2"/>
  <c r="A470" i="2"/>
  <c r="B470" i="2"/>
  <c r="A471" i="2"/>
  <c r="B471" i="2"/>
  <c r="A472" i="2"/>
  <c r="B472" i="2"/>
  <c r="A473" i="2"/>
  <c r="B473" i="2"/>
  <c r="A474" i="2"/>
  <c r="B474" i="2"/>
  <c r="A475" i="2"/>
  <c r="B475" i="2"/>
  <c r="A476" i="2"/>
  <c r="B476" i="2"/>
  <c r="A477" i="2"/>
  <c r="B477" i="2"/>
  <c r="A478" i="2"/>
  <c r="B478" i="2"/>
  <c r="A479" i="2"/>
  <c r="B479" i="2"/>
  <c r="A480" i="2"/>
  <c r="B480" i="2"/>
  <c r="A481" i="2"/>
  <c r="B481" i="2"/>
  <c r="A482" i="2"/>
  <c r="B482" i="2"/>
  <c r="A483" i="2"/>
  <c r="B483" i="2"/>
  <c r="A484" i="2"/>
  <c r="B484" i="2"/>
  <c r="A485" i="2"/>
  <c r="B485" i="2"/>
  <c r="A486" i="2"/>
  <c r="B486" i="2"/>
  <c r="A487" i="2"/>
  <c r="B487" i="2"/>
  <c r="A488" i="2"/>
  <c r="B488" i="2"/>
  <c r="A489" i="2"/>
  <c r="B489" i="2"/>
  <c r="A490" i="2"/>
  <c r="B490" i="2"/>
  <c r="A491" i="2"/>
  <c r="B491" i="2"/>
  <c r="A492" i="2"/>
  <c r="B492" i="2"/>
  <c r="A493" i="2"/>
  <c r="B493" i="2"/>
  <c r="A494" i="2"/>
  <c r="B494" i="2"/>
  <c r="A495" i="2"/>
  <c r="B495" i="2"/>
  <c r="A496" i="2"/>
  <c r="B496" i="2"/>
  <c r="A497" i="2"/>
  <c r="B497" i="2"/>
  <c r="A498" i="2"/>
  <c r="B498" i="2"/>
  <c r="A499" i="2"/>
  <c r="B499" i="2"/>
  <c r="A500" i="2"/>
  <c r="B500" i="2"/>
  <c r="A501" i="2"/>
  <c r="B501" i="2"/>
  <c r="A502" i="2"/>
  <c r="B502" i="2"/>
  <c r="A503" i="2"/>
  <c r="B503" i="2"/>
  <c r="A504" i="2"/>
  <c r="B504" i="2"/>
  <c r="A505" i="2"/>
  <c r="B505" i="2"/>
  <c r="A506" i="2"/>
  <c r="B506" i="2"/>
  <c r="A507" i="2"/>
  <c r="B507" i="2"/>
  <c r="A508" i="2"/>
  <c r="B508" i="2"/>
  <c r="A509" i="2"/>
  <c r="B509" i="2"/>
  <c r="A510" i="2"/>
  <c r="B510" i="2"/>
  <c r="A511" i="2"/>
  <c r="B511" i="2"/>
  <c r="A512" i="2"/>
  <c r="B512" i="2"/>
  <c r="A513" i="2"/>
  <c r="B513" i="2"/>
  <c r="A514" i="2"/>
  <c r="B514" i="2"/>
  <c r="A515" i="2"/>
  <c r="B515" i="2"/>
  <c r="A516" i="2"/>
  <c r="B516" i="2"/>
  <c r="A517" i="2"/>
  <c r="B517" i="2"/>
  <c r="A518" i="2"/>
  <c r="B518" i="2"/>
  <c r="A519" i="2"/>
  <c r="B519" i="2"/>
  <c r="A520" i="2"/>
  <c r="B520" i="2"/>
  <c r="A521" i="2"/>
  <c r="B521" i="2"/>
  <c r="A522" i="2"/>
  <c r="B522" i="2"/>
  <c r="A523" i="2"/>
  <c r="B523" i="2"/>
  <c r="A524" i="2"/>
  <c r="B524" i="2"/>
  <c r="A525" i="2"/>
  <c r="B525" i="2"/>
  <c r="A526" i="2"/>
  <c r="B526" i="2"/>
  <c r="A527" i="2"/>
  <c r="B527" i="2"/>
  <c r="A528" i="2"/>
  <c r="B528" i="2"/>
  <c r="A529" i="2"/>
  <c r="B529" i="2"/>
  <c r="A530" i="2"/>
  <c r="B530" i="2"/>
  <c r="A531" i="2"/>
  <c r="B531" i="2"/>
  <c r="A532" i="2"/>
  <c r="B532" i="2"/>
  <c r="A533" i="2"/>
  <c r="B533" i="2"/>
  <c r="A534" i="2"/>
  <c r="B534" i="2"/>
  <c r="A535" i="2"/>
  <c r="B535" i="2"/>
  <c r="A536" i="2"/>
  <c r="B536" i="2"/>
  <c r="A537" i="2"/>
  <c r="B537" i="2"/>
  <c r="A538" i="2"/>
  <c r="B538" i="2"/>
  <c r="A539" i="2"/>
  <c r="B539" i="2"/>
  <c r="A540" i="2"/>
  <c r="B540" i="2"/>
  <c r="A541" i="2"/>
  <c r="B541" i="2"/>
  <c r="A542" i="2"/>
  <c r="B542" i="2"/>
  <c r="A543" i="2"/>
  <c r="B543" i="2"/>
  <c r="A544" i="2"/>
  <c r="B544" i="2"/>
  <c r="A545" i="2"/>
  <c r="B545" i="2"/>
  <c r="A546" i="2"/>
  <c r="B546" i="2"/>
  <c r="A547" i="2"/>
  <c r="B547" i="2"/>
  <c r="A548" i="2"/>
  <c r="B548" i="2"/>
  <c r="A549" i="2"/>
  <c r="B549" i="2"/>
  <c r="A550" i="2"/>
  <c r="B550" i="2"/>
  <c r="A551" i="2"/>
  <c r="B551" i="2"/>
  <c r="A552" i="2"/>
  <c r="B552" i="2"/>
  <c r="A553" i="2"/>
  <c r="B553" i="2"/>
  <c r="A554" i="2"/>
  <c r="B554" i="2"/>
  <c r="A555" i="2"/>
  <c r="B555" i="2"/>
  <c r="A556" i="2"/>
  <c r="B556" i="2"/>
  <c r="A557" i="2"/>
  <c r="B557" i="2"/>
  <c r="A558" i="2"/>
  <c r="B558" i="2"/>
  <c r="A559" i="2"/>
  <c r="B559" i="2"/>
  <c r="A560" i="2"/>
  <c r="B560" i="2"/>
  <c r="A561" i="2"/>
  <c r="B561" i="2"/>
  <c r="A562" i="2"/>
  <c r="B562" i="2"/>
  <c r="A563" i="2"/>
  <c r="B563" i="2"/>
  <c r="A564" i="2"/>
  <c r="B564" i="2"/>
  <c r="A565" i="2"/>
  <c r="B565" i="2"/>
  <c r="A566" i="2"/>
  <c r="B566" i="2"/>
  <c r="A567" i="2"/>
  <c r="B567" i="2"/>
  <c r="A568" i="2"/>
  <c r="B568" i="2"/>
  <c r="A569" i="2"/>
  <c r="B569" i="2"/>
  <c r="A570" i="2"/>
  <c r="B570" i="2"/>
  <c r="A571" i="2"/>
  <c r="B571" i="2"/>
  <c r="A572" i="2"/>
  <c r="B572" i="2"/>
  <c r="A573" i="2"/>
  <c r="B573" i="2"/>
  <c r="A574" i="2"/>
  <c r="B574" i="2"/>
  <c r="A575" i="2"/>
  <c r="B575" i="2"/>
  <c r="A576" i="2"/>
  <c r="B576" i="2"/>
  <c r="A577" i="2"/>
  <c r="B577" i="2"/>
  <c r="A578" i="2"/>
  <c r="B578" i="2"/>
  <c r="A579" i="2"/>
  <c r="B579" i="2"/>
  <c r="A580" i="2"/>
  <c r="B580" i="2"/>
  <c r="A581" i="2"/>
  <c r="B581" i="2"/>
  <c r="A582" i="2"/>
  <c r="B582" i="2"/>
  <c r="A583" i="2"/>
  <c r="B583" i="2"/>
  <c r="A584" i="2"/>
  <c r="B584" i="2"/>
  <c r="A585" i="2"/>
  <c r="B585" i="2"/>
  <c r="A586" i="2"/>
  <c r="B586" i="2"/>
  <c r="A587" i="2"/>
  <c r="B587" i="2"/>
  <c r="A588" i="2"/>
  <c r="B588" i="2"/>
  <c r="A589" i="2"/>
  <c r="B589" i="2"/>
  <c r="A590" i="2"/>
  <c r="B590" i="2"/>
  <c r="A591" i="2"/>
  <c r="B591" i="2"/>
  <c r="A592" i="2"/>
  <c r="B592" i="2"/>
  <c r="A593" i="2"/>
  <c r="B593" i="2"/>
  <c r="A594" i="2"/>
  <c r="B594" i="2"/>
  <c r="A595" i="2"/>
  <c r="B595" i="2"/>
  <c r="A596" i="2"/>
  <c r="B596" i="2"/>
  <c r="A597" i="2"/>
  <c r="B597" i="2"/>
  <c r="A598" i="2"/>
  <c r="B598" i="2"/>
  <c r="A599" i="2"/>
  <c r="B599" i="2"/>
  <c r="A600" i="2"/>
  <c r="B600" i="2"/>
  <c r="A601" i="2"/>
  <c r="B601" i="2"/>
  <c r="A602" i="2"/>
  <c r="B602" i="2"/>
  <c r="A603" i="2"/>
  <c r="B603" i="2"/>
  <c r="A604" i="2"/>
  <c r="B604" i="2"/>
  <c r="A605" i="2"/>
  <c r="B605" i="2"/>
  <c r="A606" i="2"/>
  <c r="B606" i="2"/>
  <c r="A607" i="2"/>
  <c r="B607" i="2"/>
  <c r="A608" i="2"/>
  <c r="B608" i="2"/>
  <c r="A609" i="2"/>
  <c r="B609" i="2"/>
  <c r="A610" i="2"/>
  <c r="B610" i="2"/>
  <c r="A611" i="2"/>
  <c r="B611" i="2"/>
  <c r="A612" i="2"/>
  <c r="B612" i="2"/>
  <c r="A613" i="2"/>
  <c r="B613" i="2"/>
  <c r="A614" i="2"/>
  <c r="B614" i="2"/>
  <c r="A615" i="2"/>
  <c r="B615" i="2"/>
  <c r="A616" i="2"/>
  <c r="B616" i="2"/>
  <c r="A617" i="2"/>
  <c r="B617" i="2"/>
  <c r="A618" i="2"/>
  <c r="B618" i="2"/>
  <c r="A619" i="2"/>
  <c r="B619" i="2"/>
  <c r="A620" i="2"/>
  <c r="B620" i="2"/>
  <c r="A621" i="2"/>
  <c r="B621" i="2"/>
  <c r="A622" i="2"/>
  <c r="B622" i="2"/>
  <c r="A623" i="2"/>
  <c r="B623" i="2"/>
  <c r="A624" i="2"/>
  <c r="B624" i="2"/>
  <c r="A625" i="2"/>
  <c r="B625" i="2"/>
  <c r="A626" i="2"/>
  <c r="B626" i="2"/>
  <c r="A627" i="2"/>
  <c r="B627" i="2"/>
  <c r="A628" i="2"/>
  <c r="B628" i="2"/>
  <c r="A629" i="2"/>
  <c r="B629" i="2"/>
  <c r="A630" i="2"/>
  <c r="B630" i="2"/>
  <c r="A631" i="2"/>
  <c r="B631" i="2"/>
  <c r="A632" i="2"/>
  <c r="B632" i="2"/>
  <c r="A633" i="2"/>
  <c r="B633" i="2"/>
  <c r="A634" i="2"/>
  <c r="B634" i="2"/>
  <c r="A635" i="2"/>
  <c r="B635" i="2"/>
  <c r="A636" i="2"/>
  <c r="B636" i="2"/>
  <c r="A637" i="2"/>
  <c r="B637" i="2"/>
  <c r="A638" i="2"/>
  <c r="B638" i="2"/>
  <c r="A639" i="2"/>
  <c r="B639" i="2"/>
  <c r="A640" i="2"/>
  <c r="B640" i="2"/>
  <c r="A641" i="2"/>
  <c r="B641" i="2"/>
  <c r="A642" i="2"/>
  <c r="B642" i="2"/>
  <c r="A643" i="2"/>
  <c r="B643" i="2"/>
  <c r="A644" i="2"/>
  <c r="B644" i="2"/>
  <c r="A645" i="2"/>
  <c r="B645" i="2"/>
  <c r="A646" i="2"/>
  <c r="B646" i="2"/>
  <c r="A647" i="2"/>
  <c r="B647" i="2"/>
  <c r="A648" i="2"/>
  <c r="B648" i="2"/>
  <c r="A649" i="2"/>
  <c r="B649" i="2"/>
  <c r="A650" i="2"/>
  <c r="B650" i="2"/>
  <c r="A651" i="2"/>
  <c r="B651" i="2"/>
  <c r="A652" i="2"/>
  <c r="B652" i="2"/>
  <c r="A653" i="2"/>
  <c r="B653" i="2"/>
  <c r="A654" i="2"/>
  <c r="B654" i="2"/>
  <c r="A655" i="2"/>
  <c r="B655" i="2"/>
  <c r="A656" i="2"/>
  <c r="B656" i="2"/>
  <c r="A657" i="2"/>
  <c r="B657" i="2"/>
  <c r="A658" i="2"/>
  <c r="B658" i="2"/>
  <c r="A659" i="2"/>
  <c r="B659" i="2"/>
  <c r="A660" i="2"/>
  <c r="B660" i="2"/>
  <c r="A661" i="2"/>
  <c r="B661" i="2"/>
  <c r="A662" i="2"/>
  <c r="B662" i="2"/>
  <c r="A663" i="2"/>
  <c r="B663" i="2"/>
  <c r="A664" i="2"/>
  <c r="B664" i="2"/>
  <c r="A665" i="2"/>
  <c r="B665" i="2"/>
  <c r="A666" i="2"/>
  <c r="B666" i="2"/>
  <c r="A667" i="2"/>
  <c r="B667" i="2"/>
  <c r="A668" i="2"/>
  <c r="B668" i="2"/>
  <c r="A669" i="2"/>
  <c r="B669" i="2"/>
  <c r="A670" i="2"/>
  <c r="B670" i="2"/>
  <c r="A671" i="2"/>
  <c r="B671" i="2"/>
  <c r="A672" i="2"/>
  <c r="B672" i="2"/>
  <c r="A673" i="2"/>
  <c r="B673" i="2"/>
  <c r="A674" i="2"/>
  <c r="B674" i="2"/>
  <c r="A675" i="2"/>
  <c r="B675" i="2"/>
  <c r="A676" i="2"/>
  <c r="B676" i="2"/>
  <c r="A677" i="2"/>
  <c r="B677" i="2"/>
  <c r="A678" i="2"/>
  <c r="B678" i="2"/>
  <c r="A679" i="2"/>
  <c r="B679" i="2"/>
  <c r="A680" i="2"/>
  <c r="B680" i="2"/>
  <c r="A681" i="2"/>
  <c r="B681" i="2"/>
  <c r="A682" i="2"/>
  <c r="B682" i="2"/>
  <c r="A683" i="2"/>
  <c r="B683" i="2"/>
  <c r="A684" i="2"/>
  <c r="B684" i="2"/>
  <c r="A685" i="2"/>
  <c r="B685" i="2"/>
  <c r="A686" i="2"/>
  <c r="B686" i="2"/>
  <c r="A687" i="2"/>
  <c r="B687" i="2"/>
  <c r="A688" i="2"/>
  <c r="B688" i="2"/>
  <c r="A689" i="2"/>
  <c r="B689" i="2"/>
  <c r="A690" i="2"/>
  <c r="B690" i="2"/>
  <c r="A691" i="2"/>
  <c r="B691" i="2"/>
  <c r="A692" i="2"/>
  <c r="B692" i="2"/>
  <c r="A693" i="2"/>
  <c r="B693" i="2"/>
  <c r="A694" i="2"/>
  <c r="B694" i="2"/>
  <c r="A695" i="2"/>
  <c r="B695" i="2"/>
  <c r="A696" i="2"/>
  <c r="B696" i="2"/>
  <c r="A697" i="2"/>
  <c r="B697" i="2"/>
  <c r="A698" i="2"/>
  <c r="B698" i="2"/>
  <c r="A699" i="2"/>
  <c r="B699" i="2"/>
  <c r="A700" i="2"/>
  <c r="B700" i="2"/>
  <c r="A701" i="2"/>
  <c r="B701" i="2"/>
  <c r="A702" i="2"/>
  <c r="B702" i="2"/>
  <c r="A703" i="2"/>
  <c r="B703" i="2"/>
  <c r="A704" i="2"/>
  <c r="B704" i="2"/>
  <c r="A705" i="2"/>
  <c r="B705" i="2"/>
  <c r="A706" i="2"/>
  <c r="B706" i="2"/>
  <c r="A707" i="2"/>
  <c r="B707" i="2"/>
  <c r="A708" i="2"/>
  <c r="B708" i="2"/>
  <c r="A709" i="2"/>
  <c r="B709" i="2"/>
  <c r="A710" i="2"/>
  <c r="B710" i="2"/>
  <c r="A711" i="2"/>
  <c r="B711" i="2"/>
  <c r="A712" i="2"/>
  <c r="B712" i="2"/>
  <c r="A713" i="2"/>
  <c r="B713" i="2"/>
  <c r="A714" i="2"/>
  <c r="B714" i="2"/>
  <c r="A715" i="2"/>
  <c r="B715" i="2"/>
  <c r="A716" i="2"/>
  <c r="B716" i="2"/>
  <c r="A717" i="2"/>
  <c r="B717" i="2"/>
  <c r="A718" i="2"/>
  <c r="B718" i="2"/>
  <c r="A719" i="2"/>
  <c r="B719" i="2"/>
  <c r="A720" i="2"/>
  <c r="B720" i="2"/>
  <c r="A721" i="2"/>
  <c r="B721" i="2"/>
  <c r="A722" i="2"/>
  <c r="B722" i="2"/>
  <c r="A723" i="2"/>
  <c r="B723" i="2"/>
  <c r="A724" i="2"/>
  <c r="B724" i="2"/>
  <c r="A725" i="2"/>
  <c r="B725" i="2"/>
  <c r="A726" i="2"/>
  <c r="B726" i="2"/>
  <c r="A727" i="2"/>
  <c r="B727" i="2"/>
  <c r="A728" i="2"/>
  <c r="B728" i="2"/>
  <c r="A729" i="2"/>
  <c r="B729" i="2"/>
  <c r="A730" i="2"/>
  <c r="B730" i="2"/>
  <c r="A731" i="2"/>
  <c r="B731" i="2"/>
  <c r="A732" i="2"/>
  <c r="B732" i="2"/>
  <c r="A733" i="2"/>
  <c r="B733" i="2"/>
  <c r="A734" i="2"/>
  <c r="B734" i="2"/>
  <c r="A735" i="2"/>
  <c r="B735" i="2"/>
  <c r="A736" i="2"/>
  <c r="B736" i="2"/>
  <c r="A737" i="2"/>
  <c r="B737" i="2"/>
  <c r="A738" i="2"/>
  <c r="B738" i="2"/>
  <c r="A739" i="2"/>
  <c r="B739" i="2"/>
  <c r="A740" i="2"/>
  <c r="B740" i="2"/>
  <c r="A741" i="2"/>
  <c r="B741" i="2"/>
  <c r="B5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4" i="2"/>
  <c r="A35" i="2"/>
  <c r="A3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30" i="2"/>
  <c r="B31" i="2"/>
  <c r="B32" i="2"/>
  <c r="B33" i="2"/>
  <c r="B34" i="2"/>
  <c r="B35" i="2"/>
  <c r="B28" i="2"/>
</calcChain>
</file>

<file path=xl/comments1.xml><?xml version="1.0" encoding="utf-8"?>
<comments xmlns="http://schemas.openxmlformats.org/spreadsheetml/2006/main">
  <authors>
    <author>陳仁傑18442</author>
  </authors>
  <commentList>
    <comment ref="D19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一天的警訊會併一張
</t>
        </r>
      </text>
    </comment>
  </commentList>
</comments>
</file>

<file path=xl/comments2.xml><?xml version="1.0" encoding="utf-8"?>
<comments xmlns="http://schemas.openxmlformats.org/spreadsheetml/2006/main">
  <authors>
    <author>陳仁傑18442</author>
  </authors>
  <commentList>
    <comment ref="B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從這邊開始貼
</t>
        </r>
      </text>
    </comment>
  </commentList>
</comments>
</file>

<file path=xl/sharedStrings.xml><?xml version="1.0" encoding="utf-8"?>
<sst xmlns="http://schemas.openxmlformats.org/spreadsheetml/2006/main" count="6908" uniqueCount="3853">
  <si>
    <t>SI</t>
    <phoneticPr fontId="1" type="noConversion"/>
  </si>
  <si>
    <t>發送異動通知電文給CIP回傳錯誤碼:UP0090_00_V201,錯誤碼訊息:必要性檢核錯誤,錯誤訊息:[檢查有誤，顧客ID已停用]</t>
  </si>
  <si>
    <t>F22094916B</t>
  </si>
  <si>
    <t>A10285338B</t>
  </si>
  <si>
    <t>D22043511B</t>
  </si>
  <si>
    <t>E12032370B</t>
  </si>
  <si>
    <t>J20035383C</t>
  </si>
  <si>
    <t>A10092067B</t>
  </si>
  <si>
    <t>E12131963B</t>
  </si>
  <si>
    <t>A10374657B</t>
  </si>
  <si>
    <t>M12055732B</t>
  </si>
  <si>
    <t>C10046761B</t>
  </si>
  <si>
    <t>AC0261554B</t>
  </si>
  <si>
    <t>C22036411B</t>
  </si>
  <si>
    <t>G20065813B</t>
  </si>
  <si>
    <t>L12011702C</t>
  </si>
  <si>
    <t>F12155352B</t>
  </si>
  <si>
    <t>CIFX_STAGE1_ERRORS</t>
  </si>
  <si>
    <t>發送ID改號電文給CIP回傳錯誤碼:UP0090_00_R101,錯誤碼訊息:存在驗證錯誤,錯誤訊息:[檢查有誤，顧客曾經執行過ID改號，將交由資料管家處理]</t>
  </si>
  <si>
    <t>事件單</t>
    <phoneticPr fontId="1" type="noConversion"/>
  </si>
  <si>
    <t>EM10909338</t>
    <phoneticPr fontId="1" type="noConversion"/>
  </si>
  <si>
    <t>EM10909378</t>
    <phoneticPr fontId="1" type="noConversion"/>
  </si>
  <si>
    <t>STG</t>
    <phoneticPr fontId="1" type="noConversion"/>
  </si>
  <si>
    <t>UUID</t>
    <phoneticPr fontId="1" type="noConversion"/>
  </si>
  <si>
    <t>ERROR_MSG</t>
    <phoneticPr fontId="1" type="noConversion"/>
  </si>
  <si>
    <t>UUID2</t>
    <phoneticPr fontId="1" type="noConversion"/>
  </si>
  <si>
    <t>SI2</t>
    <phoneticPr fontId="1" type="noConversion"/>
  </si>
  <si>
    <t>done</t>
    <phoneticPr fontId="1" type="noConversion"/>
  </si>
  <si>
    <t>done</t>
    <phoneticPr fontId="1" type="noConversion"/>
  </si>
  <si>
    <t>N10364459B</t>
  </si>
  <si>
    <t>V22009798B</t>
  </si>
  <si>
    <t>M22025879B</t>
  </si>
  <si>
    <t>N12112336C</t>
  </si>
  <si>
    <t>M12081677B</t>
  </si>
  <si>
    <t>Q12097930B</t>
  </si>
  <si>
    <t>N12132298B</t>
  </si>
  <si>
    <t>STG</t>
    <phoneticPr fontId="1" type="noConversion"/>
  </si>
  <si>
    <t>ERR_MSG</t>
    <phoneticPr fontId="1" type="noConversion"/>
  </si>
  <si>
    <t>處理狀態</t>
    <phoneticPr fontId="1" type="noConversion"/>
  </si>
  <si>
    <t>S222335199</t>
    <phoneticPr fontId="1" type="noConversion"/>
  </si>
  <si>
    <t>EM10909327</t>
    <phoneticPr fontId="1" type="noConversion"/>
  </si>
  <si>
    <t>S124074991</t>
    <phoneticPr fontId="1" type="noConversion"/>
  </si>
  <si>
    <t>A201075282</t>
    <phoneticPr fontId="1" type="noConversion"/>
  </si>
  <si>
    <t>DC00062588</t>
    <phoneticPr fontId="1" type="noConversion"/>
  </si>
  <si>
    <t>EM10909614</t>
    <phoneticPr fontId="1" type="noConversion"/>
  </si>
  <si>
    <t>R122087177</t>
    <phoneticPr fontId="1" type="noConversion"/>
  </si>
  <si>
    <t>R122087177</t>
    <phoneticPr fontId="1" type="noConversion"/>
  </si>
  <si>
    <t>EM10909591</t>
    <phoneticPr fontId="1" type="noConversion"/>
  </si>
  <si>
    <t>需求速報單</t>
    <phoneticPr fontId="1" type="noConversion"/>
  </si>
  <si>
    <t>系統上線單</t>
    <phoneticPr fontId="1" type="noConversion"/>
  </si>
  <si>
    <t>J20043746B</t>
    <phoneticPr fontId="1" type="noConversion"/>
  </si>
  <si>
    <t>EM10909364</t>
    <phoneticPr fontId="1" type="noConversion"/>
  </si>
  <si>
    <t>EM10909366</t>
    <phoneticPr fontId="1" type="noConversion"/>
  </si>
  <si>
    <t>事件單_STATUS</t>
    <phoneticPr fontId="1" type="noConversion"/>
  </si>
  <si>
    <t>I200095380</t>
  </si>
  <si>
    <t>done</t>
    <phoneticPr fontId="1" type="noConversion"/>
  </si>
  <si>
    <t>EM10909630</t>
    <phoneticPr fontId="1" type="noConversion"/>
  </si>
  <si>
    <t>EM10909634</t>
    <phoneticPr fontId="1" type="noConversion"/>
  </si>
  <si>
    <t>EM10909413</t>
  </si>
  <si>
    <t>done</t>
    <phoneticPr fontId="1" type="noConversion"/>
  </si>
  <si>
    <t>done</t>
    <phoneticPr fontId="1" type="noConversion"/>
  </si>
  <si>
    <t>EM10909511</t>
    <phoneticPr fontId="1" type="noConversion"/>
  </si>
  <si>
    <t>DONE</t>
    <phoneticPr fontId="1" type="noConversion"/>
  </si>
  <si>
    <t>J12015927A</t>
    <phoneticPr fontId="1" type="noConversion"/>
  </si>
  <si>
    <t>L121116692</t>
    <phoneticPr fontId="1" type="noConversion"/>
  </si>
  <si>
    <t>CIFX_PUSH_ERRORS</t>
  </si>
  <si>
    <t>CIFX_STAGE2_ERRORS</t>
  </si>
  <si>
    <t>發送異動通知電文給CIP回傳錯誤碼:UP0090_00_V201,錯誤碼訊息:必要性檢核錯誤,錯誤訊息:[CIP顧客識別取號:當系統為TS0116_00時顧客姓名不可為空值]</t>
  </si>
  <si>
    <t>F234522068</t>
    <phoneticPr fontId="1" type="noConversion"/>
  </si>
  <si>
    <t>L121116692</t>
    <phoneticPr fontId="1" type="noConversion"/>
  </si>
  <si>
    <t>DONE</t>
    <phoneticPr fontId="1" type="noConversion"/>
  </si>
  <si>
    <t>done</t>
    <phoneticPr fontId="1" type="noConversion"/>
  </si>
  <si>
    <t>EM10909711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</si>
  <si>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</si>
  <si>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</si>
  <si>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</si>
  <si>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</si>
  <si>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T221205068</t>
    <phoneticPr fontId="1" type="noConversion"/>
  </si>
  <si>
    <t>U220136387</t>
    <phoneticPr fontId="1" type="noConversion"/>
  </si>
  <si>
    <t>EM10909963</t>
    <phoneticPr fontId="1" type="noConversion"/>
  </si>
  <si>
    <t>done</t>
    <phoneticPr fontId="1" type="noConversion"/>
  </si>
  <si>
    <t>N124191019</t>
  </si>
  <si>
    <t>人員</t>
    <phoneticPr fontId="1" type="noConversion"/>
  </si>
  <si>
    <t>EM10910239</t>
    <phoneticPr fontId="1" type="noConversion"/>
  </si>
  <si>
    <t>done</t>
    <phoneticPr fontId="1" type="noConversion"/>
  </si>
  <si>
    <t>done</t>
    <phoneticPr fontId="1" type="noConversion"/>
  </si>
  <si>
    <t>H223329446</t>
  </si>
  <si>
    <t>H221708645</t>
  </si>
  <si>
    <t>U120184934</t>
    <phoneticPr fontId="1" type="noConversion"/>
  </si>
  <si>
    <t>EM10910400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</si>
  <si>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</si>
  <si>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</si>
  <si>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</si>
  <si>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</si>
  <si>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E220613260</t>
    <phoneticPr fontId="1" type="noConversion"/>
  </si>
  <si>
    <t>mail主旨</t>
    <phoneticPr fontId="1" type="noConversion"/>
  </si>
  <si>
    <t>mail內文</t>
    <phoneticPr fontId="1" type="noConversion"/>
  </si>
  <si>
    <t>mailGroup</t>
    <phoneticPr fontId="1" type="noConversion"/>
  </si>
  <si>
    <t>信箱</t>
    <phoneticPr fontId="1" type="noConversion"/>
  </si>
  <si>
    <t>陳仁傑</t>
    <phoneticPr fontId="1" type="noConversion"/>
  </si>
  <si>
    <t>彭春娥</t>
    <phoneticPr fontId="1" type="noConversion"/>
  </si>
  <si>
    <t>pce-04503@email.esunbank.com.tw</t>
    <phoneticPr fontId="1" type="noConversion"/>
  </si>
  <si>
    <t>盧婉芳</t>
    <phoneticPr fontId="1" type="noConversion"/>
  </si>
  <si>
    <t>lwf-15109@email.esunbank.com.tw</t>
  </si>
  <si>
    <t>謝基中</t>
    <phoneticPr fontId="1" type="noConversion"/>
  </si>
  <si>
    <t>方昱傑</t>
    <phoneticPr fontId="1" type="noConversion"/>
  </si>
  <si>
    <t>tram-18693@email.esunbank.com.tw</t>
  </si>
  <si>
    <t>鍾冠宇</t>
    <phoneticPr fontId="1" type="noConversion"/>
  </si>
  <si>
    <t>ianzhong-18434@email.esunbank.com.tw</t>
  </si>
  <si>
    <t>胡珅</t>
    <phoneticPr fontId="1" type="noConversion"/>
  </si>
  <si>
    <t>hus-11092@email.esunbank.com.tw</t>
    <phoneticPr fontId="1" type="noConversion"/>
  </si>
  <si>
    <t>philip-18752@email.esunbank.com.tw</t>
  </si>
  <si>
    <t>許庭瑋</t>
    <phoneticPr fontId="1" type="noConversion"/>
  </si>
  <si>
    <t>kylehsu-19348@email.esunbank.com.tw</t>
    <phoneticPr fontId="1" type="noConversion"/>
  </si>
  <si>
    <t>kylehsu-19348@email.esunbank.com.tw</t>
    <phoneticPr fontId="1" type="noConversion"/>
  </si>
  <si>
    <t>macjohn-19357@email.esunbank.com.tw</t>
    <phoneticPr fontId="1" type="noConversion"/>
  </si>
  <si>
    <t>macjohn-19357@email.esunbank.com.tw</t>
    <phoneticPr fontId="1" type="noConversion"/>
  </si>
  <si>
    <t>劉季函</t>
    <phoneticPr fontId="1" type="noConversion"/>
  </si>
  <si>
    <t>sunny.liu-19432@email.esunbank.com.tw</t>
    <phoneticPr fontId="1" type="noConversion"/>
  </si>
  <si>
    <t>許昱彥</t>
    <phoneticPr fontId="1" type="noConversion"/>
  </si>
  <si>
    <t>曾郁婷</t>
    <phoneticPr fontId="1" type="noConversion"/>
  </si>
  <si>
    <t>joanne-17774@email.esunbank.com.tw</t>
    <phoneticPr fontId="1" type="noConversion"/>
  </si>
  <si>
    <t>GROUP</t>
    <phoneticPr fontId="1" type="noConversion"/>
  </si>
  <si>
    <t>CIFX</t>
    <phoneticPr fontId="1" type="noConversion"/>
  </si>
  <si>
    <t>OTHER</t>
    <phoneticPr fontId="1" type="noConversion"/>
  </si>
  <si>
    <t>CIP</t>
    <phoneticPr fontId="1" type="noConversion"/>
  </si>
  <si>
    <t>程亮維</t>
    <phoneticPr fontId="1" type="noConversion"/>
  </si>
  <si>
    <t>林楷翰</t>
    <phoneticPr fontId="1" type="noConversion"/>
  </si>
  <si>
    <t>參數</t>
    <phoneticPr fontId="1" type="noConversion"/>
  </si>
  <si>
    <t>E224458701</t>
  </si>
  <si>
    <t>F125192747</t>
  </si>
  <si>
    <t>EM1091049.</t>
    <phoneticPr fontId="1" type="noConversion"/>
  </si>
  <si>
    <t>EM10910531</t>
    <phoneticPr fontId="1" type="noConversion"/>
  </si>
  <si>
    <t>EM10910479</t>
    <phoneticPr fontId="1" type="noConversion"/>
  </si>
  <si>
    <t>done</t>
    <phoneticPr fontId="1" type="noConversion"/>
  </si>
  <si>
    <t>data_status</t>
    <phoneticPr fontId="1" type="noConversion"/>
  </si>
  <si>
    <t>done</t>
    <phoneticPr fontId="1" type="noConversion"/>
  </si>
  <si>
    <t>pce-04503@email.esunbank.com.tw</t>
    <phoneticPr fontId="1" type="noConversion"/>
  </si>
  <si>
    <t>sunny.liu-19432@email.esunbank.com.tw</t>
    <phoneticPr fontId="1" type="noConversion"/>
  </si>
  <si>
    <t>方昱傑</t>
  </si>
  <si>
    <t>方昱傑</t>
    <phoneticPr fontId="1" type="noConversion"/>
  </si>
  <si>
    <t>tram-18693@email.esunbank.com.tw</t>
    <phoneticPr fontId="1" type="noConversion"/>
  </si>
  <si>
    <t>tram-18693@email.esunbank.com.tw</t>
    <phoneticPr fontId="1" type="noConversion"/>
  </si>
  <si>
    <t>顧客姓名含有空白</t>
  </si>
  <si>
    <t>N124979826</t>
    <phoneticPr fontId="1" type="noConversion"/>
  </si>
  <si>
    <t>林楷翰</t>
  </si>
  <si>
    <t>macjohn-19357@email.esunbank.com.tw</t>
  </si>
  <si>
    <t>盧婉芳</t>
  </si>
  <si>
    <t>程亮維</t>
  </si>
  <si>
    <t>許庭瑋</t>
  </si>
  <si>
    <t>kylehsu-19348@email.esunbank.com.tw</t>
  </si>
  <si>
    <t>彭春娥</t>
  </si>
  <si>
    <t>pce-04503@email.esunbank.com.tw</t>
  </si>
  <si>
    <t>劉季函</t>
  </si>
  <si>
    <t>sunny.liu-19432@email.esunbank.com.tw</t>
  </si>
  <si>
    <t>rjchenl-18442@email.esunbank.com.tw</t>
    <phoneticPr fontId="1" type="noConversion"/>
  </si>
  <si>
    <t>rjchenl-18442@email.esunbank.com.tw</t>
    <phoneticPr fontId="1" type="noConversion"/>
  </si>
  <si>
    <t>EM10910590</t>
    <phoneticPr fontId="1" type="noConversion"/>
  </si>
  <si>
    <t>EM10910783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</si>
  <si>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</si>
  <si>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</si>
  <si>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</si>
  <si>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通知CIP_TEAM</t>
  </si>
  <si>
    <t>通知CIP_TEAM清單</t>
    <phoneticPr fontId="1" type="noConversion"/>
  </si>
  <si>
    <t>通知CIFX_SA</t>
    <phoneticPr fontId="1" type="noConversion"/>
  </si>
  <si>
    <t>通知CIFX_SA清單</t>
    <phoneticPr fontId="1" type="noConversion"/>
  </si>
  <si>
    <t>S223615614</t>
    <phoneticPr fontId="1" type="noConversion"/>
  </si>
  <si>
    <t>A121570642</t>
    <phoneticPr fontId="1" type="noConversion"/>
  </si>
  <si>
    <t>L220405405</t>
  </si>
  <si>
    <t>EM10910980</t>
    <phoneticPr fontId="1" type="noConversion"/>
  </si>
  <si>
    <t>EM10910897</t>
    <phoneticPr fontId="1" type="noConversion"/>
  </si>
  <si>
    <t>done</t>
    <phoneticPr fontId="1" type="noConversion"/>
  </si>
  <si>
    <t>done</t>
    <phoneticPr fontId="1" type="noConversion"/>
  </si>
  <si>
    <t>K22147712B</t>
    <phoneticPr fontId="1" type="noConversion"/>
  </si>
  <si>
    <t>K22147712A</t>
    <phoneticPr fontId="1" type="noConversion"/>
  </si>
  <si>
    <t>E224880285</t>
  </si>
  <si>
    <t>e31217-19598@email.esunbank.com.tw</t>
    <phoneticPr fontId="1" type="noConversion"/>
  </si>
  <si>
    <t>許昱彥</t>
    <phoneticPr fontId="1" type="noConversion"/>
  </si>
  <si>
    <t>A226866770</t>
  </si>
  <si>
    <t>action</t>
    <phoneticPr fontId="1" type="noConversion"/>
  </si>
  <si>
    <t>DONE</t>
    <phoneticPr fontId="1" type="noConversion"/>
  </si>
  <si>
    <t>DONE</t>
    <phoneticPr fontId="1" type="noConversion"/>
  </si>
  <si>
    <t>N10100932A</t>
  </si>
  <si>
    <t>N101009321</t>
  </si>
  <si>
    <t>L22040540A</t>
    <phoneticPr fontId="1" type="noConversion"/>
  </si>
  <si>
    <t>N124864722</t>
  </si>
  <si>
    <t>E220690605</t>
    <phoneticPr fontId="1" type="noConversion"/>
  </si>
  <si>
    <t>EM10911025</t>
    <phoneticPr fontId="1" type="noConversion"/>
  </si>
  <si>
    <t>EM10911452</t>
    <phoneticPr fontId="1" type="noConversion"/>
  </si>
  <si>
    <t>EM10911478</t>
    <phoneticPr fontId="1" type="noConversion"/>
  </si>
  <si>
    <t>EM10911152</t>
    <phoneticPr fontId="1" type="noConversion"/>
  </si>
  <si>
    <t>EM10911485</t>
    <phoneticPr fontId="1" type="noConversion"/>
  </si>
  <si>
    <t>CIFX_STAGE1_ERRORS</t>
    <phoneticPr fontId="1" type="noConversion"/>
  </si>
  <si>
    <t>發送顧客刪除電文給CIP回傳錯誤碼:UP0090_00_V401,錯誤碼訊息:關聯檢核錯誤,錯誤訊息:[檢查有誤，查無符合顧客]</t>
    <phoneticPr fontId="1" type="noConversion"/>
  </si>
  <si>
    <t>T22156858A</t>
  </si>
  <si>
    <t>EM10911025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</si>
  <si>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</si>
  <si>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</si>
  <si>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</si>
  <si>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EM10911197</t>
    <phoneticPr fontId="1" type="noConversion"/>
  </si>
  <si>
    <t>EM10911200</t>
    <phoneticPr fontId="1" type="noConversion"/>
  </si>
  <si>
    <t>done</t>
    <phoneticPr fontId="1" type="noConversion"/>
  </si>
  <si>
    <t>EM10911580</t>
    <phoneticPr fontId="1" type="noConversion"/>
  </si>
  <si>
    <t>DONE</t>
    <phoneticPr fontId="1" type="noConversion"/>
  </si>
  <si>
    <t>DONE</t>
    <phoneticPr fontId="1" type="noConversion"/>
  </si>
  <si>
    <t>A270297758</t>
    <phoneticPr fontId="1" type="noConversion"/>
  </si>
  <si>
    <t>O200128223</t>
    <phoneticPr fontId="1" type="noConversion"/>
  </si>
  <si>
    <t>待庭瑋處理完成後通知</t>
    <phoneticPr fontId="1" type="noConversion"/>
  </si>
  <si>
    <t>待庭瑋處理完成後通知</t>
    <phoneticPr fontId="1" type="noConversion"/>
  </si>
  <si>
    <t>Y120242657</t>
    <phoneticPr fontId="1" type="noConversion"/>
  </si>
  <si>
    <t>可做</t>
    <phoneticPr fontId="1" type="noConversion"/>
  </si>
  <si>
    <t>可做</t>
    <phoneticPr fontId="1" type="noConversion"/>
  </si>
  <si>
    <t>DONE</t>
    <phoneticPr fontId="1" type="noConversion"/>
  </si>
  <si>
    <t>EM10911362</t>
    <phoneticPr fontId="1" type="noConversion"/>
  </si>
  <si>
    <t>EM10911362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</si>
  <si>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</si>
  <si>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</si>
  <si>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</si>
  <si>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</si>
  <si>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H122825956</t>
    <phoneticPr fontId="1" type="noConversion"/>
  </si>
  <si>
    <t>A227716751</t>
    <phoneticPr fontId="1" type="noConversion"/>
  </si>
  <si>
    <t>F225199855</t>
    <phoneticPr fontId="1" type="noConversion"/>
  </si>
  <si>
    <t>請協助處理</t>
    <phoneticPr fontId="1" type="noConversion"/>
  </si>
  <si>
    <t>EM11000192</t>
    <phoneticPr fontId="1" type="noConversion"/>
  </si>
  <si>
    <t>done</t>
    <phoneticPr fontId="1" type="noConversion"/>
  </si>
  <si>
    <t>done</t>
    <phoneticPr fontId="1" type="noConversion"/>
  </si>
  <si>
    <t>E224342904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</si>
  <si>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</si>
  <si>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</si>
  <si>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</si>
  <si>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</si>
  <si>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</si>
  <si>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E100327225</t>
    <phoneticPr fontId="1" type="noConversion"/>
  </si>
  <si>
    <t>done</t>
    <phoneticPr fontId="1" type="noConversion"/>
  </si>
  <si>
    <t>N125297583</t>
  </si>
  <si>
    <t>通知CIFX_SA</t>
  </si>
  <si>
    <t>U22126718A</t>
  </si>
  <si>
    <t>M101639426</t>
    <phoneticPr fontId="1" type="noConversion"/>
  </si>
  <si>
    <t>EM11000748</t>
    <phoneticPr fontId="1" type="noConversion"/>
  </si>
  <si>
    <t>done</t>
    <phoneticPr fontId="1" type="noConversion"/>
  </si>
  <si>
    <t>done</t>
    <phoneticPr fontId="1" type="noConversion"/>
  </si>
  <si>
    <t>69655313A</t>
  </si>
  <si>
    <t>EM11001060</t>
  </si>
  <si>
    <t>X120439337</t>
    <phoneticPr fontId="1" type="noConversion"/>
  </si>
  <si>
    <t>E224303578</t>
    <phoneticPr fontId="1" type="noConversion"/>
  </si>
  <si>
    <t>P201665608</t>
    <phoneticPr fontId="1" type="noConversion"/>
  </si>
  <si>
    <t>D100358425</t>
    <phoneticPr fontId="1" type="noConversion"/>
  </si>
  <si>
    <t>EM11001097</t>
  </si>
  <si>
    <t>DONE</t>
    <phoneticPr fontId="1" type="noConversion"/>
  </si>
  <si>
    <t>DONE</t>
    <phoneticPr fontId="1" type="noConversion"/>
  </si>
  <si>
    <t>DONE</t>
    <phoneticPr fontId="1" type="noConversion"/>
  </si>
  <si>
    <t>A900026690</t>
  </si>
  <si>
    <t>A90002669A</t>
  </si>
  <si>
    <t>E225474512</t>
    <phoneticPr fontId="1" type="noConversion"/>
  </si>
  <si>
    <t>EM11001313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</si>
  <si>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</si>
  <si>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</si>
  <si>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</si>
  <si>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EM11001351</t>
    <phoneticPr fontId="1" type="noConversion"/>
  </si>
  <si>
    <t>EM11001362</t>
    <phoneticPr fontId="1" type="noConversion"/>
  </si>
  <si>
    <t>GD00377614</t>
    <phoneticPr fontId="1" type="noConversion"/>
  </si>
  <si>
    <t>B122742750</t>
  </si>
  <si>
    <t>EM11001389</t>
    <phoneticPr fontId="1" type="noConversion"/>
  </si>
  <si>
    <t>SEC_ID</t>
    <phoneticPr fontId="1" type="noConversion"/>
  </si>
  <si>
    <t>1613742031233099-5095886-85-02</t>
  </si>
  <si>
    <t>done</t>
    <phoneticPr fontId="1" type="noConversion"/>
  </si>
  <si>
    <t>done</t>
    <phoneticPr fontId="1" type="noConversion"/>
  </si>
  <si>
    <t>1613742040158440-5089429-31-01</t>
  </si>
  <si>
    <t>em11001417</t>
    <phoneticPr fontId="1" type="noConversion"/>
  </si>
  <si>
    <t>done</t>
    <phoneticPr fontId="1" type="noConversion"/>
  </si>
  <si>
    <t>1614002014771604-5611975-07-02</t>
  </si>
  <si>
    <t>電文</t>
    <phoneticPr fontId="1" type="noConversion"/>
  </si>
  <si>
    <t>改號紀錄</t>
    <phoneticPr fontId="1" type="noConversion"/>
  </si>
  <si>
    <t>是否CIFX刪除顧客</t>
    <phoneticPr fontId="1" type="noConversion"/>
  </si>
  <si>
    <t>rjchenl-18442@email.esunbank.com.tw</t>
    <phoneticPr fontId="1" type="noConversion"/>
  </si>
  <si>
    <t>test</t>
    <phoneticPr fontId="1" type="noConversion"/>
  </si>
  <si>
    <t>1613841416102818-5305300-48-01</t>
  </si>
  <si>
    <t>E222227511</t>
    <phoneticPr fontId="1" type="noConversion"/>
  </si>
  <si>
    <t>N</t>
    <phoneticPr fontId="1" type="noConversion"/>
  </si>
  <si>
    <t>陳仁傑</t>
    <phoneticPr fontId="1" type="noConversion"/>
  </si>
  <si>
    <t>1614077110613282-5776057-95-01</t>
    <phoneticPr fontId="1" type="noConversion"/>
  </si>
  <si>
    <t>N12041545A</t>
  </si>
  <si>
    <t>1614077110634333-5776057-12-01</t>
  </si>
  <si>
    <t>{"requestModel":{"header":{"msgNo":"TS0116_00_20210223104510_98562","txnCode":"A121012","txnTime":"2021-02-23 10:45:10","senderCode":"TS0116_00","receiverCode":"UP0090_00","operatorCode":"12806","unitCode":"0532"},"requestBody":{"funcId":"01","criteria":{"circiKey":"N12041545A","propertyTypeCode":"0","partyCertNo":"N120415456","partyCertDate":"2021-02-23"},"dataSet":[{"contactPhone":"0932381663","email":"komatsu5427@yahoo.com.tw","dgbasIndustryCode":"061700","ncbIndustryCode":"060000","residenceAddrLocality":"彰化縣","residenceAddr":"埔崙里１０鄰育民街８號","residenceAddrPostalCode":"505","residenceAddrAdminArea":"鹿港鎮","customerBirthday":"2021-02-23","residenceAddrCountryCode":"TW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  <phoneticPr fontId="1" type="noConversion"/>
  </si>
  <si>
    <t>N</t>
    <phoneticPr fontId="1" type="noConversion"/>
  </si>
  <si>
    <t>發送異動通知電文給CIP回傳錯誤碼:UP0090_00_V201,錯誤碼訊息:必要性檢核錯誤,錯誤訊息:[CIP顧客識別取號:當系統為TS0116_00時顧客姓名不可為空值]</t>
    <phoneticPr fontId="1" type="noConversion"/>
  </si>
  <si>
    <t>資料處理方式</t>
    <phoneticPr fontId="1" type="noConversion"/>
  </si>
  <si>
    <t>資料異動sql</t>
    <phoneticPr fontId="1" type="noConversion"/>
  </si>
  <si>
    <t>處理SPONSOR</t>
    <phoneticPr fontId="1" type="noConversion"/>
  </si>
  <si>
    <t>清除同步失敗註記</t>
  </si>
  <si>
    <t>資料檢查SQL</t>
    <phoneticPr fontId="1" type="noConversion"/>
  </si>
  <si>
    <t>資料處理說明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</si>
  <si>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</si>
  <si>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</si>
  <si>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</si>
  <si>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是否通知CIP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</si>
  <si>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發送ID改號電文給CIP回傳錯誤碼:UP0090_00_R101,錯誤碼訊息:存在驗證錯誤,錯誤訊息:[ID改號作業-&gt;CIF改號作業-&gt;&lt;檢查有誤，查無符合(改號前)銀行歸戶統編(N12041545A)顧客&gt;]</t>
  </si>
  <si>
    <t>1614180679361976-5981976-04-02</t>
  </si>
  <si>
    <t>N120415456</t>
    <phoneticPr fontId="1" type="noConversion"/>
  </si>
  <si>
    <t>已通知CIP team</t>
  </si>
  <si>
    <t>1614256259767369-6148809-77-01</t>
  </si>
  <si>
    <t>EM11001247</t>
    <phoneticPr fontId="1" type="noConversion"/>
  </si>
  <si>
    <t>1612889219671391-3420415-57-02</t>
  </si>
  <si>
    <t>1612549075694721-2743685-60-01</t>
  </si>
  <si>
    <t>需求單號_status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</si>
  <si>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</si>
  <si>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</si>
  <si>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</si>
  <si>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EM11001452</t>
    <phoneticPr fontId="1" type="noConversion"/>
  </si>
  <si>
    <t>【同步CIP失敗】:[CIP顧客識別取號:當系統為TS0116_00時顧客姓名不可為空值]</t>
    <phoneticPr fontId="1" type="noConversion"/>
  </si>
  <si>
    <t>1614077110778795-5776109-24-01</t>
    <phoneticPr fontId="1" type="noConversion"/>
  </si>
  <si>
    <t>done</t>
    <phoneticPr fontId="1" type="noConversion"/>
  </si>
  <si>
    <t>UPDATE CIFX.TB_SERVICE_EXECUTION_CONTROL SET EXECUTION_STATE = 'EXECUTED', ap_server_EXECUTING = NULL WHERE SERVICE_EXECUTION_CONTROL_ID IN ('1614077110634333-5776057-12-01') and execution_type = 'STAGE1_EXECUTION';</t>
    <phoneticPr fontId="1" type="noConversion"/>
  </si>
  <si>
    <t>系統上線單_status</t>
    <phoneticPr fontId="1" type="noConversion"/>
  </si>
  <si>
    <t>1614180679594169-5985533-13-01</t>
    <phoneticPr fontId="1" type="noConversion"/>
  </si>
  <si>
    <t>N</t>
    <phoneticPr fontId="1" type="noConversion"/>
  </si>
  <si>
    <t>【同步CIP失敗】</t>
    <phoneticPr fontId="1" type="noConversion"/>
  </si>
  <si>
    <t>發送異動通知電文給CIP回傳錯誤碼:UP0090_00_V201,錯誤碼訊息:必要性檢核錯誤,錯誤訊息:[檢查有誤，顧客ID已停用]</t>
    <phoneticPr fontId="1" type="noConversion"/>
  </si>
  <si>
    <t>N</t>
    <phoneticPr fontId="1" type="noConversion"/>
  </si>
  <si>
    <t>LINK</t>
    <phoneticPr fontId="1" type="noConversion"/>
  </si>
  <si>
    <t>春娥</t>
    <phoneticPr fontId="1" type="noConversion"/>
  </si>
  <si>
    <t>這戶業管已開立需求單,請CIP及CIFX各依業管下述指示辦理－</t>
    <phoneticPr fontId="1" type="noConversion"/>
  </si>
  <si>
    <t>【同步CIP失敗】:必要性檢核錯誤,錯誤訊息:[檢查有誤，顧客ID已停用]</t>
    <phoneticPr fontId="1" type="noConversion"/>
  </si>
  <si>
    <t>請協助處理</t>
    <phoneticPr fontId="1" type="noConversion"/>
  </si>
  <si>
    <t>1613841416941252-5296076-70-02</t>
    <phoneticPr fontId="1" type="noConversion"/>
  </si>
  <si>
    <t xml:space="preserve"> -&gt;E222227511
Y-&gt;E22222751A</t>
    <phoneticPr fontId="1" type="noConversion"/>
  </si>
  <si>
    <t>已通知CIP team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</si>
  <si>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發送ID改號電文給CIP回傳錯誤碼:UP0090_00_R101,錯誤碼訊息:存在驗證錯誤,錯誤訊息:[ID改號作業-&gt;CIF改號作業-&gt;&lt;檢查有誤，查無符合(改號前)銀行歸戶統編(N12041545A)顧客&gt;]</t>
    <phoneticPr fontId="1" type="noConversion"/>
  </si>
  <si>
    <t>1614180679355236-5981976-95-02</t>
    <phoneticPr fontId="1" type="noConversion"/>
  </si>
  <si>
    <t>{"requestModel":{"header":{"msgNo":"TS0116_00_20210224153119_43072","txnCode":"A149022","txnTime":"2021-02-24 15:31:19","senderCode":"TS0116_00","receiverCode":"UP0090_00","operatorCode":"08255","unitCode":"0015","authorizerCode":"00761"},"requestBody":{"funcId":"04","criteria":{"exCirciKey":"N12041545A"},"dataSet":[{"circiKey":"N120415456","partyCertNo":"N120415456","partyCertDate":"1960-07-28"}]}},"resultCode":"UP0090_00_R101","resultDescription":"存在驗證錯誤","resultBody":null,"errorMessages":["ID改號作業-&gt;CIF改號作業-&gt;&lt;檢查有誤，查無符合(改號前)銀行歸戶統編(N12041545A)顧客&gt;"]}</t>
    <phoneticPr fontId="1" type="noConversion"/>
  </si>
  <si>
    <t xml:space="preserve"> -&gt;N12041545A
Y-&gt;N120415456</t>
    <phoneticPr fontId="1" type="noConversion"/>
  </si>
  <si>
    <t>N</t>
    <phoneticPr fontId="1" type="noConversion"/>
  </si>
  <si>
    <t>發送異動通知電文給CIP回傳錯誤碼:UP0090_00_V201,錯誤碼訊息:必要性檢核錯誤,錯誤訊息:[檢查有誤，顧客ID已停用]</t>
    <phoneticPr fontId="1" type="noConversion"/>
  </si>
  <si>
    <t>SY10924337</t>
    <phoneticPr fontId="1" type="noConversion"/>
  </si>
  <si>
    <t>RE10918831</t>
    <phoneticPr fontId="1" type="noConversion"/>
  </si>
  <si>
    <t>1603451891883653-3530541-86-02</t>
    <phoneticPr fontId="1" type="noConversion"/>
  </si>
  <si>
    <t>1603451891680366-3530530-31-02</t>
    <phoneticPr fontId="1" type="noConversion"/>
  </si>
  <si>
    <t>{"header":{"msgNo":" 410052","txnCode":"A121012 ","txnTime":"2020-10-23 11:18:11","senderCode":"TS0077","receiverCode":"TS0116","operatorCode":"12227  ","unitCode":"0819","authorizerCode":""},"requestBody":{"header":{"acDate":null,"acDateROC":null,"bitMap":null,"cashier":null,"collectingBranch":null,"communicationSeqNo":" 410052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410052","password":null,"pCode":null,"processType":null,"referenceNumber":null,"region":"IFP0ATWB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","tradeSeqNoInAP":"4100019 ","tradingSummary":null,"txId":"A121012 ","txIdInAP":"A121012 ","txSystem":null,"userType":null,"uuid":"        ","workStationId":"L0819A07","customerInfo":{"customerClub":null,"cik":null,"moneyLaunderingMarker":null,"specificMemberFlag":null},"teller":{"tellerId":"12227  ","operateId":"41","supervisorId":"04973","supervisorCardCode":null,"tradeSeqNo":null,"centralizeMark":null},"branch":{"branchCode":"0819","signStatus":null},"oriInData":"IFP0ATWB L0819A07081941A121012  410052 410052011  12227                  00004100019         08195804973                                                                                            S222335199蘇思如　　　　　　　　　　　　　　　　　　　　　　　　　　　　　　　　　　　　00650510          　　　　　　　　　　0TW0060615G00011Y076451397  076451397      0987081832       0984263092            高雄市林園區中汕里１９鄰北汕二路１０３號　　　　　　　　　　　　　　　　　　　832高雄市林園區中汕里１９鄰北汕二路１０３號　　　　　　　　　　　　　　　　　　　                                                  綠圓素　　　　　　　　　　　　　　　　02　　　　            00000000000  00  　　　　02             0819                              00930809 0244S2223351990984263092 000 0819580500T2203770011206000000000000                  　　　　　　　　　　　　　　　　　　　　　　　　　　　　　                                                                                   Y一般職員　　　　　","msgCode":null,"sys":null,"msgType":null,"dateTime":null,"localDate":null,"localTime":null,"EAITradeSeqNo":null,"EJVLD":null,"EAITxId":null},"model":{"customerCertificationNumber":"S222335199","customerName":"蘇思如　　　　　　　　　　　　　　　　　　　　　　　　　　　　　　　　　　　　","principalCertificationNumber":"          ","principalName":"　　　　　　　　　　","nationality":"0","registeredCountry":"TW","industryType":"006","industrialCodeForDgbas":"0615G0","customerPropertyType":"0","customerType":"01","taxType":"1","supplementaryPremiumFlag":"Y","permanentPhoneNumber":"076451397  ","residentialPhoneNumber":"076451397  ","residentialNumberExtension":"    ","companyPhoneNumber":"0987081832 ","companyExtensionNumber":"      ","mobilePhoneNumber":"0984263092 ","fax":"           ","fullPermanentAddress":"高雄市林園區中汕里１９鄰北汕二路１０３號　　　　　　　　　　　　　　　　　　　","residentialZip":"832","fullResidentialAddress":"高雄市林園區中汕里１９鄰北汕二路１０３號　　　　　　　　　　　　　　　　　　　","emailAddress":"                                                  ","serveCompanyName":"綠圓素　　　　　　　　　　　　　　　　","accountPurposeForPerson":"02","otherAccountPurposeForPerson":"　　　　","capital":"00000000000","annualRevenue":"  ","accountPurposeForCompany":"  ","otherAccountPurposeForCompany":"　　　　","industrialPropertyType":"02","parentCompanyCertificationNumber":"          ","parentCompanyCountry":"  ","foreignBranchFlag":" ","creationDepartment":"0819","taxIdentificationNumber":"          ","referrerIdentificationNumber":"          ","spouseIdentificationNumber":"          ","creationDate":"00930809","chinaMasterCode":" ","mainBusinessUnit":"0244","customerCirciKey":"S222335199","mobilePhoneNumberForSmsTrade":"0984263092 ","reasonToRejectLoan":"0","customerStatus":"00","doNotSendStatementFlag":" ","alienResidenceIdentificationNumber":"          ","alienResidenceIssueDate":"        ","noticeForDepositAndRemittance":"　　　　　　　　　　　　　　　　　　　　　　　　　　　　　","chinaSubCode":"  ","birthday":"00650510","serveCompanyCertificationNumber":"          ","supervisorCardNumber":"0819580500T2203770011206000000000000","jobPositionName":"一般職員　　　　　"},"optional":{"forceUpdate":"Y"}}}</t>
    <phoneticPr fontId="1" type="noConversion"/>
  </si>
  <si>
    <t>CIFX_STAGE1_ERRORS</t>
    <phoneticPr fontId="1" type="noConversion"/>
  </si>
  <si>
    <t>1603291674917878-3177380-56-02</t>
    <phoneticPr fontId="1" type="noConversion"/>
  </si>
  <si>
    <t>1603291471153167-3171007-57-01</t>
    <phoneticPr fontId="1" type="noConversion"/>
  </si>
  <si>
    <t>{"header":{"msgNo":" B60041","txnCode":"A123012 ","txnTime":"2020-10-21 14:44:31","senderCode":"TS0077","receiverCode":"TS0116","operatorCode":"04762  ","unitCode":"0015","authorizerCode":""},"requestBody":{"header":{"acDate":null,"acDateROC":null,"bitMap":null,"cashier":null,"collectingBranch":null,"communicationSeqNo":" B60041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B60041","password":null,"pCode":null,"processType":null,"referenceNumber":null,"region":"IFP0ATWB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","tradeSeqNoInAP":"B600044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B60041 B60041011  04762                  0000B600044         0015                                                                                                   N10364459B好旺來社區Ｂ棟管理委員會　　　　　　　　　　　　　　　　　　　　　　　　　　　01090616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","birthday":"01090616","creationDepartment":"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","customerCirciKey":"N10364459B","reportUnit":"　　　　　　　　　　","customerName":"好旺來社區Ｂ棟管理委員會　　　　　　　　　　　　　　　　　　　　　　　　　　　","customerStatus":"  "},"optional":{"forceUpdate":null}}}</t>
    <phoneticPr fontId="1" type="noConversion"/>
  </si>
  <si>
    <t>1603291638094428-3171071-27-01</t>
    <phoneticPr fontId="1" type="noConversion"/>
  </si>
  <si>
    <t>1603291674701964-3177341-48-02</t>
    <phoneticPr fontId="1" type="noConversion"/>
  </si>
  <si>
    <t>{"header":{"msgNo":" B60051","txnCode":"A123012 ","txnTime":"2020-10-21 14:47:54","senderCode":"TS0077","receiverCode":"TS0116","operatorCode":"04762  ","unitCode":"0015","authorizerCode":""},"requestBody":{"header":{"acDate":null,"acDateROC":null,"bitMap":null,"cashier":null,"collectingBranch":null,"communicationSeqNo":" B60051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B60051","password":null,"pCode":null,"processType":null,"referenceNumber":null,"region":"IFP0ATWB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","tradeSeqNoInAP":"B600054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B60051 B60051011  04762                  0000B600054         0015                                                                                                   V22009798B林默紅　　　　　　　　　　　　　　　　　　　　　　　　　　　　　　　　　　　　01090618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","birthday":"01090618","creationDepartment":"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","customerCirciKey":"V22009798B","reportUnit":"　　　　　　　　　　","customerName":"林默紅　　　　　　　　　　　　　　　　　　　　　　　　　　　　　　　　　　　　","customerStatus":"  "},"optional":{"forceUpdate":null}}}</t>
    <phoneticPr fontId="1" type="noConversion"/>
  </si>
  <si>
    <t>1603291593462505-3171127-88-01</t>
    <phoneticPr fontId="1" type="noConversion"/>
  </si>
  <si>
    <t>1603291430440417-3171071-30-01</t>
    <phoneticPr fontId="1" type="noConversion"/>
  </si>
  <si>
    <t>{"header":{"msgNo":" B60039","txnCode":"A123012 ","txnTime":"2020-10-21 14:43:50","senderCode":"TS0077","receiverCode":"TS0116","operatorCode":"04762  ","unitCode":"0015","authorizerCode":""},"requestBody":{"header":{"acDate":null,"acDateROC":null,"bitMap":null,"cashier":null,"collectingBranch":null,"communicationSeqNo":" B60039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B60039","password":null,"pCode":null,"processType":null,"referenceNumber":null,"region":"IFP0ATWB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","tradeSeqNoInAP":"B600042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B60039 B60039011  04762                  0000B600042         0015                                                                                                   M22025879B台中私立龍龍語文短期補習班籌備處－邱秀華　　　　　　　　　　　　　　　　　　　00870602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","birthday":"00870602","creationDepartment":"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","customerCirciKey":"M22025879B","reportUnit":"　　　　　　　　　　","customerName":"台中私立龍龍語文短期補習班籌備處－邱秀華　　　　　　　　　　　　　　　　　　　","customerStatus":"  "},"optional":{"forceUpdate":null}}}</t>
    <phoneticPr fontId="1" type="noConversion"/>
  </si>
  <si>
    <t>1603291509669519-3171071-12-01</t>
    <phoneticPr fontId="1" type="noConversion"/>
  </si>
  <si>
    <t>1603291509487458-3171071-04-01</t>
    <phoneticPr fontId="1" type="noConversion"/>
  </si>
  <si>
    <t>{"header":{"msgNo":" B60043","txnCode":"A123012 ","txnTime":"2020-10-21 14:45:09","senderCode":"TS0077","receiverCode":"TS0116","operatorCode":"04762  ","unitCode":"0015","authorizerCode":""},"requestBody":{"header":{"acDate":null,"acDateROC":null,"bitMap":null,"cashier":null,"collectingBranch":null,"communicationSeqNo":" B60043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B60043","password":null,"pCode":null,"processType":null,"referenceNumber":null,"region":"IFP0ATWB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","tradeSeqNoInAP":"B600046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B60043 B60043011  04762                  0000B600046         0015                                                                                                   N12112336C啟田食品有限公司籌備處－葉峯墩　　　　　　　　　　　　　　　　　　　　　　　　01090617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","birthday":"01090617","creationDepartment":"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","customerCirciKey":"N12112336C","reportUnit":"　　　　　　　　　　","customerName":"啟田食品有限公司籌備處－葉峯墩　　　　　　　　　　　　　　　　　　　　　　　　","customerStatus":"  "},"optional":{"forceUpdate":null}}}</t>
    <phoneticPr fontId="1" type="noConversion"/>
  </si>
  <si>
    <t>1603291471516408-3171079-71-01</t>
    <phoneticPr fontId="1" type="noConversion"/>
  </si>
  <si>
    <t>1603291358449531-3170913-77-01</t>
    <phoneticPr fontId="1" type="noConversion"/>
  </si>
  <si>
    <t>{"header":{"msgNo":" B60036","txnCode":"A123012 ","txnTime":"2020-10-21 14:42:38","senderCode":"TS0077","receiverCode":"TS0116","operatorCode":"04762  ","unitCode":"0015","authorizerCode":""},"requestBody":{"header":{"acDate":null,"acDateROC":null,"bitMap":null,"cashier":null,"collectingBranch":null,"communicationSeqNo":" B60036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B60036","password":null,"pCode":null,"processType":null,"referenceNumber":null,"region":"IFP0ATWB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","tradeSeqNoInAP":"B600039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B60036 B60036011  04762                  0000B600039         0015                                                                                                   M12081677B樂信廣告傳媒有限公司籌備處陳季康　　　　　　　　　　　　　　　　　　　　　　　01090619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","birthday":"01090619","creationDepartment":"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","customerCirciKey":"M12081677B","reportUnit":"　　　　　　　　　　","customerName":"樂信廣告傳媒有限公司籌備處陳季康　　　　　　　　　　　　　　　　　　　　　　　","customerStatus":"  "},"optional":{"forceUpdate":null}}}</t>
    <phoneticPr fontId="1" type="noConversion"/>
  </si>
  <si>
    <t>1603291430619363-3171071-50-01</t>
    <phoneticPr fontId="1" type="noConversion"/>
  </si>
  <si>
    <t>1603291637924143-3171071-13-01</t>
    <phoneticPr fontId="1" type="noConversion"/>
  </si>
  <si>
    <t>{"header":{"msgNo":" B60049","txnCode":"A123012 ","txnTime":"2020-10-21 14:47:17","senderCode":"TS0077","receiverCode":"TS0116","operatorCode":"04762  ","unitCode":"0015","authorizerCode":""},"requestBody":{"header":{"acDate":null,"acDateROC":null,"bitMap":null,"cashier":null,"collectingBranch":null,"communicationSeqNo":" B60049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B60049","password":null,"pCode":null,"processType":null,"referenceNumber":null,"region":"IFP0ATWB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","tradeSeqNoInAP":"B600052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B60049 B60049011  04762                  0000B600052         0015                                                                                                   Q12097930B何政儒林宗賢　　　　　　　　　　　　　　　　　　　　　　　　　　　　　　　　　01090618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","birthday":"01090618","creationDepartment":"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","customerCirciKey":"Q12097930B","reportUnit":"　　　　　　　　　　","customerName":"何政儒林宗賢　　　　　　　　　　　　　　　　　　　　　　　　　　　　　　　　　","customerStatus":"  "},"optional":{"forceUpdate":null}}}</t>
    <phoneticPr fontId="1" type="noConversion"/>
  </si>
  <si>
    <t>1603291358872359-3170980-03-01</t>
    <phoneticPr fontId="1" type="noConversion"/>
  </si>
  <si>
    <t>1603291593196452-3177339-75-02</t>
    <phoneticPr fontId="1" type="noConversion"/>
  </si>
  <si>
    <t>{"header":{"msgNo":" B60047","txnCode":"A123012 ","txnTime":"2020-10-21 14:46:33","senderCode":"TS0077","receiverCode":"TS0116","operatorCode":"04762  ","unitCode":"0015","authorizerCode":""},"requestBody":{"header":{"acDate":null,"acDateROC":null,"bitMap":null,"cashier":null,"collectingBranch":null,"communicationSeqNo":" B60047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B60047","password":null,"pCode":null,"processType":null,"referenceNumber":null,"region":"IFP0ATWB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","tradeSeqNoInAP":"B600050 ","tradingSummary":null,"txId":"A123012 ","txIdInAP":"A123012 ","txSystem":null,"userType":null,"uuid":"        ","workStationId":"L0015C11","customerInfo":{"customerClub":null,"cik":null,"moneyLaunderingMarker":null,"specificMemberFlag":null},"teller":{"tellerId":"04762  ","operateId":"B6","supervisorId":"     ","supervisorCardCode":null,"tradeSeqNo":null,"centralizeMark":null},"branch":{"branchCode":"0015","signStatus":null},"oriInData":"IFP0ATWB L0015C110015B6A123012  B60047 B60047011  04762                  0000B600050         0015                                                                                                   N12132298B喬楨企業有限公司籌備處－林冠亨　　　　　　　　　　　　　　　　　　　　　　　　00870416            　　　　　　　　　　    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","birthday":"00870416","creationDepartment":"    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","customerCirciKey":"N12132298B","reportUnit":"　　　　　　　　　　","customerName":"喬楨企業有限公司籌備處－林冠亨　　　　　　　　　　　　　　　　　　　　　　　　","customerStatus":"  "},"optional":{"forceUpdate":null}}}</t>
    <phoneticPr fontId="1" type="noConversion"/>
  </si>
  <si>
    <t>1603291304980740-3170928-97-01</t>
    <phoneticPr fontId="1" type="noConversion"/>
  </si>
  <si>
    <t>1603290622847104-3176674-26-02</t>
    <phoneticPr fontId="1" type="noConversion"/>
  </si>
  <si>
    <t>{"header":{"msgNo":"TS0116_00_20201021143023_83682","txnCode":"A123012","txnTime":"2020-10-21 14:30:22","senderCode":"TS0116_00","receiverCode":"UP0090_00","operatorCode":"04762","unitCode":"0015","authorizerCode":null},"requestBody":{"funcId":"01","criteria":{"circiKey":"F22094916B","propertyTypeCode":"0","partyCertNo":"F220949168","partyCertDate":"2020-06-18"},"dataSet":[{"customerStatusCode":null}]}}</t>
    <phoneticPr fontId="1" type="noConversion"/>
  </si>
  <si>
    <t>1603291267462531-3177090-60-02</t>
    <phoneticPr fontId="1" type="noConversion"/>
  </si>
  <si>
    <t>1603290723781042-3169839-19-01</t>
    <phoneticPr fontId="1" type="noConversion"/>
  </si>
  <si>
    <t>{"header":{"msgNo":"TS0116_00_20201021143203_11862","txnCode":"A123012","txnTime":"2020-10-21 14:32:03","senderCode":"TS0116_00","receiverCode":"UP0090_00","operatorCode":"04762","unitCode":"0015","authorizerCode":null},"requestBody":{"funcId":"01","criteria":{"circiKey":"A10285338B","propertyTypeCode":"0","partyCertNo":"A102853386","partyCertDate":"2020-06-20"},"dataSet":[{"customerStatusCode":null}]}}</t>
    <phoneticPr fontId="1" type="noConversion"/>
  </si>
  <si>
    <t>1603291184798324-3171075-03-01</t>
    <phoneticPr fontId="1" type="noConversion"/>
  </si>
  <si>
    <t>1603290920903201-3176674-25-02</t>
    <phoneticPr fontId="1" type="noConversion"/>
  </si>
  <si>
    <t>{"header":{"msgNo":"TS0116_00_20201021143521_85582","txnCode":"A123012","txnTime":"2020-10-21 14:35:20","senderCode":"TS0116_00","receiverCode":"UP0090_00","operatorCode":"04762","unitCode":"0015","authorizerCode":null},"requestBody":{"funcId":"01","criteria":{"circiKey":"D22043511B","propertyTypeCode":"0","partyCertNo":"D220435112","partyCertDate":"2020-06-18"},"dataSet":[{"customerStatusCode":null}]}}</t>
    <phoneticPr fontId="1" type="noConversion"/>
  </si>
  <si>
    <t>1603291110570929-3170491-22-01</t>
    <phoneticPr fontId="1" type="noConversion"/>
  </si>
  <si>
    <t>1603290964580748-3176741-61-02</t>
    <phoneticPr fontId="1" type="noConversion"/>
  </si>
  <si>
    <t>{"header":{"msgNo":"TS0116_00_20201021143604_85782","txnCode":"A123012","txnTime":"2020-10-21 14:36:04","senderCode":"TS0116_00","receiverCode":"UP0090_00","operatorCode":"04762","unitCode":"0015","authorizerCode":null},"requestBody":{"funcId":"01","criteria":{"circiKey":"E12032370B","propertyTypeCode":"0","partyCertNo":"E120323705","partyCertDate":"2020-06-17"},"dataSet":[{"customerStatusCode":null}]}}</t>
    <phoneticPr fontId="1" type="noConversion"/>
  </si>
  <si>
    <t>1603291051927456-3176884-21-02</t>
    <phoneticPr fontId="1" type="noConversion"/>
  </si>
  <si>
    <t>1603291184512338-3171062-89-01</t>
    <phoneticPr fontId="1" type="noConversion"/>
  </si>
  <si>
    <t>{"header":{"msgNo":"TS0116_00_20201021143944_87782","txnCode":"A123012","txnTime":"2020-10-21 14:39:44","senderCode":"TS0116_00","receiverCode":"UP0090_00","operatorCode":"04762","unitCode":"0015","authorizerCode":null},"requestBody":{"funcId":"01","criteria":{"circiKey":"J20035383C","propertyTypeCode":"0","partyCertNo":"J200353838","partyCertDate":"2020-06-18"},"dataSet":[{"customerStatusCode":null}]}}</t>
    <phoneticPr fontId="1" type="noConversion"/>
  </si>
  <si>
    <t>1603290999218340-3176868-87-02</t>
    <phoneticPr fontId="1" type="noConversion"/>
  </si>
  <si>
    <t>1603290682435752-3169839-23-01</t>
    <phoneticPr fontId="1" type="noConversion"/>
  </si>
  <si>
    <t>{"header":{"msgNo":"TS0116_00_20201021143122_11362","txnCode":"A123012","txnTime":"2020-10-21 14:31:22","senderCode":"TS0116_00","receiverCode":"UP0090_00","operatorCode":"04762","unitCode":"0015","authorizerCode":null},"requestBody":{"funcId":"01","criteria":{"circiKey":"A10092067B","propertyTypeCode":"0","partyCertNo":"A100920679","partyCertDate":"2020-06-24"},"dataSet":[{"customerStatusCode":null}]}}</t>
    <phoneticPr fontId="1" type="noConversion"/>
  </si>
  <si>
    <t>1603290964901477-3170331-81-01</t>
    <phoneticPr fontId="1" type="noConversion"/>
  </si>
  <si>
    <t>1603290998787668-3170318-61-01</t>
    <phoneticPr fontId="1" type="noConversion"/>
  </si>
  <si>
    <t>{"header":{"msgNo":"TS0116_00_20201021143638_56572","txnCode":"A123012","txnTime":"2020-10-21 14:36:38","senderCode":"TS0116_00","receiverCode":"UP0090_00","operatorCode":"04762","unitCode":"0015","authorizerCode":null},"requestBody":{"funcId":"01","criteria":{"circiKey":"E12131963B","propertyTypeCode":"0","partyCertNo":"E121319634","partyCertDate":"2020-06-16"},"dataSet":[{"customerStatusCode":null}]}}</t>
    <phoneticPr fontId="1" type="noConversion"/>
  </si>
  <si>
    <t>1603290921093447-3176685-38-02</t>
    <phoneticPr fontId="1" type="noConversion"/>
  </si>
  <si>
    <t>1603290762779835-3176601-65-02</t>
    <phoneticPr fontId="1" type="noConversion"/>
  </si>
  <si>
    <t>{"header":{"msgNo":"TS0116_00_20201021143242_91811","txnCode":"A123012","txnTime":"2020-10-21 14:32:42","senderCode":"TS0116_00","receiverCode":"UP0090_00","operatorCode":"04762","unitCode":"0015","authorizerCode":null},"requestBody":{"funcId":"01","criteria":{"circiKey":"A10374657B","propertyTypeCode":"0","partyCertNo":"A103746577","partyCertDate":"2020-06-16"},"dataSet":[{"customerStatusCode":null}]}}</t>
    <phoneticPr fontId="1" type="noConversion"/>
  </si>
  <si>
    <t>1603290882009958-3170213-46-01</t>
    <phoneticPr fontId="1" type="noConversion"/>
  </si>
  <si>
    <t>1603291304740648-3170866-76-01</t>
    <phoneticPr fontId="1" type="noConversion"/>
  </si>
  <si>
    <t>{"header":{"msgNo":"TS0116_00_20201021144144_17762","txnCode":"A123012","txnTime":"2020-10-21 14:41:44","senderCode":"TS0116_00","receiverCode":"UP0090_00","operatorCode":"04762","unitCode":"0015","authorizerCode":null},"requestBody":{"funcId":"01","criteria":{"circiKey":"M12055732B","propertyTypeCode":"0","partyCertNo":"M120557323","partyCertDate":"2020-06-17"},"dataSet":[{"customerStatusCode":null}]}}</t>
    <phoneticPr fontId="1" type="noConversion"/>
  </si>
  <si>
    <t>1603290837629000-3170207-87-01</t>
    <phoneticPr fontId="1" type="noConversion"/>
  </si>
  <si>
    <t>1603290837385225-3170148-61-01</t>
    <phoneticPr fontId="1" type="noConversion"/>
  </si>
  <si>
    <t>{"header":{"msgNo":"TS0116_00_20201021143357_85082","txnCode":"A123012","txnTime":"2020-10-21 14:33:57","senderCode":"TS0116_00","receiverCode":"UP0090_00","operatorCode":"04762","unitCode":"0015","authorizerCode":null},"requestBody":{"funcId":"01","criteria":{"circiKey":"C10046761B","propertyTypeCode":"0","partyCertNo":"C100467615","partyCertDate":"2020-06-16"},"dataSet":[{"customerStatusCode":null}]}}</t>
    <phoneticPr fontId="1" type="noConversion"/>
  </si>
  <si>
    <t>1603290799841545-3176689-80-02</t>
    <phoneticPr fontId="1" type="noConversion"/>
  </si>
  <si>
    <t>1603290799641969-3170070-66-01</t>
    <phoneticPr fontId="1" type="noConversion"/>
  </si>
  <si>
    <t>{"header":{"msgNo":"TS0116_00_20201021143319_92211","txnCode":"A123012","txnTime":"2020-10-21 14:33:19","senderCode":"TS0116_00","receiverCode":"UP0090_00","operatorCode":"04762","unitCode":"0015","authorizerCode":null},"requestBody":{"funcId":"01","criteria":{"circiKey":"AC0261554B","propertyTypeCode":"0","partyCertNo":"AC02615548","partyCertDate":"2020-06-18"},"dataSet":[{"customerStatusCode":null}]}}</t>
    <phoneticPr fontId="1" type="noConversion"/>
  </si>
  <si>
    <t>1603290763239672-3176689-02-02</t>
    <phoneticPr fontId="1" type="noConversion"/>
  </si>
  <si>
    <t>1603290881793116-3170188-21-01</t>
    <phoneticPr fontId="1" type="noConversion"/>
  </si>
  <si>
    <t>{"header":{"msgNo":"TS0116_00_20201021143441_54372","txnCode":"A123012","txnTime":"2020-10-21 14:34:41","senderCode":"TS0116_00","receiverCode":"UP0090_00","operatorCode":"04762","unitCode":"0015","authorizerCode":null},"requestBody":{"funcId":"01","criteria":{"circiKey":"C22036411B","propertyTypeCode":"0","partyCertNo":"C220364117","partyCertDate":"2020-06-17"},"dataSet":[{"customerStatusCode":null}]}}</t>
    <phoneticPr fontId="1" type="noConversion"/>
  </si>
  <si>
    <t>1603290724004269-3169859-37-01</t>
    <phoneticPr fontId="1" type="noConversion"/>
  </si>
  <si>
    <t>1603291110251497-3170444-95-01</t>
    <phoneticPr fontId="1" type="noConversion"/>
  </si>
  <si>
    <t>{"header":{"msgNo":"TS0116_00_20201021143830_94811","txnCode":"A123012","txnTime":"2020-10-21 14:38:30","senderCode":"TS0116_00","receiverCode":"UP0090_00","operatorCode":"04762","unitCode":"0015","authorizerCode":null},"requestBody":{"funcId":"01","criteria":{"circiKey":"G20065813B","propertyTypeCode":"0","partyCertNo":"G200658130","partyCertDate":"2020-06-17"},"dataSet":[{"customerStatusCode":null}]}}</t>
    <phoneticPr fontId="1" type="noConversion"/>
  </si>
  <si>
    <t>1603290682654418-3169859-49-01</t>
    <phoneticPr fontId="1" type="noConversion"/>
  </si>
  <si>
    <t>1603291267234238-3177070-46-02</t>
    <phoneticPr fontId="1" type="noConversion"/>
  </si>
  <si>
    <t>{"header":{"msgNo":"TS0116_00_20201021144107_95711","txnCode":"A123012","txnTime":"2020-10-21 14:41:07","senderCode":"TS0116_00","receiverCode":"UP0090_00","operatorCode":"04762","unitCode":"0015","authorizerCode":null},"requestBody":{"funcId":"01","criteria":{"circiKey":"L12011702C","propertyTypeCode":"0","partyCertNo":"L120117024","partyCertDate":"2020-06-17"},"dataSet":[{"customerStatusCode":null}]}}</t>
    <phoneticPr fontId="1" type="noConversion"/>
  </si>
  <si>
    <t>1603290623153948-3176685-53-02</t>
    <phoneticPr fontId="1" type="noConversion"/>
  </si>
  <si>
    <t>1603291051699177-3176868-13-02</t>
    <phoneticPr fontId="1" type="noConversion"/>
  </si>
  <si>
    <t>{"header":{"msgNo":"TS0116_00_20201021143731_57672","txnCode":"A123012","txnTime":"2020-10-21 14:37:31","senderCode":"TS0116_00","receiverCode":"UP0090_00","operatorCode":"04762","unitCode":"0015","authorizerCode":null},"requestBody":{"funcId":"01","criteria":{"circiKey":"F12155352B","propertyTypeCode":"0","partyCertNo":"F121553520","partyCertDate":"2020-06-17"},"dataSet":[{"customerStatusCode":null}]}}</t>
    <phoneticPr fontId="1" type="noConversion"/>
  </si>
  <si>
    <t>1603212962945655-2995889-13-02</t>
    <phoneticPr fontId="1" type="noConversion"/>
  </si>
  <si>
    <t>發送異動通知電文給CIP回傳錯誤碼:UP0090_00_V501,錯誤碼訊息:正確性檢核錯誤,錯誤訊息:[欄位「customerName」的值前後含空白字元(半形／全形)，請移除再提供]</t>
    <phoneticPr fontId="1" type="noConversion"/>
  </si>
  <si>
    <t>1603201955846484-2965738-41-02</t>
    <phoneticPr fontId="1" type="noConversion"/>
  </si>
  <si>
    <t>發送ID改號電文給CIP回傳錯誤碼:UP0090_00_R101,錯誤碼訊息:存在驗證錯誤,錯誤訊息:[檢查有誤，顧客曾經執行過ID改號，將交由資料管家處理]</t>
    <phoneticPr fontId="1" type="noConversion"/>
  </si>
  <si>
    <t>1603201955074996-2973599-20-01</t>
    <phoneticPr fontId="1" type="noConversion"/>
  </si>
  <si>
    <t>{"I_MES_NUM":"TS0108TS0077202010200015 B60003","I_TRA_SEQ":"A149022","I_TRA_DAT_TIM":"20201020 135235","I_SEN_COD":"TS0108","I_REC_COD":"TS0116","I_TEL_EMP_NUM":"04762","I_PRO_UNI":"0015","I_SUP_EMP_NUM":"90129","I_FUN_ID":"04","I_VER_ID_BEFORE":"J20043746C","I_BIR_BEFORE":"20200617","I_VER_ID_AFTER":"J200437464","I_BIR_AFTER":"20040615","I_OP":"3","I_ACC":"C600需求單RE10917795"}</t>
    <phoneticPr fontId="1" type="noConversion"/>
  </si>
  <si>
    <t>1603200828152833-2964675-05-02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</si>
  <si>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發送ID改號電文給CIP回傳錯誤碼:UP0090_00_R101,錯誤碼訊息:存在驗證錯誤,錯誤訊息:[ID改號作業-&gt;CIF改號作業-&gt;&lt;檢查有誤，查無符合(改號前)銀行歸戶統編(A20107528A)顧客&gt;]</t>
    <phoneticPr fontId="1" type="noConversion"/>
  </si>
  <si>
    <t>1603200827883415-2963538-87-02</t>
    <phoneticPr fontId="1" type="noConversion"/>
  </si>
  <si>
    <t>{"I_MES_NUM":"TS0108TS0077202010200015 J50007","I_TRA_SEQ":"A149022","I_TRA_DAT_TIM":"20201020 133347","I_SEN_COD":"TS0108","I_REC_COD":"TS0116","I_TEL_EMP_NUM":"08742","I_PRO_UNI":"0015","I_SUP_EMP_NUM":"03270","I_FUN_ID":"04","I_VER_ID_BEFORE":"A20107528A","I_BIR_BEFORE":"20200928","I_VER_ID_AFTER":"A201075282","I_BIR_AFTER":"19520821","I_OP":"3","I_ACC":"0532需求單RE10916874"}</t>
    <phoneticPr fontId="1" type="noConversion"/>
  </si>
  <si>
    <t>1603134100098913-2817367-38-02</t>
    <phoneticPr fontId="1" type="noConversion"/>
  </si>
  <si>
    <t>發送異動通知電文給CIP回傳錯誤碼:UP0090_00_V201,錯誤碼訊息:必要性檢核錯誤,錯誤訊息:[檢查有誤，DC00062588 顧客曾經執行過ID改號]</t>
    <phoneticPr fontId="1" type="noConversion"/>
  </si>
  <si>
    <t>1603134099646946-2817345-05-02</t>
    <phoneticPr fontId="1" type="noConversion"/>
  </si>
  <si>
    <t>{"header":{"msgNo":" 290009","txnCode":"A123012 ","txnTime":"2020-10-19 19:01:39","senderCode":"TS0077","receiverCode":"TS0116","operatorCode":"07384  ","unitCode":"C180","authorizerCode":""},"requestBody":{"header":{"acDate":null,"acDateROC":null,"bitMap":null,"cashier":null,"collectingBranch":null,"communicationSeqNo":" 290009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290009","password":null,"pCode":null,"processType":null,"referenceNumber":null,"region":"IFP0ATWB ","returnCode":null,"reverseTradeSeqNo":null,"row4":null,"rsv":"                                                                                            ","signatureData":null,"syncData":null,"systemDate":null,"systemDateROC":null,"systemTime":null,"tradeDateInAP":null,"tradeTimeInAP":null,"toAccountNo":null,"tradeAttribution1":"0","tradeAttribution2":"1","tradeAttribution3":"1","tradeAttribution4":" ","tradeSeqNoInAP":"2900013 ","tradingSummary":null,"txId":"A123012 ","txIdInAP":"A123012 ","txSystem":null,"userType":null,"uuid":"        ","workStationId":"LC180B81","customerInfo":{"customerClub":null,"cik":null,"moneyLaunderingMarker":null,"specificMemberFlag":null},"teller":{"tellerId":"07384  ","operateId":"29","supervisorId":"07475","supervisorCardCode":null,"tradeSeqNo":null,"centralizeMark":null},"branch":{"branchCode":"C180","signStatus":null},"oriInData":"IFP0ATWB LC180B81C18029A123012  290009 290009011  07384                  00002900013         C1806107475                                                                                            DC00062588ＶＡＨＤＡＮＩＶＡＳＨ　ＡＬＩ艾力　　　　　　　　　　　　　　　　　　　　　　00580420            　　　　　　　　　　C180　　　　　　　　　　　　　　　　　　　　　　　　　　　　　　　　　　　　　　　　　　　　　　　　　　　　　　　　　　　　　　　　　　　　　　　　　　　　　　　  ","msgCode":null,"sys":null,"msgType":null,"dateTime":null,"localDate":null,"localTime":null,"EAITradeSeqNo":null,"EJVLD":null,"EAITxId":null},"model":{"accountReviewStateFlag":" ","accountReviewPendingFlag":" ","birthday":"00580420","creationDepartment":"C180","terroristsFlag":" ","caseDescription":"　　　　　　　　　　　　　　　　　　　　　　　　　　　　　　　　　　　　　　　　　　　　　　　　　　　　　　　　　　　　　　　　　　　　　　　　　　　　　　　","caseReportedDate":"        ","specialAccountFlag":" ","customerCirciKey":"DC00062588","reportUnit":"　　　　　　　　　　","customerName":"ＶＡＨＤＡＮＩＶＡＳＨ　ＡＬＩ艾力　　　　　　　　　　　　　　　　　　　　　　","customerStatus":"  "},"optional":{"forceUpdate":null}}}</t>
    <phoneticPr fontId="1" type="noConversion"/>
  </si>
  <si>
    <t>SY10924228</t>
    <phoneticPr fontId="1" type="noConversion"/>
  </si>
  <si>
    <t>轉開事件單EM10909595追蹤</t>
    <phoneticPr fontId="1" type="noConversion"/>
  </si>
  <si>
    <t>已另開事件單</t>
    <phoneticPr fontId="1" type="noConversion"/>
  </si>
  <si>
    <t>1603123195433264-2787209-01-02</t>
    <phoneticPr fontId="1" type="noConversion"/>
  </si>
  <si>
    <t>1603123195183248-2798438-32-01</t>
    <phoneticPr fontId="1" type="noConversion"/>
  </si>
  <si>
    <t>{"header":{"msgNo":"TS0116_00_20201019155955_92411","txnCode":"A101011","txnTime":"2020-10-19 15:59:55","senderCode":"TS0116_00","receiverCode":"UP0090_00","operatorCode":"17501","unitCode":"0152","authorizerCode":null},"requestBody":{"funcId":"01","criteria":{"circiKey":"81699054","propertyTypeCode":"4","partyCertNo":"81699054","partyCertDate":"1967-04-14"},"dataSet":[{"creationDptCode":"0152","customerName":"　心診所謝棟漢","selfBankSpecialServiceFlag":"00000","industryPropsTypeCode":"01","performanceDptCode":"0152","nationalityCode":"0","refuseLoanReasonCode":"0","regCountryCode":"TW","incomeTaxTypeCode":"1","stopUseCustomerDataFlag":" ","agreeCrossSellingFlag":"N","chinaMasterCode":"1","chinaSubCode":"02","contactAddrPostalCode":"704","contactAddr":"華德里北安路一段２１３號１樓","contactAddrAdminArea":"北區","contactAddrLocality":"臺南市","contactTel":"062818588","dgbasIndustryCode":"018620","ncbIndustryCode":"011100","principalPartyCertNo":"G120982751","principalName":"謝棟漢","contactPhone":"0921510601","email":"SAMHSIEH2011@GMAIL.COM","residenceAddrLocality":"臺南市","residenceAddr":"華德里北安路一段２１３號１樓","residenceAddrPostalCode":"704","residenceAddrAdminArea":"北區","contactAddrCountryCode":"TW","principalBirthday":"1967-04-14","residenceAddrCountryCode":"TW"}],"option":{"isCustConfirmation":true}}}</t>
    <phoneticPr fontId="1" type="noConversion"/>
  </si>
  <si>
    <t>1602862322179843-2249231-24-02</t>
    <phoneticPr fontId="1" type="noConversion"/>
  </si>
  <si>
    <t>發送異動通知電文時, ESIP無回應!!!!</t>
    <phoneticPr fontId="1" type="noConversion"/>
  </si>
  <si>
    <t>1602862312042479-2249205-78-02</t>
    <phoneticPr fontId="1" type="noConversion"/>
  </si>
  <si>
    <t>1602856792110125-2237087-33-01</t>
    <phoneticPr fontId="1" type="noConversion"/>
  </si>
  <si>
    <t>1602856781722986-2237069-45-01</t>
    <phoneticPr fontId="1" type="noConversion"/>
  </si>
  <si>
    <t>1602845898427883-2205704-59-01</t>
    <phoneticPr fontId="1" type="noConversion"/>
  </si>
  <si>
    <t>刪除失敗同步註記</t>
    <phoneticPr fontId="1" type="noConversion"/>
  </si>
  <si>
    <t>1603724342705289-4112782-37-02</t>
    <phoneticPr fontId="1" type="noConversion"/>
  </si>
  <si>
    <t>1603724342502887-4110387-04-01</t>
    <phoneticPr fontId="1" type="noConversion"/>
  </si>
  <si>
    <t>{"header":{"msgNo":"TS0116_00_20201026145902_56372","txnCode":"A121012","txnTime":"2020-10-26 14:59:02","senderCode":"TS0116_00","receiverCode":"UP0090_00","operatorCode":"92860","unitCode":"0358","authorizerCode":null},"requestBody":{"funcId":"01","criteria":{"circiKey":"L121116692","propertyTypeCode":"0","partyCertNo":"L121116692","partyCertDate":"2020-10-21"},"dataSet":[{"customerName":"蕭漢能","residenceTel":"null","contactPhone":"0975675012","email":null,"contactAddrPostalCode":"428","contactAddr":"大楓里１５鄰民富街７３巷４９號","contactAddrAdminArea":"大雅區","contactAddrLocality":"臺中市","contactTel":"","residenceAddrLocality":"臺中市","residenceAddr":"大楓里１５鄰民富街７３巷４９號","residenceAddrPostalCode":"428","residenceAddrAdminArea":"大雅區","contactAddrCountryCode":"TW","residenceAddrCountryCode":"TW"}],"option":{"isCustConfirmation":true}}}</t>
    <phoneticPr fontId="1" type="noConversion"/>
  </si>
  <si>
    <t>SY10924516</t>
    <phoneticPr fontId="1" type="noConversion"/>
  </si>
  <si>
    <t>RE10918960</t>
    <phoneticPr fontId="1" type="noConversion"/>
  </si>
  <si>
    <t>1603761636130981-4194530-04-02</t>
    <phoneticPr fontId="1" type="noConversion"/>
  </si>
  <si>
    <t>1603761635773322-4187606-40-01</t>
    <phoneticPr fontId="1" type="noConversion"/>
  </si>
  <si>
    <t>{"header":{"msgNo":"TS0116_00_20201027012036_95662","txnCode":"NT1409","txnTime":"2020-10-27 01:20:35","senderCode":"TS0116_00","receiverCode":"UP0090_00","operatorCode":"TS0116_00","unitCode":"0015","authorizerCode":null},"requestBody":{"funcId":"01","criteria":{"circiKey":"S124074991","propertyTypeCode":"0","partyCertNo":"S124074991","partyCertDate":"1986-05-19"},"dataSet":[{"contactPhone":"0912105231","email":"okmn963@yahoo.com.tw","residenceAddrLocality":"澎湖縣","residenceAddr":"烏崁里８鄰烏崁４０之３號","residenceAddrPostalCode":"880","residenceAddrAdminArea":"馬公市","serveCompanyCertNo":null,"serveCompanyName":"無","creationDptCode":"0015","customerName":"葉大　","selfBankSpecialServiceFlag":"00000","grownUpGuardianshipCode":"0","industryPropsTypeCode":"02","industryTypeCode":"04","performanceDptCode":"0015","txnPhone":"0912105231","partyEnglishName":"YE, DA-WEI","nationalityCode":"0","residenceTel":"069214285","refuseLoanReasonCode":"0","regCountryCode":"TW","incomeTaxTypeCode":"1","genderCode":"M","agreeCrossSellingFlag":"N","contactAddrPostalCode":"880","contactAddr":"烏崁里８鄰烏崁４０之３號","contactAddrAdminArea":"馬公市","contactAddrLocality":"澎湖縣","contactTel":"069214285","dgbasIndustryCode":"061700","ncbIndustryCode":"060000","residenceAddrCountryCode":"TW","contactAddrCountryCode":"TW","customerBirthday":"1986-05-19"}]}}</t>
    <phoneticPr fontId="1" type="noConversion"/>
  </si>
  <si>
    <t>SY10924512</t>
    <phoneticPr fontId="1" type="noConversion"/>
  </si>
  <si>
    <t>RE10918980</t>
    <phoneticPr fontId="1" type="noConversion"/>
  </si>
  <si>
    <t>請 CIFX 提供宋忠哲全部資料, 進行重新歸戶作業
CIFX 待 CIP 完成作業後進行重送</t>
    <phoneticPr fontId="1" type="noConversion"/>
  </si>
  <si>
    <t>1603804482405266-4293414-42-01</t>
    <phoneticPr fontId="1" type="noConversion"/>
  </si>
  <si>
    <t>1603804482164120-4271067-03-02</t>
    <phoneticPr fontId="1" type="noConversion"/>
  </si>
  <si>
    <t>{"header":{"msgNo":"TS0116_00_20201027131442_96611","txnCode":"A121012","txnTime":"2020-10-27 13:14:42","senderCode":"TS0116_00","receiverCode":"UP0090_00","operatorCode":"13214","unitCode":"1067","authorizerCode":null},"requestBody":{"funcId":"01","criteria":{"circiKey":"R122087177","propertyTypeCode":"0","partyCertNo":"R122087177","partyCertDate":"1968-12-02"},"dataSet":[{"customerName":"宋忠哲","industryTypeCode":"12","contactPhone":"0908427177","email":"CHEJAVA@GMAIL.COM","companyTelExtension":null,"companyTel":"0908427177","contactAddrPostalCode":"717","contactAddr":"二行里７鄰行大街２６０號","contactAddrAdminArea":"仁德區","contactAddrLocality":"臺南市","contactTel":"0908427177","dgbasIndustryCode":"061610","ncbIndustryCode":"060000","residenceAddrLocality":"臺南市","residenceAddr":"二行里７鄰行大街２６０號","residenceAddrPostalCode":"717","residenceAddrAdminArea":"仁德區","serveCompanyCertNo":null,"serveCompanyName":"無","contactAddrCountryCode":"TW","customerBirthday":"1968-12-02","residenceAddrCountryCode":"TW"}],"option":{"isCustConfirmation":true}}}</t>
    <phoneticPr fontId="1" type="noConversion"/>
  </si>
  <si>
    <t xml:space="preserve"> -&gt;R122087177 Y-&gt;R124413595</t>
    <phoneticPr fontId="1" type="noConversion"/>
  </si>
  <si>
    <t>SY10924965</t>
    <phoneticPr fontId="1" type="noConversion"/>
  </si>
  <si>
    <t>送2筆同步給CIP, 刪除其中失敗的1筆</t>
    <phoneticPr fontId="1" type="noConversion"/>
  </si>
  <si>
    <t>1603807230690058-4303399-24-02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</si>
  <si>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[serviceInterchangeId=1603807229245363372, serviceInterchangeTime=Tue Oct 27 14:00:29 CST 2020, msgNo=TS0116_00_20201027140029_17811, serviceName=CATEGORY_002, operationName=writeCustomerInfo, txnCode=BT$MAL11, txnTime=Tue Oct 27 14:00:27 CST 2020, senderCode=TS0116_00, receiverCode=UP0090_00, operatorCode=99, unitCode=0598, authorizerCode=null, serviceResponse=null, queryResponseLineitems=[]], funcId=01, custName=温美鈴, companyEstablishDate=null, circiKey=T221205068, creditCardKey=null, certNo=T221205068, certDate=Wed Oct 20 00:00:00 CST 1965,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goldenRecordItemContent=0598],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goldenRecordItemContent=温美鈴],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goldenRecordItemContent=0598],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goldenRecordItemContent=0912717605],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goldenRecordItemContent=087783681],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goldenRecordItemContent=908],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goldenRecordItemContent=榮華村忠孝三巷１２號],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goldenRecordItemContent=長治鄉],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goldenRecordItemContent=屏東縣],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goldenRecordItemContent=087993088],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goldenRecordItemContent=0615C0],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goldenRecordItemContent=0912717605],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goldenRecordItemContent=屏東縣],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goldenRecordItemContent=原勝路３５號],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goldenRecordItemContent=912],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goldenRecordItemContent=內埔鄉],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goldenRecordItemContent=1965-10-20],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[custId=8352812, custType=P, certTypeCode=00, partyKind=P, oldRestart=false, customerTag=CustomerTag [custId=8352812, custType=P, removalPredicate=null, removalSystemCode=null, refToCustId=0, refDatetime=null, disabledDatetime=null, identityCertTypeCode=00, disabled=null, disabledSystemCode=null], idChangeState=null, creditCardKey=T221205068, circiKey=null, birthDay=1965-10-20 00:00:00.0]；ServiceInterchange:ServiceInterchange [serviceInterchangeId=1603807229245363372, serviceInterchangeTime=Tue Oct 27 14:00:29 CST 2020, msgNo=TS0116_00_20201027140029_17811, serviceName=CATEGORY_002, operationName=writeCustomerInfo, txnCode=BT$MAL11, txnTime=Tue Oct 27 14:00:27 CST 2020, senderCode=TS0116_00, receiverCode=UP0090_00, operatorCode=99, unitCode=0598, authorizerCode=null, serviceResponse=null, queryResponseLineitems=[]], Exception : ]</t>
    <phoneticPr fontId="1" type="noConversion"/>
  </si>
  <si>
    <t>1603807227865533-4303995-35-02</t>
    <phoneticPr fontId="1" type="noConversion"/>
  </si>
  <si>
    <t>{"header":{"msgNo":"TS0116_00_20201027140029_17811","txnCode":"BT$MAL11","txnTime":"2020-10-27 14:00:27","senderCode":"TS0116_00","receiverCode":"UP0090_00","operatorCode":"99","unitCode":"0598","authorizerCode":null},"requestBody":{"funcId":"01","criteria":{"circiKey":"T221205068","propertyTypeCode":"0","partyCertNo":"T221205068","partyCertDate":"1965-10-20"},"dataSet":[{"creationDptCode":"0598","customerName":"温美鈴","selfBankSpecialServiceFlag":"00000","grownUpGuardianshipCode":"0","industryPropsTypeCode":"02","performanceDptCode":"0598","nationalityCode":"0","residenceTel":"0912717605","refuseLoanReasonCode":"0","regCountryCode":"TW","incomeTaxTypeCode":"1","genderCode":"F","stopUseCustomerDataFlag":" ","agreeCrossSellingFlag":"N","companyTelExtension":null,"companyTel":"087783681","contactAddrPostalCode":"908","contactAddr":"榮華村忠孝三巷１２號","contactAddrAdminArea":"長治鄉","contactAddrLocality":"屏東縣","contactTel":"087993088","dgbasIndustryCode":"0615C0","ncbIndustryCode":"060000","contactPhone":"0912717605","residenceAddrLocality":"屏東縣","residenceAddr":"原勝路３５號","residenceAddrPostalCode":"912","residenceAddrAdminArea":"內埔鄉","contactAddrCountryCode":"TW","customerBirthday":"1965-10-20","residenceAddrCountryCode":"TW"}]}}</t>
    <phoneticPr fontId="1" type="noConversion"/>
  </si>
  <si>
    <t>RE10918980</t>
    <phoneticPr fontId="1" type="noConversion"/>
  </si>
  <si>
    <t>1603804482405266-4293414-42-01</t>
    <phoneticPr fontId="1" type="noConversion"/>
  </si>
  <si>
    <t xml:space="preserve"> -&gt;R122087177 Y-&gt;R124413595</t>
    <phoneticPr fontId="1" type="noConversion"/>
  </si>
  <si>
    <t>SY10924657</t>
    <phoneticPr fontId="1" type="noConversion"/>
  </si>
  <si>
    <t>RE10919039</t>
    <phoneticPr fontId="1" type="noConversion"/>
  </si>
  <si>
    <t>1603965816348793-4638968-40-02</t>
    <phoneticPr fontId="1" type="noConversion"/>
  </si>
  <si>
    <t>1603965816079576-4632093-54-01</t>
    <phoneticPr fontId="1" type="noConversion"/>
  </si>
  <si>
    <t>{"header":{"msgNo":"TS0116_00_20201029100336_98762","txnCode":"NT1409","txnTime":"2020-10-29 10:03:36","senderCode":"TS0116_00","receiverCode":"UP0090_00","operatorCode":"TS0116_00","unitCode":"0015","authorizerCode":null},"requestBody":{"funcId":"01","criteria":{"circiKey":"I200095380","propertyTypeCode":"0","partyCertNo":"I200095380","partyCertDate":"1986-08-02"},"dataSet":[{"creationDptCode":"0015","customerName":"鄧苓　","selfBankSpecialServiceFlag":"00000","grownUpGuardianshipCode":"0","industryPropsTypeCode":"02","industryTypeCode":"02","performanceDptCode":"0015","txnPhone":"0911675785","partyEnglishName":"TENG, LINGROU","nationalityCode":"0","residenceTel":"0911675785","refuseLoanReasonCode":"0","regCountryCode":"TW","incomeTaxTypeCode":"1","genderCode":"F","agreeCrossSellingFlag":"N","companyTelExtension":"11753","companyTel":"065054888","contactAddrPostalCode":"741","contactAddr":"善新大道２８５巷１８號２樓","contactAddrAdminArea":"善化區","contactAddrLocality":"臺南市","contactTel":"0911675785","dgbasIndustryCode":"061700","ncbIndustryCode":"060000","contactPhone":"0911675785","email":"evelin7582@gmail.com","residenceAddrLocality":"嘉義市","residenceAddr":"西區西榮里１５鄰西榮街１９１巷９號二樓之１","residenceAddrPostalCode":"600","residenceAddrAdminArea":"嘉義市","serveCompanyCertNo":null,"serveCompanyName":"聯華電子股份有限公司","contactAddrCountryCode":"TW","customerBirthday":"1986-08-02","residenceAddrCountryCode":"TW"}]}}</t>
    <phoneticPr fontId="1" type="noConversion"/>
  </si>
  <si>
    <t>1603986827548878-4681750-68-01</t>
    <phoneticPr fontId="1" type="noConversion"/>
  </si>
  <si>
    <t>1603725238810410-4113291-05-02</t>
    <phoneticPr fontId="1" type="noConversion"/>
  </si>
  <si>
    <t>{"header":{"msgNo":"TS0116_00_20201029155347_41682","txnCode":"A121012","txnTime":"2020-10-26 15:13:58","senderCode":"TS0116_00","receiverCode":"UP0090_00","operatorCode":"92860","unitCode":"0358","authorizerCode":null},"requestBody":{"funcId":"01","criteria":{"circiKey":"L121116692","propertyTypeCode":"0","partyCertNo":"L121116692","partyCertDate":"1959-10-09"},"dataSet":[{"contactPhone":"0975675012","email":null,"residenceAddrLocality":"臺中市","residenceAddr":"大楓里１５鄰民富街７３巷４９號","residenceAddrPostalCode":"428","residenceAddrAdminArea":"大雅區","customerBirthday":"1959-10-09","residenceAddrCountryCode":"TW"}],"option":{"isCustConfirmation":true}}}</t>
    <phoneticPr fontId="1" type="noConversion"/>
  </si>
  <si>
    <t>2 &gt;B
A&gt;2</t>
    <phoneticPr fontId="1" type="noConversion"/>
  </si>
  <si>
    <t xml:space="preserve"> CIFX 提供本號(J120159272) CIFX 的完整電文</t>
    <phoneticPr fontId="1" type="noConversion"/>
  </si>
  <si>
    <t>1603984498054388-4685098-21-02</t>
    <phoneticPr fontId="1" type="noConversion"/>
  </si>
  <si>
    <t>發送異動通知電文給CIP回傳錯誤碼:UP0090_00_V201,錯誤碼訊息:必要性檢核錯誤,錯誤訊息:[檢查有誤，J12015927A 顧客曾經執行過ID改號]</t>
    <phoneticPr fontId="1" type="noConversion"/>
  </si>
  <si>
    <t>1603984497850188-4685079-02-02</t>
    <phoneticPr fontId="1" type="noConversion"/>
  </si>
  <si>
    <t>{"header":{"msgNo":"TS0116_00_20201029151457_16711","txnCode":"A122011","txnTime":"2020-10-29 15:14:57","senderCode":"TS0116_00","receiverCode":"UP0090_00","operatorCode":"08742","unitCode":"0015","authorizerCode":null},"requestBody":{"funcId":"01","criteria":{"circiKey":"J12015927A","propertyTypeCode":"0","partyCertNo":"J120159272","partyCertDate":"2020-10-26"},"dataSet":[{"dmSaleFlag":"Y","emailSaleFlag":"Y","phoneSaleFlag":"Y","smsSaleFlag":"Y"}]}}</t>
    <phoneticPr fontId="1" type="noConversion"/>
  </si>
  <si>
    <t>A&gt;2</t>
    <phoneticPr fontId="1" type="noConversion"/>
  </si>
  <si>
    <t>Y</t>
    <phoneticPr fontId="1" type="noConversion"/>
  </si>
  <si>
    <t>1603992477599021-4691854-67-02</t>
    <phoneticPr fontId="1" type="noConversion"/>
  </si>
  <si>
    <t>1603992477362262-4691032-47-02</t>
    <phoneticPr fontId="1" type="noConversion"/>
  </si>
  <si>
    <t>{"header":{"msgNo":"TS0116_00_20201029172757_18872","txnCode":"A149022","txnTime":"2020-10-29 17:27:57","senderCode":"TS0116_00","receiverCode":"UP0090_00","operatorCode":"08255","unitCode":"0015","authorizerCode":"03270"},"requestBody":{"funcId":"04","criteria":{"exCirciKey":"H220444295"},"dataSet":[{"circiKey":"F234522068","partyCertNo":"F234522068","partyCertDate":"1973-06-16"}]}}</t>
    <phoneticPr fontId="1" type="noConversion"/>
  </si>
  <si>
    <t>LINK</t>
    <phoneticPr fontId="1" type="noConversion"/>
  </si>
  <si>
    <t>送2筆同步給CIP, 刪除其中失敗的1筆</t>
    <phoneticPr fontId="1" type="noConversion"/>
  </si>
  <si>
    <t>1604590229055774-5995141-78-01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</si>
  <si>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[serviceInterchangeId=1604590227485475042, serviceInterchangeTime=Thu Nov 05 15:30:27 CST 2020, msgNo=TS0116_00_20201105153027_93722, serviceName=CATEGORY_002, operationName=writeCustomerInfo, txnCode=BT$MAL31, txnTime=Thu Nov 05 15:30:26 CST 2020, senderCode=TS0116_00, receiverCode=UP0090_00, operatorCode=99, unitCode=0598, authorizerCode=null, serviceResponse=null, queryResponseLineitems=[]], funcId=01, custName=許恒慧, companyEstablishDate=null, circiKey=U220136387, creditCardKey=null, certNo=U220136387, certDate=Sun Mar 19 00:00:00 CST 1967,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goldenRecordItemContent=花蓮縣],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goldenRecordItemContent=林園二街２２號４樓之３],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goldenRecordItemContent=970],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goldenRecordItemContent=花蓮市],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goldenRecordItemContent=0598],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goldenRecordItemContent=許恒慧],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goldenRecordItemContent=0598],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goldenRecordItemContent=038224478],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goldenRecordItemContent=038882277],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goldenRecordItemContent=970],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goldenRecordItemContent=林園二街２２號４樓之３],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goldenRecordItemContent=花蓮市],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goldenRecordItemContent=花蓮縣],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goldenRecordItemContent=038224478],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goldenRecordItemContent=061300],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goldenRecordItemContent=0933486684],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goldenRecordItemContent=bubblefish486@gmail.com],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goldenRecordItemContent=1967-03-19]], custType=P, relationRemoval=null]；CustCipIdentity:CustCipIdentity [custId=8586517, custType=P, certTypeCode=00, partyKind=P, oldRestart=false, customerTag=CustomerTag [custId=8586517, custType=P, removalPredicate=null, removalSystemCode=null, refToCustId=0, refDatetime=null, disabledDatetime=null, identityCertTypeCode=00, disabled=null, disabledSystemCode=null], idChangeState=null, creditCardKey=U220136387, circiKey=null, birthDay=1967-03-19 00:00:00.0]；ServiceInterchange:ServiceInterchange [serviceInterchangeId=1604590227485475042, serviceInterchangeTime=Thu Nov 05 15:30:27 CST 2020, msgNo=TS0116_00_20201105153027_93722, serviceName=CATEGORY_002, operationName=writeCustomerInfo, txnCode=BT$MAL31, txnTime=Thu Nov 05 15:30:26 CST 2020, senderCode=TS0116_00, receiverCode=UP0090_00, operatorCode=99, unitCode=0598, authorizerCode=null, serviceResponse=null, queryResponseLineitems=[]], Exception : ]</t>
    <phoneticPr fontId="1" type="noConversion"/>
  </si>
  <si>
    <t>1604590226299438-5995749-55-01</t>
    <phoneticPr fontId="1" type="noConversion"/>
  </si>
  <si>
    <t>{"header":{"msgNo":"TS0116_00_20201105153027_93722","txnCode":"BT$MAL31","txnTime":"2020-11-05 15:30:26","senderCode":"TS0116_00","receiverCode":"UP0090_00","operatorCode":"99","unitCode":"0598","authorizerCode":null},"requestBody":{"funcId":"01","criteria":{"circiKey":"U220136387","propertyTypeCode":"0","partyCertNo":"U220136387","partyCertDate":"1967-03-19"},"dataSet":[{"residenceAddrLocality":"花蓮縣","residenceAddr":"林園二街２２號４樓之３","residenceAddrPostalCode":"970","residenceAddrAdminArea":"花蓮市","creationDptCode":"0598","customerName":"許恒慧","selfBankSpecialServiceFlag":"00000","grownUpGuardianshipCode":"0","industryPropsTypeCode":"02","performanceDptCode":"0598","nationalityCode":"0","residenceTel":"038224478","refuseLoanReasonCode":"0","regCountryCode":"TW","incomeTaxTypeCode":"1","genderCode":"F","stopUseCustomerDataFlag":" ","agreeCrossSellingFlag":"N","companyTelExtension":null,"companyTel":"038882277","contactAddrPostalCode":"970","contactAddr":"林園二街２２號４樓之３","contactAddrAdminArea":"花蓮市","contactAddrLocality":"花蓮縣","contactTel":"038224478","dgbasIndustryCode":"061300","ncbIndustryCode":"060000","contactPhone":"0933486684","email":"bubblefish486@gmail.com","residenceAddrCountryCode":"TW","contactAddrCountryCode":"TW","customerBirthday":"1967-03-19"}]}}</t>
    <phoneticPr fontId="1" type="noConversion"/>
  </si>
  <si>
    <t>提供完整電文</t>
    <phoneticPr fontId="1" type="noConversion"/>
  </si>
  <si>
    <t>1605543481433187-8033381-33-01</t>
    <phoneticPr fontId="1" type="noConversion"/>
  </si>
  <si>
    <t>1605543481179860-8020163-95-02</t>
    <phoneticPr fontId="1" type="noConversion"/>
  </si>
  <si>
    <t>{"requestModel":{"header":{"msgNo":"TS0116_00_20201116161801_36882","txnCode":"A121012","txnTime":"2020-11-16 16:18:01","senderCode":"TS0116_00","receiverCode":"UP0090_00","operatorCode":"19228","unitCode":"0716"},"requestBody":{"funcId":"01","criteria":{"circiKey":"N124191019","propertyTypeCode":"0","partyCertNo":"N124191019","partyCertDate":"1983-01-21"},"dataSet":[{"customerName":"黃偉倫","contactPhone":"0953049688","email":"tarokopacific@gmail.com","contactAddrPostalCode":"813","contactAddr":"福山里４８鄰文天路１５６號十四樓","contactAddrAdminArea":"左營區","contactAddrLocality":"高雄市","residenceAddrLocality":"高雄市","residenceAddr":"福山里４８鄰文天路１５６號十四樓","residenceAddrPostalCode":"813","residenceAddrAdminArea":"左營區","contactAddrCountryCode":"TW","customerBirthday":"1983-01-21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</si>
  <si>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9 -&gt; A</t>
    <phoneticPr fontId="1" type="noConversion"/>
  </si>
  <si>
    <t>SY10926306</t>
    <phoneticPr fontId="1" type="noConversion"/>
  </si>
  <si>
    <t>清除同步失敗註記</t>
    <phoneticPr fontId="1" type="noConversion"/>
  </si>
  <si>
    <t>1605890370587279-8799591-75-02</t>
    <phoneticPr fontId="1" type="noConversion"/>
  </si>
  <si>
    <t>發送異動通知電文時, ESIP無回應!!!!</t>
    <phoneticPr fontId="1" type="noConversion"/>
  </si>
  <si>
    <t>1605890339970952-8799590-38-02</t>
    <phoneticPr fontId="1" type="noConversion"/>
  </si>
  <si>
    <t>{"header":{"msgNo":"TS0116_00_20201120163900_28772","txnCode":"VTC05","txnTime":"2020-11-20 16:38:59","senderCode":"TS0116_00","receiverCode":"UP0090_00","operatorCode":"99","unitCode":"C251","authorizerCode":null},"requestBody":{"funcId":"01","criteria":{"circiKey":"H223329446","propertyTypeCode":"0","partyCertNo":"H223329446","partyCertDate":"1984-12-10"},"dataSet":[{"contactPhone":"0908232038","email":"a0900111210@gmail.com","residenceAddr":"龍鳳里１鄰龍安街１１４號","residenceAddrAdminArea":"桃園區","residenceAddrLocality":"桃園市","residenceAddrPostalCode":"330","residenceAddrCountryCode":"TW"}],"option":{"isCustConfirmation":true}}}</t>
    <phoneticPr fontId="1" type="noConversion"/>
  </si>
  <si>
    <t>1605890327210886-8799587-66-02</t>
    <phoneticPr fontId="1" type="noConversion"/>
  </si>
  <si>
    <t>1605890296723965-8799589-21-02</t>
    <phoneticPr fontId="1" type="noConversion"/>
  </si>
  <si>
    <t>{"header":{"msgNo":"TS0116_00_20201120163817_28572","txnCode":"VTC05","txnTime":"2020-11-20 16:38:16","senderCode":"TS0116_00","receiverCode":"UP0090_00","operatorCode":"99","unitCode":"C251","authorizerCode":null},"requestBody":{"funcId":"01","criteria":{"circiKey":"H221708645","propertyTypeCode":"0","partyCertNo":"H221708645","partyCertDate":"1973-07-09"},"dataSet":[{"dmSaleFlag":"Y","phoneSaleFlag":"Y","companyTel":"034911521","smsSaleFlag":"Y","emailSaleFlag":"Y","contactAddr":"中正路７５８號","email":"A0976373791@GMAIL.COM","contactAddrLocality":"桃園市","contactAddrAdminArea":"中壢區","residenceAddr":"九和三街１０號６樓之５","contactPhone":"0976373791","companyTelExtension":null,"residenceAddrAdminArea":"中壢區","residenceAddrLocality":"桃園市","contactAddrPostalCode":"320","residenceAddrPostalCode":"320","contactAddrCountryCode":"TW","residenceAddrCountryCode":"TW"}],"option":{"isCustConfirmation":true}}}</t>
    <phoneticPr fontId="1" type="noConversion"/>
  </si>
  <si>
    <t>1605890326197915-8799591-40-02</t>
    <phoneticPr fontId="1" type="noConversion"/>
  </si>
  <si>
    <t>1605890295695248-8799587-58-02</t>
    <phoneticPr fontId="1" type="noConversion"/>
  </si>
  <si>
    <t>{"header":{"msgNo":"TS0116_00_20201120163816_28472","txnCode":"VTC05","txnTime":"2020-11-20 16:38:15","senderCode":"TS0116_00","receiverCode":"UP0090_00","operatorCode":"99","unitCode":"C251","authorizerCode":null},"requestBody":{"funcId":"01","criteria":{"circiKey":"U120184934","propertyTypeCode":"0","partyCertNo":"U120184934","partyCertDate":"1972-08-23"},"dataSet":[{"contactAddrAdminArea":"仁武區","companyTel":"073477829","contactAddrPostalCode":"814","contactAddr":"五和里永和一街１６７巷８號","email":"b0929087272@gmail.com","contactAddrLocality":"高雄市","residenceAddr":"五和里永和一街１６７巷８號","contactPhone":"0929087272","companyTelExtension":null,"residenceAddrAdminArea":"仁武區","residenceAddrLocality":"高雄市","residenceAddrPostalCode":"814","contactAddrCountryCode":"TW","residenceAddrCountryCode":"TW"}],"option":{"isCustConfirmation":true}}}</t>
    <phoneticPr fontId="1" type="noConversion"/>
  </si>
  <si>
    <t>link</t>
    <phoneticPr fontId="1" type="noConversion"/>
  </si>
  <si>
    <t>已通知CIP TEAM 待通知(CIFX: 黃如玉 錯誤)</t>
    <phoneticPr fontId="1" type="noConversion"/>
  </si>
  <si>
    <t>1606231734774639-9506844-69-01</t>
    <phoneticPr fontId="1" type="noConversion"/>
  </si>
  <si>
    <t>1606231734570353-9506821-36-01</t>
    <phoneticPr fontId="1" type="noConversion"/>
  </si>
  <si>
    <t>{"requestModel":{"header":{"msgNo":"TS0116_00_20201124152854_23511","txnCode":"A121012","txnTime":"2020-11-24 15:28:54","senderCode":"TS0116_00","receiverCode":"UP0090_00","operatorCode":"13404","unitCode":"0635"},"requestBody":{"funcId":"01","criteria":{"circiKey":"E220613260","propertyTypeCode":"0","partyCertNo":"E220613260","partyCertDate":"1971-02-24"},"dataSet":[{"creationDptCode":"0635","customerName":"黃如玉","industryTypeCode":"15","residenceTel":"073550383","contactPhone":"0958615209","email":null,"contactAddrPostalCode":"814","contactAddr":"中華里１１鄰華中街４７號","contactAddrAdminArea":"仁武區","contactAddrLocality":"高雄市","contactTel":null,"residenceAddrLocality":"高雄市","residenceAddr":"中華里１１鄰華中街４７號","residenceAddrPostalCode":"814","residenceAddrAdminArea":"仁武區","contactAddrCountryCode":"TW","customerBirthday":"1971-02-24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</si>
  <si>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Y -&gt; A</t>
    <phoneticPr fontId="1" type="noConversion"/>
  </si>
  <si>
    <t>SY10927142</t>
    <phoneticPr fontId="1" type="noConversion"/>
  </si>
  <si>
    <t>RE10920923</t>
    <phoneticPr fontId="1" type="noConversion"/>
  </si>
  <si>
    <t>【CIFX同步CIP異常-顧客姓名含有空白】</t>
    <phoneticPr fontId="1" type="noConversion"/>
  </si>
  <si>
    <t>請協助以下顧客資料前端電文重送</t>
    <phoneticPr fontId="1" type="noConversion"/>
  </si>
  <si>
    <t>已通知春娥學姊</t>
    <phoneticPr fontId="1" type="noConversion"/>
  </si>
  <si>
    <t>1606303432649210-9654568-87-02</t>
    <phoneticPr fontId="1" type="noConversion"/>
  </si>
  <si>
    <t>發送異動通知電文給CIP回傳錯誤碼:UP0090_00_V501,錯誤碼訊息:正確性檢核錯誤,錯誤訊息:[欄位「customerName」的值前後含空白字元(半形／全形)，請移除再提供]</t>
    <phoneticPr fontId="1" type="noConversion"/>
  </si>
  <si>
    <t>1606303432322899-9654525-40-02</t>
    <phoneticPr fontId="1" type="noConversion"/>
  </si>
  <si>
    <t>{"header":{"msgNo":"TS0116_00_20201125112352_47182","txnCode":"NT1534","txnTime":"2020-11-25 11:23:52","senderCode":"TS0116_00","receiverCode":"UP0090_00","operatorCode":"99","unitCode":"9004","authorizerCode":null},"requestBody":{"funcId":"01","criteria":{"circiKey":"E224458701","propertyTypeCode":"0","partyCertNo":"E224458701","partyCertDate":"1992-12-10"},"dataSet":[{"customerName":"傅頎　","contactPhone":"0988375369","residenceAddrLocality":"高雄市","residenceAddr":"崇實里３４鄰自勉路６６巷１５弄２２號","residenceAddrPostalCode":"813","residenceAddrAdminArea":"左營區","residenceAddrCountryCode":"TW"}],"option":{"isCustConfirmation":true}}}</t>
    <phoneticPr fontId="1" type="noConversion"/>
  </si>
  <si>
    <t>link</t>
    <phoneticPr fontId="1" type="noConversion"/>
  </si>
  <si>
    <t>因CIFX內部MSG_NO取號長度未有長度限制，導致有機會MSG_NO過長。</t>
    <phoneticPr fontId="1" type="noConversion"/>
  </si>
  <si>
    <t>1606393376374136-9841371-64-01</t>
    <phoneticPr fontId="1" type="noConversion"/>
  </si>
  <si>
    <t>發送異動通知電文給CIP回傳錯誤碼:UP0090_00_V501,錯誤碼訊息:正確性檢核錯誤,錯誤訊息:[msgNo field length is 1 to 30 character!]</t>
    <phoneticPr fontId="1" type="noConversion"/>
  </si>
  <si>
    <t>1606393375930234-9841350-63-01</t>
    <phoneticPr fontId="1" type="noConversion"/>
  </si>
  <si>
    <t>SY10928456</t>
    <phoneticPr fontId="1" type="noConversion"/>
  </si>
  <si>
    <t>【CIFX同步CIP異常-顧客ID停用】</t>
    <phoneticPr fontId="1" type="noConversion"/>
  </si>
  <si>
    <t>請協助以下顧客資料
(因MAIL版面關係無法全部顯示，請COPY出來檢視完整資訊)</t>
    <phoneticPr fontId="1" type="noConversion"/>
  </si>
  <si>
    <t>清除失敗同步註記</t>
    <phoneticPr fontId="1" type="noConversion"/>
  </si>
  <si>
    <t>1606519818339086-0111860-93-01</t>
    <phoneticPr fontId="1" type="noConversion"/>
  </si>
  <si>
    <t>1606519817292695-0110446-19-01</t>
    <phoneticPr fontId="1" type="noConversion"/>
  </si>
  <si>
    <t>{"requestModel":{"header":{"msgNo":"TS0116_00_20201127233018_88262","txnCode":"DpA05Td002503B01","txnTime":"2020-11-27 23:30:17","senderCode":"TS0116_00","receiverCode":"UP0090_00","operatorCode":"TLR99","unitCode":"9004"},"requestBody":{"funcId":"01","criteria":{"circiKey":"S223615614","propertyTypeCode":"0","partyCertNo":"S223615614","partyCertDate":"1987-04-10"},"dataSet":[{"customerStatusCode":"54","customerKycTypeCode":["F2","F3","F6"]}]}},"resultCode":"UP0090_00_V201","resultDescription":"必要性檢核錯誤","resultBody":null,"errorMessages":["檢查有誤，顧客ID已停用"]}</t>
    <phoneticPr fontId="1" type="noConversion"/>
  </si>
  <si>
    <t>【CIFX同步CIP異常-顧客姓名含有空白】</t>
    <phoneticPr fontId="1" type="noConversion"/>
  </si>
  <si>
    <t>請協助以下顧客資料前端電文重送</t>
    <phoneticPr fontId="1" type="noConversion"/>
  </si>
  <si>
    <t>已通知學\姊</t>
    <phoneticPr fontId="1" type="noConversion"/>
  </si>
  <si>
    <t>1606561099231890-0194618-05-02</t>
    <phoneticPr fontId="1" type="noConversion"/>
  </si>
  <si>
    <t>1606561098804890-0189710-26-01</t>
    <phoneticPr fontId="1" type="noConversion"/>
  </si>
  <si>
    <t>{"requestModel":{"header":{"msgNo":"TS0116_00_20201128105819_0811","txnCode":"NT1409","txnTime":"2020-11-28 10:58:18","senderCode":"TS0116_00","receiverCode":"UP0090_00","operatorCode":"TS0116_00","unitCode":"0015"},"requestBody":{"funcId":"01","criteria":{"circiKey":"N124979826","propertyTypeCode":"0","partyCertNo":"N124979826","partyCertDate":"1995-11-11"},"dataSet":[{"creationDptCode":"0015","customerName":"　鎧澤","selfBankSpecialServiceFlag":"00000","grownUpGuardianshipCode":"0","industryPropsTypeCode":"02","industryTypeCode":"02","performanceDptCode":"0015","txnPhone":"0988969183","partyEnglishName":"DENG, KAIZE","nationalityCode":"0","residenceTel":"0988969183","refuseLoanReasonCode":"0","regCountryCode":"TW","incomeTaxTypeCode":"1","genderCode":"M","agreeCrossSellingFlag":"N","companyTelExtension":"2893","companyTel":"047977277","contactAddrPostalCode":"434","contactAddr":"龍津里２３鄰中央路一一１０４巷３５號","contactAddrAdminArea":"龍井區","contactAddrLocality":"臺中市","contactTel":"0988969183","dgbasIndustryCode":"061700","ncbIndustryCode":"060000","contactPhone":"0988969183","email":"kaize.deng@icloud.com","residenceAddrLocality":"臺中市","residenceAddr":"龍津里２３鄰中央路一一１０４巷３５號","residenceAddrPostalCode":"434","residenceAddrAdminArea":"龍井區","serveCompanyCertNo":null,"serveCompanyName":"怡利電子","contactAddrCountryCode":"TW","customerBirthday":"1995-11-11","residenceAddrCountryCode":"TW"}]}},"resultCode":"UP0090_00_V501","resultDescription":"正確性檢核錯誤","resultBody":null,"errorMessages":["欄位「customerName」的值前後含空白字元(半形／全形)，請移除再提供"]}</t>
    <phoneticPr fontId="1" type="noConversion"/>
  </si>
  <si>
    <t>SY10928455</t>
    <phoneticPr fontId="1" type="noConversion"/>
  </si>
  <si>
    <t>【CIFX同步CIP異常-顧客ID停用】</t>
    <phoneticPr fontId="1" type="noConversion"/>
  </si>
  <si>
    <t>請協助以下顧客資料~</t>
    <phoneticPr fontId="1" type="noConversion"/>
  </si>
  <si>
    <t>CIFX 應該是要清除失敗註記及重送</t>
    <phoneticPr fontId="1" type="noConversion"/>
  </si>
  <si>
    <t>1606993240092240-1084191-13-02</t>
    <phoneticPr fontId="1" type="noConversion"/>
  </si>
  <si>
    <t>1606993239519739-1084127-45-02</t>
    <phoneticPr fontId="1" type="noConversion"/>
  </si>
  <si>
    <t>{"requestModel":{"header":{"msgNo":"TS0116_00_20201203110039_2211","txnCode":"A121012","txnTime":"2020-12-03 11:00:39","senderCode":"TS0116_00","receiverCode":"UP0090_00","operatorCode":"07028","unitCode":"1263"},"requestBody":{"funcId":"01","criteria":{"circiKey":"A121570642","propertyTypeCode":"0","partyCertNo":"A121570642","partyCertDate":"1963-01-09"},"dataSet":[{"customerName":"陳文山","txnPhone":"0987476333","residenceTel":null,"contactPhone":"0987476333","contactAddrPostalCode":"330","contactAddr":"中平里１鄰中平路１１５號六樓","contactAddrAdminArea":"桃園區","contactAddrLocality":"桃園市","contactTel":"0987476333","residenceAddrLocality":"桃園市","residenceAddr":"中平里１鄰中平路１１５號六樓","residenceAddrPostalCode":"330","residenceAddrAdminArea":"桃園區","contactAddrCountryCode":"TW","customerBirthday":"1963-01-09","residenceAddrCountryCode":"TW"}]}},"resultCode":"UP0090_00_V201","resultDescription":"必要性檢核錯誤","resultBody":null,"errorMessages":["檢查有誤，顧客ID已停用"]}</t>
    <phoneticPr fontId="1" type="noConversion"/>
  </si>
  <si>
    <t>Y -&gt; A</t>
    <phoneticPr fontId="1" type="noConversion"/>
  </si>
  <si>
    <t>SY10929235</t>
    <phoneticPr fontId="1" type="noConversion"/>
  </si>
  <si>
    <t>【CIFX同步CIP異常-必要性檢核錯誤】</t>
    <phoneticPr fontId="1" type="noConversion"/>
  </si>
  <si>
    <t>請協助確認以下顧客資料同步問題，謝謝~</t>
    <phoneticPr fontId="1" type="noConversion"/>
  </si>
  <si>
    <t>已通知 CIP team
婉芳:先忽略待後續通知處理
楷翰:清除失敗註記(RE10921033)</t>
    <phoneticPr fontId="1" type="noConversion"/>
  </si>
  <si>
    <t>1607421961197802-1962727-35-02</t>
    <phoneticPr fontId="1" type="noConversion"/>
  </si>
  <si>
    <t>發送異動通知電文給CIP回傳錯誤碼:UP0090_00_V201,錯誤碼訊息:必要性檢核錯誤,錯誤訊息:[CIP顧客識別取號:當系統為TS0116_00時顧客姓名不可為空值]</t>
    <phoneticPr fontId="1" type="noConversion"/>
  </si>
  <si>
    <t>1607421960939509-1962494-99-01</t>
    <phoneticPr fontId="1" type="noConversion"/>
  </si>
  <si>
    <t>{"requestModel":{"header":{"msgNo":"TS0116_00_20201208100601_7822","txnCode":"A121012","txnTime":"2020-12-08 10:06:00","senderCode":"TS0116_00","receiverCode":"UP0090_00","operatorCode":"93359","unitCode":"0288"},"requestBody":{"funcId":"01","criteria":{"circiKey":"L22040540A","propertyTypeCode":"0","partyCertNo":"L220405405","partyCertDate":"2020-12-08"},"dataSet":[{"industryTypeCode":"15","contactPhone":"0930199956","email":"IAMCHIFENCHEN@GMAIL.COM","dgbasIndustryCode":"061700","ncbIndustryCode":"060000","residenceAddrLocality":"臺中市","residenceAddr":"臨海１３號","residenceAddrPostalCode":"435","residenceAddrAdminArea":"梧棲區","customerBirthday":"2020-12-08","residenceAddrCountryCode":"TW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  <phoneticPr fontId="1" type="noConversion"/>
  </si>
  <si>
    <t>SY10927813</t>
    <phoneticPr fontId="1" type="noConversion"/>
  </si>
  <si>
    <t>【CIFX同步CIP異常-查無符合(改號前)顧客】</t>
    <phoneticPr fontId="1" type="noConversion"/>
  </si>
  <si>
    <t>同上，故不處理，待後續一併執行</t>
    <phoneticPr fontId="1" type="noConversion"/>
  </si>
  <si>
    <t>1607600852692286-2625207-84-01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</si>
  <si>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發送ID改號電文給CIP回傳錯誤碼:UP0090_00_R101,錯誤碼訊息:存在驗證錯誤,錯誤訊息:[ID改號作業-&gt;CIF改號作業-&gt;&lt;檢查有誤，查無符合(改號前)銀行歸戶統編(L22040540A)顧客&gt;]</t>
    <phoneticPr fontId="1" type="noConversion"/>
  </si>
  <si>
    <t>1607600852469894-2623781-66-01</t>
    <phoneticPr fontId="1" type="noConversion"/>
  </si>
  <si>
    <t>{"requestModel":{"header":{"msgNo":"TS0116_00_20201210114732_93191","txnCode":"A149022","txnTime":"2020-12-10 11:47:32","senderCode":"TS0116_00","receiverCode":"UP0090_00","operatorCode":"08742","unitCode":"0015","authorizerCode":"03270"},"requestBody":{"funcId":"04","criteria":{"exCirciKey":"L22040540A"},"dataSet":[{"circiKey":"L220405405","partyCertNo":"L220405405","partyCertDate":"1964-05-24"}]}},"resultCode":"UP0090_00_R101","resultDescription":"存在驗證錯誤","resultBody":null,"errorMessages":["ID改號作業-&gt;CIF改號作業-&gt;&lt;檢查有誤，查無符合(改號前)銀行歸戶統編(L22040540A)顧客&gt;"]}</t>
    <phoneticPr fontId="1" type="noConversion"/>
  </si>
  <si>
    <t>A -&gt; 5</t>
    <phoneticPr fontId="1" type="noConversion"/>
  </si>
  <si>
    <t>SY10928412</t>
    <phoneticPr fontId="1" type="noConversion"/>
  </si>
  <si>
    <t>請協助確認以下顧客資料同步問題，謝謝~</t>
    <phoneticPr fontId="1" type="noConversion"/>
  </si>
  <si>
    <t>1607688004357437-2799893-42-02</t>
    <phoneticPr fontId="1" type="noConversion"/>
  </si>
  <si>
    <t>1607688003904524-2799892-28-02</t>
    <phoneticPr fontId="1" type="noConversion"/>
  </si>
  <si>
    <t>{"requestModel":{"header":{"msgNo":"TS0116_00_20201211120004_31281","txnCode":"A123012","txnTime":"2020-12-11 12:00:03","senderCode":"TS0116_00","receiverCode":"UP0090_00","operatorCode":"08255","unitCode":"0015"},"requestBody":{"funcId":"01","criteria":{"circiKey":"K22147712B","propertyTypeCode":"0","partyCertNo":"K221477129","partyCertDate":"2020-12-09"},"dataSet":[{"customerStatusCode":null}]}},"resultCode":"UP0090_00_V201","resultDescription":"必要性檢核錯誤","resultBody":null,"errorMessages":["檢查有誤，顧客ID已停用"]}</t>
    <phoneticPr fontId="1" type="noConversion"/>
  </si>
  <si>
    <t>Y*2</t>
    <phoneticPr fontId="1" type="noConversion"/>
  </si>
  <si>
    <t>1607688061225884-2806683-63-01</t>
    <phoneticPr fontId="1" type="noConversion"/>
  </si>
  <si>
    <t>1607688060989724-2799817-49-02</t>
    <phoneticPr fontId="1" type="noConversion"/>
  </si>
  <si>
    <t>{"requestModel":{"header":{"msgNo":"TS0116_00_20201211120101_28291","txnCode":"A123012","txnTime":"2020-12-11 12:01:00","senderCode":"TS0116_00","receiverCode":"UP0090_00","operatorCode":"08255","unitCode":"0015"},"requestBody":{"funcId":"01","criteria":{"circiKey":"K22147712A","propertyTypeCode":"0","partyCertNo":"K221477129","partyCertDate":"2020-12-01"},"dataSet":[{"customerStatusCode":null}]}},"resultCode":"UP0090_00_V201","resultDescription":"必要性檢核錯誤","resultBody":null,"errorMessages":["檢查有誤，顧客ID已停用"]}</t>
    <phoneticPr fontId="1" type="noConversion"/>
  </si>
  <si>
    <t>SY10928340</t>
    <phoneticPr fontId="1" type="noConversion"/>
  </si>
  <si>
    <t>【CIFX同步CIP異常-顧客 TS0116_00 已刪除，但全行未刪除，無法進行異動建檔】</t>
    <phoneticPr fontId="1" type="noConversion"/>
  </si>
  <si>
    <t>該筆顧客在CIFX已有刪除紀錄，今天早上數存開戶同步CIP失敗，如下，再麻煩協助確認~</t>
    <phoneticPr fontId="1" type="noConversion"/>
  </si>
  <si>
    <t>待CIP  TEAM 通知刪除顧客完成，CIFX再重送電文</t>
    <phoneticPr fontId="1" type="noConversion"/>
  </si>
  <si>
    <t>1608098853749937-3640477-36-01</t>
    <phoneticPr fontId="1" type="noConversion"/>
  </si>
  <si>
    <t>發送異動通知電文給CIP回傳錯誤碼:UP0090_00_V201,錯誤碼訊息:必要性檢核錯誤,錯誤訊息:[DEL00000000000000679 顧客 TS0116_00 已刪除，但全行未刪除，無法進行異動建檔]</t>
    <phoneticPr fontId="1" type="noConversion"/>
  </si>
  <si>
    <t>1608098845724689-3639243-66-01</t>
    <phoneticPr fontId="1" type="noConversion"/>
  </si>
  <si>
    <t>{"requestModel":{"header":{"msgNo":"TS0116_00_20201216060733_84891","txnCode":"digiAccOpening","txnTime":"2020-12-16 06:07:25","senderCode":"TS0116_00","receiverCode":"UP0090_00","operatorCode":"TS0116_00","unitCode":"0015"},"requestBody":{"funcId":"01","criteria":{"circiKey":"E224880285","propertyTypeCode":"0","partyCertNo":"E224880285","partyCertDate":"1994-06-08"},"dataSet":[{"selfBankSpecialServiceFlag":"00000","grownUpGuardianshipCode":"0","industryPropsTypeCode":"02","industryTypeCode":"05","performanceDptCode":"0015","txnPhone":"0938760366","partyEnglishName":"HONG, ZI XIN","nationalityCode":"0","residenceTel":"0938760366","refuseLoanReasonCode":"0","regCountryCode":"TW","incomeTaxTypeCode":"1","genderCode":"F","agreeCrossSellingFlag":"N","companyTelExtension":null,"companyTel":"0938760366","contactAddrPostalCode":"813","contactAddr":"崇實里３１鄰介壽路２１１號六樓之２","contactAddrAdminArea":"左營區","contactAddrLocality":"高雄市","creationDptCode":"0015","customerName":"洪子歆","contactTel":"0938760366","dgbasIndustryCode":"061700","ncbIndustryCode":"060000","contactPhone":"0938760366","email":"lunpans520@gmail.com","residenceAddrLocality":"高雄市","residenceAddr":"福山里６１鄰大中二路５４８號八樓","residenceAddrPostalCode":"813","residenceAddrAdminArea":"左營區","serveCompanyCertNo":null,"serveCompanyName":"ＬＵＮＰＡＮＳ","contactAddrCountryCode":"TW","customerBirthday":"1994-06-08","residenceAddrCountryCode":"TW"}]}},"resultCode":"UP0090_00_V201","resultDescription":"必要性檢核錯誤","resultBody":null,"errorMessages":["DEL00000000000000679 顧客 TS0116_00 已刪除，但全行未刪除，無法進行異動建檔"]}</t>
    <phoneticPr fontId="1" type="noConversion"/>
  </si>
  <si>
    <t>SY10928315</t>
    <phoneticPr fontId="1" type="noConversion"/>
  </si>
  <si>
    <t>unknowhost</t>
    <phoneticPr fontId="1" type="noConversion"/>
  </si>
  <si>
    <t>1608197928468797-3854551-24-01</t>
    <phoneticPr fontId="1" type="noConversion"/>
  </si>
  <si>
    <t>發送覆蓋回電文給CIP時, ESIP無回應!!!!</t>
    <phoneticPr fontId="1" type="noConversion"/>
  </si>
  <si>
    <t>1608197928317723-3846653-09-02</t>
    <phoneticPr fontId="1" type="noConversion"/>
  </si>
  <si>
    <t>請CIP TEAM協助以下顧客資料同步問題~</t>
    <phoneticPr fontId="1" type="noConversion"/>
  </si>
  <si>
    <t>已通知cip team
待CIP 清除改號註記 後 CIFX 重送
已重送電文
待清除同步失敗註記</t>
    <phoneticPr fontId="1" type="noConversion"/>
  </si>
  <si>
    <t>1608199846588608-3848892-90-02</t>
    <phoneticPr fontId="1" type="noConversion"/>
  </si>
  <si>
    <t>1608199829449217-3856756-23-01</t>
    <phoneticPr fontId="1" type="noConversion"/>
  </si>
  <si>
    <t>{"requestModel":{"header":{"msgNo":"TS0116_00_20201217101046_74181","txnCode":"DpA05Td002501B01","txnTime":"2020-12-17 10:10:29","senderCode":"TS0116_00","receiverCode":"UP0090_00","operatorCode":"TLR99","unitCode":"9004"},"requestBody":{"funcId":"01","criteria":{"circiKey":"E224342904","propertyTypeCode":"0","partyCertNo":"E224342904","partyCertDate":"1993-04-16"},"dataSet":[{"customerStatusCode":"54","customerKycTypeCode":["F2","F6"]}]}},"resultCode":"UP0090_00_V201","resultDescription":"必要性檢核錯誤","resultBody":null,"errorMessages":["檢查有誤，顧客ID已停用"]}</t>
    <phoneticPr fontId="1" type="noConversion"/>
  </si>
  <si>
    <t xml:space="preserve"> -&gt;E224342904
Y-&gt;P224969378</t>
    <phoneticPr fontId="1" type="noConversion"/>
  </si>
  <si>
    <t>1608306100380636-4070561-18-01</t>
    <phoneticPr fontId="1" type="noConversion"/>
  </si>
  <si>
    <t>發送 業務通知錯誤 !! 業務通知類型:MQ_NOTICE, 業務通知編號(ServiceInterchangId):1608306082351375-4070552-78-01</t>
    <phoneticPr fontId="1" type="noConversion"/>
  </si>
  <si>
    <t>1608306100322867-4079024-17-02</t>
    <phoneticPr fontId="1" type="noConversion"/>
  </si>
  <si>
    <t>SY11000094</t>
    <phoneticPr fontId="1" type="noConversion"/>
  </si>
  <si>
    <t>【CIFX同步CIP異常-顧客識別取號:當系統為TS0116_00時顧客姓名不可為空值】</t>
    <phoneticPr fontId="1" type="noConversion"/>
  </si>
  <si>
    <t>可做, 清除同步失敗紀錄</t>
    <phoneticPr fontId="1" type="noConversion"/>
  </si>
  <si>
    <t>1608647201425950-4761145-33-01</t>
    <phoneticPr fontId="1" type="noConversion"/>
  </si>
  <si>
    <t>1608647201241757-4765428-09-02</t>
    <phoneticPr fontId="1" type="noConversion"/>
  </si>
  <si>
    <t>{"header":{"msgNo":"TS0116_00_20201222142641_47571","txnCode":"A121012","txnTime":"2020-12-22 14:26:41","senderCode":"TS0116_00","receiverCode":"UP0090_00","operatorCode":"12806","unitCode":"0532","authorizerCode":null},"requestBody":{"funcId":"01","criteria":{"circiKey":"N10100932A","propertyTypeCode":"0","partyCertNo":"N101009321","partyCertDate":"2020-12-22"},"dataSet":[{"contactPhone":"0933999813","email":null,"contactAddrPostalCode":"100","contactAddr":"延平南路７７號３樓","contactAddrAdminArea":"中正區","contactAddrLocality":"臺北市","dgbasIndustryCode":"061700","ncbIndustryCode":"060000","residenceAddrLocality":"高雄市","residenceAddr":"同慶里１６鄰羅二路１６號７樓之１","residenceAddrPostalCode":"802","residenceAddrAdminArea":"苓雅區","contactAddrCountryCode":"TW","customerBirthday":"2020-12-22","residenceAddrCountryCode":"TW"}],"option":{"isCustConfirmation":true}}}</t>
    <phoneticPr fontId="1" type="noConversion"/>
  </si>
  <si>
    <t>SY11000095</t>
    <phoneticPr fontId="1" type="noConversion"/>
  </si>
  <si>
    <t>【CIFX同步CIP異常-查無符合(改號前)銀行歸戶統編(N10100932A)顧客】</t>
    <phoneticPr fontId="1" type="noConversion"/>
  </si>
  <si>
    <t>請CIP TEAM協助以下顧客資料同步問題~看起來是前一個顧客問題延伸</t>
    <phoneticPr fontId="1" type="noConversion"/>
  </si>
  <si>
    <t>1608654818280130-4779083-83-01</t>
    <phoneticPr fontId="1" type="noConversion"/>
  </si>
  <si>
    <t>{"requestModel":{"header":{"msgNo":"TS0116_00_20201222163338_96471","txnCode":"A149022","txnTime":"2020-12-22 16:33:38","senderCode":"TS0116_00","receiverCode":"UP0090_00","operatorCode":"08255","unitCode":"0015","authorizerCode":"03270"},"requestBody":{"funcId":"04","criteria":{"exCirciKey":"N10100932A"},"dataSet":[{"circiKey":"N101009321","partyCertNo":"N101009321","partyCertDate":"1952-12-12"}]}},"resultCode":"UP0090_00_R101","resultDescription":"存在驗證錯誤","resultBody":null,"errorMessages":["ID改號作業-&gt;CIF改號作業-&gt;&lt;檢查有誤，查無符合(改號前)銀行歸戶統編(N10100932A)顧客&gt;"]}</t>
    <phoneticPr fontId="1" type="noConversion"/>
  </si>
  <si>
    <t>A -&gt; 1</t>
    <phoneticPr fontId="1" type="noConversion"/>
  </si>
  <si>
    <t>RE10922448</t>
    <phoneticPr fontId="1" type="noConversion"/>
  </si>
  <si>
    <t>【CIFX同步CIP異常-檢查有誤，顧客曾經執行過ID改號】</t>
    <phoneticPr fontId="1" type="noConversion"/>
  </si>
  <si>
    <t>請CIP TEAM協助以下顧客資料同步問題</t>
    <phoneticPr fontId="1" type="noConversion"/>
  </si>
  <si>
    <t>待庭瑋處理完成後通知 重送改號電文</t>
    <phoneticPr fontId="1" type="noConversion"/>
  </si>
  <si>
    <t>1608828811394441-5143615-33-01</t>
    <phoneticPr fontId="1" type="noConversion"/>
  </si>
  <si>
    <t>發送ID改號電文給CIP回傳錯誤碼:UP0090_00_R101,錯誤碼訊息:存在驗證錯誤,錯誤訊息:[檢查有誤，顧客曾經執行過ID改號，將交由資料管家處理]</t>
    <phoneticPr fontId="1" type="noConversion"/>
  </si>
  <si>
    <t>1608828810979503-5142874-08-01</t>
    <phoneticPr fontId="1" type="noConversion"/>
  </si>
  <si>
    <t>{"requestModel":{"header":{"msgNo":"TS0116_00_20201224165331_14561","txnCode":"A149022","txnTime":"2020-12-24 16:53:30","senderCode":"TS0116_00","receiverCode":"UP0090_00","operatorCode":"08255","unitCode":"0015","authorizerCode":"03270"},"requestBody":{"funcId":"04","criteria":{"exCirciKey":"AB30143135"},"dataSet":[{"circiKey":"A270297758","partyCertNo":"A270297758","partyCertDate":"2014-08-28"}]}},"resultCode":"UP0090_00_R101","resultDescription":"存在驗證錯誤","resultBody":null,"errorMessages":["檢查有誤，顧客曾經執行過ID改號，將交由資料管家處理"]}</t>
    <phoneticPr fontId="1" type="noConversion"/>
  </si>
  <si>
    <t>AB30143135 -&gt; A270297758</t>
    <phoneticPr fontId="1" type="noConversion"/>
  </si>
  <si>
    <t>SY11000445</t>
    <phoneticPr fontId="1" type="noConversion"/>
  </si>
  <si>
    <t>待庭瑋處理完成後通知 清除同步失敗</t>
    <phoneticPr fontId="1" type="noConversion"/>
  </si>
  <si>
    <t>1608828579740868-5143461-59-01</t>
    <phoneticPr fontId="1" type="noConversion"/>
  </si>
  <si>
    <t>1608828579305066-5140289-23-02</t>
    <phoneticPr fontId="1" type="noConversion"/>
  </si>
  <si>
    <t>{"requestModel":{"header":{"msgNo":"TS0116_00_20201224164939_94881","txnCode":"A149022","txnTime":"2020-12-24 16:49:39","senderCode":"TS0116_00","receiverCode":"UP0090_00","operatorCode":"08255","unitCode":"0015","authorizerCode":"03270"},"requestBody":{"funcId":"04","criteria":{"exCirciKey":"AB30143135"},"dataSet":[{"circiKey":"O200128223","partyCertNo":"O200128223","partyCertDate":"1984-10-19"}]}},"resultCode":"UP0090_00_R101","resultDescription":"存在驗證錯誤","resultBody":null,"errorMessages":["檢查有誤，顧客曾經執行過ID改號，將交由資料管家處理"]}</t>
    <phoneticPr fontId="1" type="noConversion"/>
  </si>
  <si>
    <t>AB30143135 -&gt; O200128223</t>
    <phoneticPr fontId="1" type="noConversion"/>
  </si>
  <si>
    <t>內部RETRY 完成</t>
    <phoneticPr fontId="1" type="noConversion"/>
  </si>
  <si>
    <t>1608895442225571-5278518-01-02</t>
    <phoneticPr fontId="1" type="noConversion"/>
  </si>
  <si>
    <t>發送 業務通知錯誤 !! 業務通知類型:MQ_NOTICE, 業務通知編號(ServiceInterchangId):1608895429094180-5284435-79-01</t>
    <phoneticPr fontId="1" type="noConversion"/>
  </si>
  <si>
    <t>1608895429094180-5284435-79-01</t>
    <phoneticPr fontId="1" type="noConversion"/>
  </si>
  <si>
    <t>{"requestModel":{"header":{"msgNo":" 060020","txnCode":"A121012 ","txnTime":"2020-12-25 11:23:49","senderCode":"TS0077","receiverCode":"TS0116","operatorCode":"14221  ","unitCode":"1104","authorizerCode":""},"requestBody":{"header":{"acDate":"20201225","acDateROC":"01091225","bitMap":null,"cashier":null,"collectingBranch":null,"communicationSeqNo":" 060020","counterRegionType":null,"ctl":null,"deviceName":null,"deviceTypeNo":null,"element":null,"errorMessage":null,"fromAccountNo":null,"globalNo":null,"headerType":null,"infoAssetsNo":"TS0077","irSeqNo":"0000","isHoliday":null,"isNextDateAccount":null,"length":null,"mac":null,"macData":null,"mType":null,"nextTradeSeqNo":null,"oriTradeSeqNo":" 060020","password":null,"pCode":null,"processType":null,"referenceNumber":null,"region":"IFP0ATWB","returnCode":null,"reverseTradeSeqNo":null,"row4":null,"rsv":null,"signatureData":null,"syncData":null,"systemDate":null,"systemDateROC":null,"systemTime":null,"tradeDateInAP":null,"tradeTimeInAP":null,"toAccountNo":null,"tradeAttribution1":"0","tradeAttribution2":"1","tradeAttribution3":"1","tradeAttribution4":null,"tradeSeqNoInAP":"0600016","tradingSummary":"基本資料變更","txId":"A121012","txIdInAP":"A121012","txSystem":null,"userType":null,"uuid":null,"workStationId":"L1104A07","customerInfo":{"customerClub":null,"cik":null,"moneyLaunderingMarker":null,"specificMemberFlag":null},"teller":{"tellerId":"14221","operateId":"06","supervisorId":"07420","supervisorCardCode":null,"tradeSeqNo":"20","centralizeMark":null},"branch":{"branchCode":"1104","signStatus":null},"oriInData":"IFP0ATWB L1104A07110406A121012  060020 060020011  14221                  00000600016         11045607420                                                                                            N124864722蔡永紘　　　　　　　　　　　　　　　　　　　　　　　　　　　　　　　　　　　　00760302          　　　　　　　　　　0TW0020615C00011Y048744740  048744740      048523099        0920861765            彰化縣田中鎮東源里４鄰山脚路三段１５７號　　　　　　　　　　　　　　　　　　　520彰化縣田中鎮東源里４鄰山脚路三段１５７號　　　　　　　　　　　　　　　　　　　STYLE117632@GMAIL.COM                             劦佑機械股份有限公司　　　　　　　　　02　　　　89883265    00000000000  00  　　　　02             1104                              01001205 1104N124864722           0   1104560000N2244701880908000000000000                  　　　　　　　　　　　　　　　　　　　　　　　　　　　　　                                                                                   Y　　　　　　　　　","msgCode":null,"sys":null,"msgType":null,"dateTime":null,"localDate":null,"localTime":null,"EAITradeSeqNo":null,"EJVLD":null,"EAITxId":null},"model":{"customerCertificationNumber":"N124864722","customerName":"蔡永紘","nationality":"0","registeredCountry":"TW","industryType":"002","industrialCodeForDgbas":"0615C0","customerPropertyType":"0","customerType":"01","taxType":"1","supplementaryPremiumFlag":"Y","permanentPhoneNumber":"048744740","residentialPhoneNumber":"048744740","companyPhoneNumber":"048523099","mobilePhoneNumber":"0920861765","fullPermanentAddress":"彰化縣田中鎮東源里４鄰山脚路三段１５７號","residentialZip":"520","fullResidentialAddress":"彰化縣田中鎮東源里４鄰山脚路三段１５７號","emailAddress":"STYLE117632@GMAIL.COM","serveCompanyName":"劦佑機械股份有限公司","accountPurposeForPerson":"02","capital":"00000000000","industrialPropertyType":"02","creationDepartment":"1104","creationDate":"01001205","mainBusinessUnit":"1104","customerCirciKey":"N124864722","reasonToRejectLoan":"0","birthday":"00760302","serveCompanyCertificationNumber":"89883265","supervisorCardNumber":"1104560000N2244701880908000000000000"},"optional":{"forceUpdate":"Y"}}},"resultBody":{"header":{"acDate":"20201225","acDateROC":"01091225","bitMap":null,"cashier":null,"collectingBranch":null,"communicationSeqNo":" 060020","counterRegionType":null,"ctl":null,"deviceName":null,"deviceTypeNo":null,"element":null,"fromAccountNo":null,"globalNo":"TS0116TS0077202012251104 060020","headerType":null,"infoAssetsNo":"TS0077","irSeqNo":"0000","isHoliday":null,"isNextDateAccount":null,"length":null,"mac":null,"macData":null,"mType":null,"nextTradeSeqNo":" 060021","oriInData":"IFP0ATWB L1104A07110406A121012  060020 060020011  14221                  00000600016         11045607420                                                                                            N124864722蔡永紘　　　　　　　　　　　　　　　　　　　　　　　　　　　　　　　　　　　　00760302          　　　　　　　　　　0TW0020615C00011Y048744740  048744740      048523099        0920861765            彰化縣田中鎮東源里４鄰山脚路三段１５７號　　　　　　　　　　　　　　　　　　　520彰化縣田中鎮東源里４鄰山脚路三段１５７號　　　　　　　　　　　　　　　　　　　STYLE117632@GMAIL.COM                             劦佑機械股份有限公司　　　　　　　　　02　　　　89883265    00000000000  00  　　　　02             1104                              01001205 1104N124864722           0   1104560000N2244701880908000000000000                  　　　　　　　　　　　　　　　　　　　　　　　　　　　　　                                                                                   Y　　　　　　　　　","oriTradeSeqNo":" 060020","password":null,"pCode":null,"processType":null,"referenceNumber":null,"region":"IFP0ATWB","repeatFlag":null,"reverseTradeSeqNo":null,"rsv":null,"signatureData":null,"syncData":null,"systemDate":"20201225","systemDateROC":"01091225","systemTime":"112349","toAccountNo":null,"tradeAttribution1":"0","tradeAttribution2":"1","tradeAttribution3":"0","tradeAttribution4":null,"tradeDateInAP":null,"tradeTimeInAP":null,"tradeSeqNoInAP":"0600016","tradingSummary":"基本資料變更","txId":"A121012","txIdInAP":"A121012","txSystem":null,"userType":null,"uuid":null,"workStationId":"L1104A07","customerInfo":{"customerClub":null,"cik":null,"moneyLaunderingMarker":null,"specificMemberFlag":null},"teller":{"tellerId":"14221","operateId":"06","supervisorId":"07420","supervisorCardCode":null,"tradeSeqNo":"20","centralizeMark":null},"branch":{"branchCode":"1104","signStatus":null},"returnCode":"0000","errorMessage":"交易成功","msgCode":null,"sys":null,"msgType":null,"dateTime":null,"localDate":null,"localTime":null,"EAITradeSeqNo":null,"EJVLD":null,"EAITxId":null},"model":{"customerCirciKey":"N124864722"}},"resultCode":"0000","resultDescription":"交易成功","errorMessages":null}</t>
    <phoneticPr fontId="1" type="noConversion"/>
  </si>
  <si>
    <t>SY10929118</t>
    <phoneticPr fontId="1" type="noConversion"/>
  </si>
  <si>
    <t>unknowhost issue</t>
    <phoneticPr fontId="1" type="noConversion"/>
  </si>
  <si>
    <t>1608905794162997-5299099-32-02</t>
    <phoneticPr fontId="1" type="noConversion"/>
  </si>
  <si>
    <t>1608905793960931-5299114-13-02</t>
    <phoneticPr fontId="1" type="noConversion"/>
  </si>
  <si>
    <t>SY11000096</t>
    <phoneticPr fontId="1" type="noConversion"/>
  </si>
  <si>
    <t>1609241106180647-5979492-47-01</t>
    <phoneticPr fontId="1" type="noConversion"/>
  </si>
  <si>
    <t>發送顧客刪除電文給CIP回傳錯誤碼:UP0090_00_V401,錯誤碼訊息:關聯檢核錯誤,錯誤訊息:[檢查有誤，查無符合顧客]</t>
    <phoneticPr fontId="1" type="noConversion"/>
  </si>
  <si>
    <t>1609241100869349-5979567-10-01</t>
    <phoneticPr fontId="1" type="noConversion"/>
  </si>
  <si>
    <t>{"requestModel":{"header":{"msgNo":"TS0116_00_20201229112501_55871","txnCode":"A12105","txnTime":"2020-12-29 11:25:00","senderCode":"TS0116_00","receiverCode":"UP0090_00","operatorCode":"08255","unitCode":"0015"},"requestBody":{"funcId":"01","criteria":{"circiKey":"T22156858A","propertyTypeCode":"0","partyCertNo":"T221568588","partyCertDate":"1956-10-31"},"option":{"isReplyOverWrite":false,"isRemoval":true,"isCustConfirmation":false,"isRelationRemoval":false}}},"resultCode":"UP0090_00_V401","resultDescription":"關聯檢核錯誤","resultBody":null,"errorMessages":["檢查有誤，查無符合顧客"]}</t>
    <phoneticPr fontId="1" type="noConversion"/>
  </si>
  <si>
    <t>SY11000098</t>
    <phoneticPr fontId="1" type="noConversion"/>
  </si>
  <si>
    <t>unknowHostException 需要手動重送電文</t>
    <phoneticPr fontId="1" type="noConversion"/>
  </si>
  <si>
    <t>1609319867143413-6144291-12-02</t>
    <phoneticPr fontId="1" type="noConversion"/>
  </si>
  <si>
    <t>1609319856988256-6144187-93-02</t>
    <phoneticPr fontId="1" type="noConversion"/>
  </si>
  <si>
    <t>上線單</t>
    <phoneticPr fontId="1" type="noConversion"/>
  </si>
  <si>
    <t>1609943630718050-7409985-06-02</t>
    <phoneticPr fontId="1" type="noConversion"/>
  </si>
  <si>
    <t>發送異動通知電文，未回傳resultCode!!,回傳代碼描述:,錯誤訊息:[]</t>
    <phoneticPr fontId="1" type="noConversion"/>
  </si>
  <si>
    <t>1609943630288189-7420103-68-01</t>
    <phoneticPr fontId="1" type="noConversion"/>
  </si>
  <si>
    <t>1609943621449267-7410347-29-02</t>
    <phoneticPr fontId="1" type="noConversion"/>
  </si>
  <si>
    <t>1609943616758946-7420103-05-01</t>
    <phoneticPr fontId="1" type="noConversion"/>
  </si>
  <si>
    <t>1609932163569067-7397490-66-01</t>
    <phoneticPr fontId="1" type="noConversion"/>
  </si>
  <si>
    <t>1609932150932900-7397463-55-01</t>
    <phoneticPr fontId="1" type="noConversion"/>
  </si>
  <si>
    <t>SY11001165</t>
    <phoneticPr fontId="1" type="noConversion"/>
  </si>
  <si>
    <t>RE11000419</t>
    <phoneticPr fontId="1" type="noConversion"/>
  </si>
  <si>
    <t>【CIFX同步CIP異常-全行未刪除】</t>
    <phoneticPr fontId="1" type="noConversion"/>
  </si>
  <si>
    <t>已通知CIP
待庭瑋新建顧客完成後通知，清除同步失敗註記。
已通知可以清除</t>
    <phoneticPr fontId="1" type="noConversion"/>
  </si>
  <si>
    <t>1609948174959319-7424667-89-01</t>
    <phoneticPr fontId="1" type="noConversion"/>
  </si>
  <si>
    <t>發送異動通知電文給CIP回傳錯誤碼:UP0090_00_V201,錯誤碼訊息:必要性檢核錯誤,錯誤訊息:[DEL00000000000000744 顧客 TS0116_00 已刪除，但全行未刪除，無法進行異動建檔]</t>
    <phoneticPr fontId="1" type="noConversion"/>
  </si>
  <si>
    <t>1609948174716651-7424651-29-01</t>
    <phoneticPr fontId="1" type="noConversion"/>
  </si>
  <si>
    <t>{"requestModel":{"header":{"msgNo":"TS0116_00_20210106154934_96761","txnCode":"A101011","txnTime":"2021-01-06 15:49:34","senderCode":"TS0116_00","receiverCode":"UP0090_00","operatorCode":"19815","unitCode":"0347"},"requestBody":{"funcId":"01","criteria":{"circiKey":"E100327225","propertyTypeCode":"0","partyCertNo":"E100327225","partyCertDate":"1951-03-16"},"dataSet":[{"residenceAddr":"本和里２６鄰大福街１８５號","residenceAddrPostalCode":"807","residenceAddrAdminArea":"三民區","serveCompanyCertNo":null,"serveCompanyName":"無","creationDptCode":"0347","customerName":"黃文察","selfBankSpecialServiceFlag":"00000","foreignExchangeRoleCode":"03","grownUpGuardianshipCode":"0","industryPropsTypeCode":"02","industryTypeCode":"15","performanceDptCode":"0347","nationalityCode":"0","refuseLoanReasonCode":"0","regCountryCode":"TW","incomeTaxTypeCode":"1","genderCode":"M","stopUseCustomerDataFlag":" ","agreeCrossSellingFlag":"N","contactAddrPostalCode":"807","contactAddr":"本和里鼎文街６２號１３樓","contactAddrAdminArea":"三民區","contactAddrLocality":"高雄市","contactTel":"073927476","dgbasIndustryCode":"061700","ncbIndustryCode":"060000","contactPhone":"0970629610","email":null,"residenceAddrLocality":"高雄市","residenceAddrCountryCode":"TW","contactAddrCountryCode":"TW","customerBirthday":"1951-03-16"}],"option":{"isReplyOverWrite":false,"isRemoval":false,"isCustConfirmation":true,"isRelationRemoval":false}}},"resultCode":"UP0090_00_V201","resultDescription":"必要性檢核錯誤","resultBody":null,"errorMessages":["DEL00000000000000744 顧客 TS0116_00 已刪除，但全行未刪除，無法進行異動建檔"]}</t>
    <phoneticPr fontId="1" type="noConversion"/>
  </si>
  <si>
    <t>已RETRY完成</t>
    <phoneticPr fontId="1" type="noConversion"/>
  </si>
  <si>
    <t>1610012753396424-7563326-41-01</t>
    <phoneticPr fontId="1" type="noConversion"/>
  </si>
  <si>
    <t>發送 業務通知錯誤 !! 業務通知類型:MQ_NOTICE, 業務通知編號(ServiceInterchangId):1610012742191992-7559807-11-02</t>
    <phoneticPr fontId="1" type="noConversion"/>
  </si>
  <si>
    <t>1610012742191992-7559807-11-02</t>
    <phoneticPr fontId="1" type="noConversion"/>
  </si>
  <si>
    <t>1610012753396431-7563207-40-01</t>
    <phoneticPr fontId="1" type="noConversion"/>
  </si>
  <si>
    <t>已retry完成</t>
    <phoneticPr fontId="1" type="noConversion"/>
  </si>
  <si>
    <t>1610464800408026-8480094-86-01</t>
    <phoneticPr fontId="1" type="noConversion"/>
  </si>
  <si>
    <t>發送 業務通知錯誤 !! 業務通知類型:MQ_NOTICE, 業務通知編號(ServiceInterchangId):1610464770638852-8480053-34-01</t>
    <phoneticPr fontId="1" type="noConversion"/>
  </si>
  <si>
    <t>【顧客姓名空白-CIFX同步CIP失敗】</t>
    <phoneticPr fontId="1" type="noConversion"/>
  </si>
  <si>
    <t>顧客姓名含有空白~~</t>
    <phoneticPr fontId="1" type="noConversion"/>
  </si>
  <si>
    <t>等待前端ISSUE事件單</t>
    <phoneticPr fontId="1" type="noConversion"/>
  </si>
  <si>
    <t>1611056757769968-9682881-37-01</t>
    <phoneticPr fontId="1" type="noConversion"/>
  </si>
  <si>
    <t>1611056757519960-9682951-84-01</t>
    <phoneticPr fontId="1" type="noConversion"/>
  </si>
  <si>
    <t>{"header":{"msgNo":"TS0116_00_20210119114557_90422","txnCode":"A121011","txnTime":"2021-01-19 11:45:57","senderCode":"TS0116_00","receiverCode":"UP0090_00","operatorCode":"17487","unitCode":"0691","authorizerCode":null},"requestBody":{"funcId":"01","criteria":{"circiKey":"N125297583","propertyTypeCode":"0","partyCertNo":"N125297583","partyCertDate":"1989-12-11"},"dataSet":[{"creationDptCode":"0691","customerName":"　張弘諺","selfBankSpecialServiceFlag":"00000","grownUpGuardianshipCode":"0","industryPropsTypeCode":"02","industryTypeCode":"05","performanceDptCode":"0691","nationalityCode":"0","refuseLoanReasonCode":"0","regCountryCode":"TW","incomeTaxTypeCode":"1","genderCode":"M","stopUseCustomerDataFlag":" ","agreeCrossSellingFlag":"N","contactAddrPostalCode":"515","contactAddr":"黃厝村３鄰山腳路４５號","contactAddrAdminArea":"大村鄉","contactAddrLocality":"彰化縣","dgbasIndustryCode":"0615F0","ncbIndustryCode":"060000","contactPhone":"0933461246","email":null,"residenceAddrLocality":"彰化縣","residenceAddr":"黃厝村３鄰山腳路４５號","residenceAddrPostalCode":"515","residenceAddrAdminArea":"大村鄉","contactAddrCountryCode":"TW","customerBirthday":"1989-12-11","residenceAddrCountryCode":"TW"}],"option":{"isCustConfirmation":true}}}</t>
    <phoneticPr fontId="1" type="noConversion"/>
  </si>
  <si>
    <t>1611066126698992-9702574-14-01</t>
    <phoneticPr fontId="1" type="noConversion"/>
  </si>
  <si>
    <t>1611066126526249-9696929-90-02</t>
    <phoneticPr fontId="1" type="noConversion"/>
  </si>
  <si>
    <t>{"header":{"msgNo":"TS0116_00_20210119142206_89422","txnCode":"A121012","txnTime":"2021-01-19 14:22:06","senderCode":"TS0116_00","receiverCode":"UP0090_00","operatorCode":"15047","unitCode":"0886","authorizerCode":null},"requestBody":{"funcId":"01","criteria":{"circiKey":"U22126718A","propertyTypeCode":"0","partyCertNo":"U221267185","partyCertDate":"2021-01-19"},"dataSet":[{"creationDptCode":"0886","contactPhone":"0936307640","email":"milkernie@gmail.com","dgbasIndustryCode":"061400","ncbIndustryCode":"060000","residenceAddrLocality":"花蓮縣","residenceAddr":"主計里１０鄰仁愛街９號","residenceAddrPostalCode":"970","residenceAddrAdminArea":"花蓮市","customerBirthday":"2021-01-19","residenceAddrCountryCode":"TW"}],"option":{"isCustConfirmation":true}}}</t>
    <phoneticPr fontId="1" type="noConversion"/>
  </si>
  <si>
    <t>發送異動通知電文給CIP回傳錯誤碼:UP0090_00_E101,錯誤碼訊息:未預期執行期錯誤,錯誤訊息:[Assertion botch: negative time]</t>
    <phoneticPr fontId="1" type="noConversion"/>
  </si>
  <si>
    <t>請協助查看同步問題</t>
    <phoneticPr fontId="1" type="noConversion"/>
  </si>
  <si>
    <t>時區BUG
1.CIFX清除同步失敗註記。
2.CIP加指定時區參數/升版至ojdbc8</t>
    <phoneticPr fontId="1" type="noConversion"/>
  </si>
  <si>
    <t>1611322155500405-0233134-91-01</t>
    <phoneticPr fontId="1" type="noConversion"/>
  </si>
  <si>
    <t>1611322155224893-0224523-64-02</t>
    <phoneticPr fontId="1" type="noConversion"/>
  </si>
  <si>
    <t>{"requestModel":{"header":{"msgNo":"TS0116_00_20210122132915_51542","txnCode":"A122011","txnTime":"2021-01-22 13:29:15","senderCode":"TS0116_00","receiverCode":"UP0090_00","operatorCode":"17034","unitCode":"0015"},"requestBody":{"funcId":"01","criteria":{"circiKey":"M101639426","propertyTypeCode":"0","partyCertNo":"M101639426","partyCertDate":"1945-09-21"},"dataSet":[{"dmSaleFlag":"N","emailSaleFlag":"N","phoneSaleFlag":"N","smsSaleFlag":"N"}]}},"resultCode":"UP0090_00_E101","resultDescription":"未預期執行期錯誤","resultBody":null,"errorMessages":["Assertion botch: negative time"]}</t>
    <phoneticPr fontId="1" type="noConversion"/>
  </si>
  <si>
    <t>【刪除檢核失敗】</t>
    <phoneticPr fontId="1" type="noConversion"/>
  </si>
  <si>
    <t>請協助謝謝</t>
    <phoneticPr fontId="1" type="noConversion"/>
  </si>
  <si>
    <t>已通知CIP
庭瑋:清除同步失敗註記</t>
    <phoneticPr fontId="1" type="noConversion"/>
  </si>
  <si>
    <t>1612281060637112-2181818-06-01</t>
    <phoneticPr fontId="1" type="noConversion"/>
  </si>
  <si>
    <t>發送顧客刪除電文給CIP回傳錯誤碼:UP0090_00_V501,錯誤碼訊息:正確性檢核錯誤,錯誤訊息:[顧客刪除作業失敗]</t>
    <phoneticPr fontId="1" type="noConversion"/>
  </si>
  <si>
    <t>1612281060088803-2187755-14-02</t>
    <phoneticPr fontId="1" type="noConversion"/>
  </si>
  <si>
    <t>{"header":{"msgNo":"TS0116_00_20210202155100_29072","txnCode":"A12105","txnTime":"2021-02-02 15:51:00","senderCode":"TS0116_00","receiverCode":"UP0090_00","operatorCode":"08742","unitCode":"0015","authorizerCode":null},"requestBody":{"funcId":"01","criteria":{"circiKey":"69655313A","propertyTypeCode":"2","partyCertNo":"69655313","partyCertDate":"2021-01-27"},"option":{"isRemoval":true}}}</t>
    <phoneticPr fontId="1" type="noConversion"/>
  </si>
  <si>
    <t>SY11002287</t>
    <phoneticPr fontId="1" type="noConversion"/>
  </si>
  <si>
    <t>【 發送CIP同步電文無回應】</t>
    <phoneticPr fontId="1" type="noConversion"/>
  </si>
  <si>
    <t>請協助處理1</t>
    <phoneticPr fontId="1" type="noConversion"/>
  </si>
  <si>
    <t>1612374861544925-2380695-88-01</t>
    <phoneticPr fontId="1" type="noConversion"/>
  </si>
  <si>
    <t>1612374831116679-2380566-42-01</t>
    <phoneticPr fontId="1" type="noConversion"/>
  </si>
  <si>
    <t>{"header":{"msgNo":"TS0116_00_20210203175351_40762","txnCode":"VTC19","txnTime":"2021-02-03 17:53:51","senderCode":"TS0116_00","receiverCode":"UP0090_00","operatorCode":"13911","unitCode":"C251","authorizerCode":null},"requestBody":{"funcId":"01","criteria":{"circiKey":"X120439337","propertyTypeCode":"0","partyCertNo":"X120439337","partyCertDate":"1989-01-25"},"dataSet":[{"dmSaleFlag":"N","phoneSaleFlag":"N","smsSaleFlag":"N","emailSaleFlag":"N"}]}}</t>
    <phoneticPr fontId="1" type="noConversion"/>
  </si>
  <si>
    <t>1612374840997436-2380613-04-01</t>
    <phoneticPr fontId="1" type="noConversion"/>
  </si>
  <si>
    <t>1612374810858386-2371471-98-02</t>
    <phoneticPr fontId="1" type="noConversion"/>
  </si>
  <si>
    <t>{"header":{"msgNo":"TS0116_00_20210203175330_37172","txnCode":"eventIntergrationService","txnTime":"2021-02-03 17:53:30","senderCode":"TS0116_00","receiverCode":"UP0090_00","operatorCode":"20868","unitCode":"0015","authorizerCode":null},"requestBody":{"funcId":"01","criteria":{"circiKey":"E224303578","propertyTypeCode":"0","partyCertNo":"E224303578","partyCertDate":"1964-07-06"},"dataSet":[{"smsSaleFlag":"N","dmSaleFlag":"N","phoneSaleFlag":"N"}]}}</t>
    <phoneticPr fontId="1" type="noConversion"/>
  </si>
  <si>
    <t>1612374763824070-2380496-06-01</t>
    <phoneticPr fontId="1" type="noConversion"/>
  </si>
  <si>
    <t>1612374733622085-2379540-01-01</t>
    <phoneticPr fontId="1" type="noConversion"/>
  </si>
  <si>
    <t>{"header":{"msgNo":"TS0116_00_20210203175213_36772","txnCode":"eventIntergrationService","txnTime":"2021-02-03 17:52:13","senderCode":"TS0116_00","receiverCode":"UP0090_00","operatorCode":"20868","unitCode":"0015","authorizerCode":null},"requestBody":{"funcId":"01","criteria":{"circiKey":"P201665608","propertyTypeCode":"0","partyCertNo":"P201665608","partyCertDate":"1954-01-06"},"dataSet":[{"smsSaleFlag":"N","dmSaleFlag":"N","phoneSaleFlag":"N"}]}}</t>
    <phoneticPr fontId="1" type="noConversion"/>
  </si>
  <si>
    <t>請協助處理2</t>
    <phoneticPr fontId="1" type="noConversion"/>
  </si>
  <si>
    <t>1612374634488513-2380194-88-01</t>
    <phoneticPr fontId="1" type="noConversion"/>
  </si>
  <si>
    <t>1612374603914335-2371128-60-02</t>
    <phoneticPr fontId="1" type="noConversion"/>
  </si>
  <si>
    <t>{"header":{"msgNo":"TS0116_00_20210203175004_34911","txnCode":"eventIntergrationService","txnTime":"2021-02-03 17:50:03","senderCode":"TS0116_00","receiverCode":"UP0090_00","operatorCode":"20868","unitCode":"0015","authorizerCode":null},"requestBody":{"funcId":"01","criteria":{"circiKey":"D100358425","propertyTypeCode":"0","partyCertNo":"D100358425","partyCertDate":"1949-10-22"},"dataSet":[{"smsSaleFlag":"N","emailSaleFlag":"N","dmSaleFlag":"N","phoneSaleFlag":"N"}]}}</t>
    <phoneticPr fontId="1" type="noConversion"/>
  </si>
  <si>
    <t>春娥學姊</t>
    <phoneticPr fontId="1" type="noConversion"/>
  </si>
  <si>
    <t>1612889220113515-3421737-73-02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</si>
  <si>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發送ID改號電文給CIP回傳錯誤碼:UP0090_00_R101,錯誤碼訊息:存在驗證錯誤,錯誤訊息:[ID改號作業-&gt;CIF改號作業-&gt;&lt;檢查有誤，查無符合(改號前)銀行歸戶統編(A90002669A)顧客&gt;]</t>
    <phoneticPr fontId="1" type="noConversion"/>
  </si>
  <si>
    <t>1612889219664568-3420415-45-02</t>
    <phoneticPr fontId="1" type="noConversion"/>
  </si>
  <si>
    <t>{"requestModel":{"header":{"msgNo":"TS0116_00_20210209164659_54011","txnCode":"A149022","txnTime":"2021-02-09 16:46:59","senderCode":"TS0116_00","receiverCode":"UP0090_00","operatorCode":"08255","unitCode":"0015","authorizerCode":"00899"},"requestBody":{"funcId":"04","criteria":{"exCirciKey":"A90002669A"},"dataSet":[{"circiKey":"A900026690","partyCertNo":"A900026690","partyCertDate":"1991-07-19"}]}},"resultCode":"UP0090_00_R101","resultDescription":"存在驗證錯誤","resultBody":null,"errorMessages":["ID改號作業-&gt;CIF改號作業-&gt;&lt;檢查有誤，查無符合(改號前)銀行歸戶統編(A90002669A)顧客&gt;"]}</t>
    <phoneticPr fontId="1" type="noConversion"/>
  </si>
  <si>
    <t xml:space="preserve"> -&gt;A90002669A
Y-&gt;A900026690</t>
    <phoneticPr fontId="1" type="noConversion"/>
  </si>
  <si>
    <t>要清除時發現已清除完成</t>
    <phoneticPr fontId="1" type="noConversion"/>
  </si>
  <si>
    <t>1612549075835150-2743749-81-01</t>
    <phoneticPr fontId="1" type="noConversion"/>
  </si>
  <si>
    <t>{"requestModel":{"header":{"msgNo":"TS0116_00_20210205181755_6572","txnCode":"A121012","txnTime":"2021-02-05 18:17:55","senderCode":"TS0116_00","receiverCode":"UP0090_00","operatorCode":"18562","unitCode":"0576"},"requestBody":{"funcId":"01","criteria":{"circiKey":"A90002669A","propertyTypeCode":"0","partyCertNo":"A900026690","partyCertDate":"1991-02-05"},"dataSet":[{"contactPhone":"0928033624","email":"leesunqi@hotmail.com","residenceAddrLocality":"臺北市","residenceAddr":"廈門街９９巷２９號之１五樓","residenceAddrPostalCode":"100","residenceAddrAdminArea":"中正區","customerBirthday":"1991-02-05","residenceAddrCountryCode":"TW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  <phoneticPr fontId="1" type="noConversion"/>
  </si>
  <si>
    <t xml:space="preserve"> -&gt;FD03031749
Y-&gt;A90002669A
 -&gt;A90002669A
Y-&gt;A900026690</t>
    <phoneticPr fontId="1" type="noConversion"/>
  </si>
  <si>
    <t>1613574069032568-4753638-39-01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</si>
  <si>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[serviceInterchangeId=1613574068229950182, serviceInterchangeTime=Wed Feb 17 15:01:08 CST 2021, msgNo=TS0116_00_20210217150108_87772, serviceName=CATEGORY_002, operationName=writeCustomerInfo, txnCode=A101011, txnTime=Wed Feb 17 15:01:08 CST 2021, senderCode=TS0116_00, receiverCode=UP0090_00, operatorCode=05363, unitCode=0668, authorizerCode=null, serviceResponse=null, queryResponseLineitems=[]], funcId=01, custName=洪品蓁, companyEstablishDate=null, circiKey=E225474512, creditCardKey=null, certNo=E225474512, certDate=Wed Mar 17 00:00:00 CST 1999,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goldenRecordItemContent=0668],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goldenRecordItemContent=洪品蓁],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[goldenRecordItemNo=A058, grecItemDescription=外匯申報身分別代碼, serviceParameter=foreignExchangeRoleCode, groupRecordItemGroup=GoldenRecordItemGroup [goldenRecordItemGroupId=1, itemGroupCode=A, itemGroupName=顧客基本資訊]], goldenRecordItemContent=03],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goldenRecordItemContent=0668],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goldenRecordItemContent=HUNG,PIN-CHEN],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goldenRecordItemContent=806],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goldenRecordItemContent=英明路五巷１５號６樓],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goldenRecordItemContent=前鎮區],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goldenRecordItemContent=077719766],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goldenRecordItemContent=061410],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goldenRecordItemContent=0956025952],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goldenRecordItemContent=A99871212@GMAIL.COM],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goldenRecordItemContent=瑞東里１鄰崗山西街２８８號],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goldenRecordItemContent=806],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goldenRecordItemContent=前鎮區],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goldenRecordItemContent=嘉義大學],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goldenRecordItemContent=1999-03-17],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[custId=9887816, custType=P, certTypeCode=00, partyKind=P, oldRestart=false, customerTag=CustomerTag [custId=9887816, custType=P, removalPredicate=null, removalSystemCode=null, refToCustId=0, refDatetime=null, disabledDatetime=null, identityCertTypeCode=00, disabled=null, disabledSystemCode=null], idChangeState=null, creditCardKey=null, circiKey=null, birthDay=1999-03-17 00:00:00.0]；ServiceInterchange:ServiceInterchange [serviceInterchangeId=1613574068229950182, serviceInterchangeTime=Wed Feb 17 15:01:08 CST 2021, msgNo=TS0116_00_20210217150108_87772, serviceName=CATEGORY_002, operationName=writeCustomerInfo, txnCode=A101011, txnTime=Wed Feb 17 15:01:08 CST 2021, senderCode=TS0116_00, receiverCode=UP0090_00, operatorCode=05363, unitCode=0668, authorizerCode=null, serviceResponse=null, queryResponseLineitems=[]], Exception : ]</t>
    <phoneticPr fontId="1" type="noConversion"/>
  </si>
  <si>
    <t>{"requestModel":{"header":{"msgNo":"TS0116_00_20210217150108_87772","txnCode":"A101011","txnTime":"2021-02-17 15:01:08","senderCode":"TS0116_00","receiverCode":"UP0090_00","operatorCode":"05363","unitCode":"0668"},"requestBody":{"funcId":"01","criteria":{"circiKey":"E225474512","propertyTypeCode":"0","partyCertNo":"E225474512","partyCertDate":"1999-03-17"},"dataSet":[{"creationDptCode":"0668","serveCompanyCertNo":null,"partyEnglishName":"HUNG,PIN-CHEN","grownUpGuardianshipCode":"0","performanceDptCode":"0668","residenceAddrAdminArea":"前鎮區","contactTel":"077719766","industryPropsTypeCode":"02","nationalityCode":"0","contactAddr":"英明路五巷１５號６樓","customerBirthday":"1999-03-17","incomeTaxTypeCode":"1","industryTypeCode":"16","email":"A99871212@GMAIL.COM","selfBankSpecialServiceFlag":"00000","stopUseCustomerDataFlag":" ","agreeCrossSellingFlag":"N","regCountryCode":"TW","dgbasIndustryCode":"061410","circiKey":"E225474512","residenceAddrLocality":"高雄市","refuseLoanReasonCode":"0","contactAddrPostalCode":"806","contactAddrCountryCode":"TW","propertyTypeCode":"0","contactAddrAdminArea":"前鎮區","customerName":"洪品蓁","genderCode":"F","personCertNo":"E225474512","contactAddrLocality":"高雄市","serveCompanyName":"嘉義大學","foreignExchangeRoleCode":"03","ncbIndustryCode":"060000","contactPhone":"0956025952","residenceAddrCountryCode":"TW","residenceAddr":"瑞東里１鄰崗山西街２８８號","residenceAddrPostalCode":"806"}],"option":{"isReplyOverWrite":false,"isRemoval":false,"isCustConfirmation":true,"isRelationRemoval":false}}},"resultCode":"UP0090_00_E301","resultDescription":"服務執行期錯誤","resultBody":null,"errorMessages":["顧客識別寫入CI發生錯誤。ChangeRequest:ChangeRequest [serviceInterchange=ServiceInterchange [serviceInterchangeId=1613574068229950182, serviceInterchangeTime=Wed Feb 17 15:01:08 CST 2021, msgNo=TS0116_00_20210217150108_87772, serviceName=CATEGORY_002, operationName=writeCustomerInfo, txnCode=A101011, txnTime=Wed Feb 17 15:01:08 CST 2021, senderCode=TS0116_00, receiverCode=UP0090_00, operatorCode=05363, unitCode=0668, authorizerCode=null, serviceResponse=null, queryResponseLineitems=[]], funcId=01, custName=洪品蓁, companyEstablishDate=null, circiKey=E225474512, creditCardKey=null, certNo=E225474512, certDate=Wed Mar 17 00:00:00 CST 1999,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goldenRecordItemContent=0668],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goldenRecordItemContent=洪品蓁],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[goldenRecordItemNo=A058, grecItemDescription=外匯申報身分別代碼, serviceParameter=foreignExchangeRoleCode, groupRecordItemGroup=GoldenRecordItemGroup [goldenRecordItemGroupId=1, itemGroupCode=A, itemGroupName=顧客基本資訊]], goldenRecordItemContent=03],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goldenRecordItemContent=0668],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goldenRecordItemContent=HUNG,PIN-CHEN],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goldenRecordItemContent=806],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goldenRecordItemContent=英明路五巷１５號６樓],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goldenRecordItemContent=前鎮區],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goldenRecordItemContent=077719766],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goldenRecordItemContent=061410],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goldenRecordItemContent=0956025952],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goldenRecordItemContent=A99871212@GMAIL.COM],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goldenRecordItemContent=瑞東里１鄰崗山西街２８８號],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goldenRecordItemContent=806],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goldenRecordItemContent=前鎮區],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goldenRecordItemContent=嘉義大學],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goldenRecordItemContent=1999-03-17],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[custId=9887816, custType=P, certTypeCode=00, partyKind=P, oldRestart=false, customerTag=CustomerTag [custId=9887816, custType=P, removalPredicate=null, removalSystemCode=null, refToCustId=0, refDatetime=null, disabledDatetime=null, identityCertTypeCode=00, disabled=null, disabledSystemCode=null], idChangeState=null, creditCardKey=null, circiKey=null, birthDay=1999-03-17 00:00:00.0]；ServiceInterchange:ServiceInterchange [serviceInterchangeId=1613574068229950182, serviceInterchangeTime=Wed Feb 17 15:01:08 CST 2021, msgNo=TS0116_00_20210217150108_87772, serviceName=CATEGORY_002, operationName=writeCustomerInfo, txnCode=A101011, txnTime=Wed Feb 17 15:01:08 CST 2021, senderCode=TS0116_00, receiverCode=UP0090_00, operatorCode=05363, unitCode=0668, authorizerCode=null, serviceResponse=null, queryResponseLineitems=[]], Exception : "]}</t>
    <phoneticPr fontId="1" type="noConversion"/>
  </si>
  <si>
    <t>SY11002635</t>
    <phoneticPr fontId="1" type="noConversion"/>
  </si>
  <si>
    <t>1613658195784382-4911655-17-02</t>
    <phoneticPr fontId="1" type="noConversion"/>
  </si>
  <si>
    <t>1613658195584645-4911646-21-02</t>
    <phoneticPr fontId="1" type="noConversion"/>
  </si>
  <si>
    <t>{"requestModel":{"header":{"msgNo":"TS0116_00_20210218142315_0262","txnCode":"A101011","txnTime":"2021-02-18 14:23:15","senderCode":"TS0116_00","receiverCode":"UP0090_00","operatorCode":"16020","unitCode":"0668"},"requestBody":{"funcId":"01","criteria":{"circiKey":"29013763","propertyTypeCode":"2","partyCertNo":"29013763","partyCertDate":"1971-04-12"},"dataSet":[{"creationDptCode":"0668","customerName":"　水木興業有限公司","selfBankSpecialServiceFlag":"00000","industryPropsTypeCode":"01","performanceDptCode":"0668","nationalityCode":"0","refuseLoanReasonCode":"0","regCountryCode":"TW","incomeTaxTypeCode":"1","stopUseCustomerDataFlag":" ","agreeCrossSellingFlag":"N","chinaMasterCode":"1","chinaSubCode":"02","contactAddrPostalCode":"806","contactAddr":"鄭和路６９號２３樓","contactAddrAdminArea":"前鎮區","contactAddrLocality":"高雄市","contactTel":"075375879","dgbasIndustryCode":"014541","ncbIndustryCode":"010601","principalPartyCertNo":"S120002435","principalName":"洪偉誠","contactPhone":"0988754995","email":"TAIWANACHENG1688@GMAIL.COM","residenceAddrLocality":"高雄市","residenceAddr":"鄭和路６９號２３樓","residenceAddrPostalCode":"806","residenceAddrAdminArea":"前鎮區","contactAddrCountryCode":"TW","principalBirthday":"1971-04-12","residenceAddrCountryCode":"TW"}],"option":{"isReplyOverWrite":false,"isRemoval":false,"isCustConfirmation":true,"isRelationRemoval":false}}},"resultCode":"UP0090_00_V501","resultDescription":"正確性檢核錯誤","resultBody":null,"errorMessages":["欄位「customerName」的值前後含空白字元(半形／全形)，請移除再提供"]}</t>
    <phoneticPr fontId="1" type="noConversion"/>
  </si>
  <si>
    <t>done</t>
    <phoneticPr fontId="1" type="noConversion"/>
  </si>
  <si>
    <t>Notes://NTSSRV01_ES9999/482567740033CE07/9031299E792CDAD7482565F50008E69B/C2E7CC2EB126EE84482586810009703D</t>
    <phoneticPr fontId="1" type="noConversion"/>
  </si>
  <si>
    <t xml:space="preserve">&lt;&lt;春娥學姊:清除失敗註記&gt;&gt;
庭瑋好：
這筆看起來是收到CIP的異動發覆蓋回寫時失敗，異動來源是由信用卡改的，請再協助瞭解一下信用卡什麼情境會做舊號欄位的異動，
CIFX就依之前的處理方式將同步失敗清除，麻煩了，謝謝！
</t>
    <phoneticPr fontId="1" type="noConversion"/>
  </si>
  <si>
    <t>1613667127862203-4941555-76-01</t>
    <phoneticPr fontId="1" type="noConversion"/>
  </si>
  <si>
    <t>發送異動通知電文給CIP回傳錯誤碼:UP0090_00_V201,錯誤碼訊息:必要性檢核錯誤,錯誤訊息:[檢查有誤，GD00377614 顧客曾經執行過ID改號]</t>
    <phoneticPr fontId="1" type="noConversion"/>
  </si>
  <si>
    <t>1613667127521436-4931213-32-02</t>
    <phoneticPr fontId="1" type="noConversion"/>
  </si>
  <si>
    <t>{"requestModel":{"header":{"msgNo":"TS0116_00_20210218165207_25521","txnCode":"01","txnTime":"2021-02-18 16:52:07","senderCode":"TS0116_00","receiverCode":"UP0090_00","operatorCode":"ZZ","unitCode":"9004"},"requestBody":{"funcId":"01","criteria":{"circiKey":"GD00377614","propertyTypeCode":"0","partyCertNo":"GD00377614","partyCertDate":"1991-09-04"},"dataSet":[{"email":"i.am.joumonjin@gmail.com"}],"option":{"isReplyOverWrite":true,"isRemoval":false,"isCustConfirmation":false,"isRelationRemoval":false}}},"resultCode":"UP0090_00_V201","resultDescription":"必要性檢核錯誤","resultBody":null,"errorMessages":["檢查有誤，GD00377614 顧客曾經執行過ID改號"]}</t>
    <phoneticPr fontId="1" type="noConversion"/>
  </si>
  <si>
    <t xml:space="preserve"> -&gt;GD00377614
Y-&gt;A900018170</t>
    <phoneticPr fontId="1" type="noConversion"/>
  </si>
  <si>
    <t>SY11002729</t>
    <phoneticPr fontId="1" type="noConversion"/>
  </si>
  <si>
    <t xml:space="preserve">此戶信用卡已完成改號作業
CIFX 這邊應可以將此筆交易壓掉即可
改號時間 : 2021-02-19 15:27:44
</t>
    <phoneticPr fontId="1" type="noConversion"/>
  </si>
  <si>
    <t>1613742031491413-5095961-03-02</t>
    <phoneticPr fontId="1" type="noConversion"/>
  </si>
  <si>
    <t>發送異動通知電文給CIP回傳錯誤碼:UP0090_00_V201,錯誤碼訊息:必要性檢核錯誤,錯誤訊息:[檢查有誤，B122742750 顧客曾經執行過ID改號]</t>
    <phoneticPr fontId="1" type="noConversion"/>
  </si>
  <si>
    <t>1613742031032671-5095886-69-02</t>
    <phoneticPr fontId="1" type="noConversion"/>
  </si>
  <si>
    <t>{"requestModel":{"header":{"msgNo":"TS0116_00_20210219134031_12421","txnCode":"01","txnTime":"2021-02-19 13:40:31","senderCode":"TS0116_00","receiverCode":"UP0090_00","operatorCode":"ZZ","unitCode":"9004"},"requestBody":{"funcId":"01","criteria":{"circiKey":"B122742750","propertyTypeCode":"0","partyCertNo":"B122742750","partyCertDate":"1989-07-05"},"dataSet":[{"email":"dream29603017@yahoo.com.tw"}],"option":{"isReplyOverWrite":true,"isRemoval":false,"isCustConfirmation":false,"isRelationRemoval":false}}},"resultCode":"UP0090_00_V201","resultDescription":"必要性檢核錯誤","resultBody":null,"errorMessages":["檢查有誤，B122742750 顧客曾經執行過ID改號"]}</t>
    <phoneticPr fontId="1" type="noConversion"/>
  </si>
  <si>
    <t xml:space="preserve"> -&gt;B122742750
Y-&gt;B225709133</t>
    <phoneticPr fontId="1" type="noConversion"/>
  </si>
  <si>
    <t>Notes://NTSSRV01_ES9999/482567740033CE07/9031299E792CDAD7482565F50008E69B/B210C88DF50109AC48258682002CF192</t>
    <phoneticPr fontId="1" type="noConversion"/>
  </si>
  <si>
    <t>昱彥:信卡未處理完成就來異動，故刪除同步失敗註記。</t>
    <phoneticPr fontId="1" type="noConversion"/>
  </si>
  <si>
    <t>1613823380529060-5265708-46-01</t>
    <phoneticPr fontId="1" type="noConversion"/>
  </si>
  <si>
    <t>1613742039676261-5095963-62-02</t>
    <phoneticPr fontId="1" type="noConversion"/>
  </si>
  <si>
    <t>{"requestModel":{"header":{"msgNo":"TS0116_00_20210220121620_71311","txnCode":"VTC05","txnTime":"2021-02-19 13:40:39","senderCode":"TS0116_00","receiverCode":"UP0090_00","operatorCode":"99","unitCode":"C251"},"requestBody":{"funcId":"01","criteria":{"circiKey":"B122742750","propertyTypeCode":"0","partyCertNo":"B122742750","partyCertDate":"1989-07-05"},"dataSet":[{"contactTel":null,"contactAddr":"安居街３３號６樓","email":"dream29603017@yahoo.com.tw","contactAddrLocality":"臺北市","contactAddrAdminArea":"大安區","residenceAddr":"五光路五中巷１８弄２３之３號","contactPhone":"0976205665","residenceAddrAdminArea":"烏日區","residenceAddrLocality":"臺中市","contactAddrPostalCode":"106","residenceAddrPostalCode":"414","contactAddrCountryCode":"TW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</si>
  <si>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【同步CIP失敗】:[DEL00000000000000784 顧客 TS0116_00 已刪除，但全行未刪除，無法進行異動建檔]</t>
    <phoneticPr fontId="1" type="noConversion"/>
  </si>
  <si>
    <t>已通知CIP team</t>
    <phoneticPr fontId="1" type="noConversion"/>
  </si>
  <si>
    <t>1614002014958049-5612098-09-02</t>
    <phoneticPr fontId="1" type="noConversion"/>
  </si>
  <si>
    <t>發送異動通知電文給CIP回傳錯誤碼:UP0090_00_V201,錯誤碼訊息:必要性檢核錯誤,錯誤訊息:[DEL00000000000000784 顧客 TS0116_00 已刪除，但全行未刪除，無法進行異動建檔]</t>
    <phoneticPr fontId="1" type="noConversion"/>
  </si>
  <si>
    <t>1614002014738627-5611975-55-02</t>
    <phoneticPr fontId="1" type="noConversion"/>
  </si>
  <si>
    <t>{"requestModel":{"header":{"msgNo":"TS0116_00_20210222135334_87211","txnCode":"A101011","txnTime":"2021-02-22 13:53:34","senderCode":"TS0116_00","receiverCode":"UP0090_00","operatorCode":"15191","unitCode":"0347"},"requestBody":{"funcId":"01","criteria":{"circiKey":"S123532154","propertyTypeCode":"0","partyCertNo":"S123532154","partyCertDate":"1987-05-21"},"dataSet":[{"creationDptCode":"0347","customerName":"方","selfBankSpecialServiceFlag":"00000","grownUpGuardianshipCode":"0","industryPropsTypeCode":"02","industryTypeCode":"15","performanceDptCode":"0347","nationalityCode":"0","refuseLoanReasonCode":"0","regCountryCode":"TW","incomeTaxTypeCode":"1","genderCode":"M","stopUseCustomerDataFlag":" ","agreeCrossSellingFlag":"N","contactAddrPostalCode":"813","contactAddr":"福山里７３鄰重平路３號六樓","contactAddrAdminArea":"左營區","contactAddrLocality":"高雄市","contactTel":"0966349103","dgbasIndustryCode":"061700","ncbIndustryCode":"060000","contactPhone":"0966349103","email":"jellyman@so-net.net.tw","residenceAddrLocality":"高雄市","residenceAddr":"福山里７３鄰重平路３號六樓","residenceAddrPostalCode":"813","residenceAddrAdminArea":"左營區","serveCompanyCertNo":null,"serveCompanyName":"無","contactAddrCountryCode":"TW","customerBirthday":"1987-05-21","residenceAddrCountryCode":"TW"}],"option":{"isReplyOverWrite":false,"isRemoval":false,"isCustConfirmation":true,"isRelationRemoval":false}}},"resultCode":"UP0090_00_V201","resultDescription":"必要性檢核錯誤","resultBody":null,"errorMessages":["DEL00000000000000784 顧客 TS0116_00 已刪除，但全行未刪除，無法進行異動建檔"]}</t>
    <phoneticPr fontId="1" type="noConversion"/>
  </si>
  <si>
    <t>1613841416074227-5305300-23-01</t>
    <phoneticPr fontId="1" type="noConversion"/>
  </si>
  <si>
    <t>{"requestModel":{"header":{"msgNo":"TS0116_00_20210220171656_43172","txnCode":"A121012","txnTime":"2021-02-20 17:16:56","senderCode":"TS0116_00","receiverCode":"UP0090_00","operatorCode":"15191","unitCode":"0347"},"requestBody":{"funcId":"01","criteria":{"circiKey":"E222227511","propertyTypeCode":"0","partyCertNo":"E222227511","partyCertDate":"1973-11-22"},"dataSet":[{"customerName":"王嬿菁","industryTypeCode":"11","txnPhone":"0939073305","residenceTel":"0939073305","contactPhone":"0939073305","email":"CHING662@GMAIL.COM","contactAddrPostalCode":"807","contactAddr":"鼎泰里６２鄰明福街５６號八樓","contactAddrAdminArea":"三民區","contactAddrLocality":"高雄市","contactTel":"0939073305","dgbasIndustryCode":"061300","ncbIndustryCode":"060000","residenceAddrLocality":"高雄市","residenceAddr":"鼎泰里６２鄰明福街５６號八樓","residenceAddrPostalCode":"807","residenceAddrAdminArea":"三民區","contactAddrCountryCode":"TW","customerBirthday":"1973-11-22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</si>
  <si>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SC2021022600021</t>
    <phoneticPr fontId="1" type="noConversion"/>
  </si>
  <si>
    <t>DONE</t>
    <phoneticPr fontId="1" type="noConversion"/>
  </si>
  <si>
    <t xml:space="preserve"> RE11003477</t>
    <phoneticPr fontId="1" type="noConversion"/>
  </si>
  <si>
    <t>婉芳</t>
    <phoneticPr fontId="1" type="noConversion"/>
  </si>
  <si>
    <t>RE11003920</t>
    <phoneticPr fontId="1" type="noConversion"/>
  </si>
  <si>
    <t>CIFX  IT刪除N12041545A失敗註記。</t>
    <phoneticPr fontId="1" type="noConversion"/>
  </si>
  <si>
    <t>UPDATE CIFX.TB_SERVICE_EXECUTION_CONTROL SET EXECUTION_STATE = 'EXECUTED', ap_server_EXECUTING = NULL WHERE SERVICE_EXECUTION_CONTROL_ID IN ('1614180679361976-5981976-04-02') and execution_type = 'STAGE1_EXECUTION';</t>
  </si>
  <si>
    <t>楷翰已通知業管，待確認作法
已到單，待CIP歸戶完畢後刪除同步失敗註記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</si>
  <si>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</si>
  <si>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</si>
  <si>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</si>
  <si>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已通知CIP team</t>
    <phoneticPr fontId="1" type="noConversion"/>
  </si>
  <si>
    <t>done</t>
    <phoneticPr fontId="1" type="noConversion"/>
  </si>
  <si>
    <t>done</t>
    <phoneticPr fontId="1" type="noConversion"/>
  </si>
  <si>
    <t>EM11001528</t>
    <phoneticPr fontId="1" type="noConversion"/>
  </si>
  <si>
    <t>done</t>
    <phoneticPr fontId="1" type="noConversion"/>
  </si>
  <si>
    <t>UPDATE CIFX.TB_SERVICE_EXECUTION_CONTROL SET EXECUTION_STATE = 'EXECUTED', ap_server_EXECUTING = NULL WHERE SERVICE_EXECUTION_CONTROL_ID IN ('1614002014771604-5611975-07-02') and execution_type = 'STAGE1_EXECUTION';</t>
    <phoneticPr fontId="1" type="noConversion"/>
  </si>
  <si>
    <t>S123532154</t>
    <phoneticPr fontId="1" type="noConversion"/>
  </si>
  <si>
    <t>EM11001477</t>
    <phoneticPr fontId="1" type="noConversion"/>
  </si>
  <si>
    <t>DONE</t>
    <phoneticPr fontId="1" type="noConversion"/>
  </si>
  <si>
    <t>done</t>
    <phoneticPr fontId="1" type="noConversion"/>
  </si>
  <si>
    <t>發送異動通知電文給CIP回傳錯誤碼:UP0090_00_V201,錯誤碼訊息:必要性檢核錯誤,錯誤訊息:[檢查有誤，AC01238190 顧客曾經執行過ID改號]</t>
  </si>
  <si>
    <t>1614797103881065-7295124-31-01</t>
    <phoneticPr fontId="1" type="noConversion"/>
  </si>
  <si>
    <t>CIFX_STAGE1_ERRORS</t>
    <phoneticPr fontId="1" type="noConversion"/>
  </si>
  <si>
    <t>1615207607555458-8154941-80-02</t>
    <phoneticPr fontId="1" type="noConversion"/>
  </si>
  <si>
    <t>1615207607223601-8154950-60-02</t>
  </si>
  <si>
    <t>1615207607123766-8163424-53-01</t>
  </si>
  <si>
    <t>{"requestModel":{"header":{"msgNo":"TS0116_00_20210308124647_71021","txnCode":"01","txnTime":"2021-03-08 12:46:47","senderCode":"TS0116_00","receiverCode":"UP0090_00","operatorCode":"ZZ","unitCode":"9004"},"requestBody":{"funcId":"01","criteria":{"circiKey":"AC01238190","propertyTypeCode":"0","partyCertNo":"AC01238190","partyCertDate":"1971-10-29"},"dataSet":[{"residenceAddr":"復興南路一段６２號４樓","residenceAddrAdminArea":"大安區","residenceAddrLocality":"臺北市","residenceAddrPostalCode":"106","residenceAddrCountryCode":"TW"}],"option":{"isReplyOverWrite":true,"isRemoval":false,"isCustConfirmation":false,"isRelationRemoval":false}}},"resultCode":"UP0090_00_V201","resultDescription":"必要性檢核錯誤","resultBody":null,"errorMessages":["檢查有誤，AC01238190 顧客曾經執行過ID改號"]}</t>
  </si>
  <si>
    <t>AC01238190</t>
  </si>
  <si>
    <t xml:space="preserve"> -&gt;AC01238190
Y-&gt;A800032347</t>
    <phoneticPr fontId="1" type="noConversion"/>
  </si>
  <si>
    <t>N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</si>
  <si>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</si>
  <si>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</si>
  <si>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</si>
  <si>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昱彥已處理</t>
    <phoneticPr fontId="1" type="noConversion"/>
  </si>
  <si>
    <t>done</t>
    <phoneticPr fontId="1" type="noConversion"/>
  </si>
  <si>
    <t>SC2021030300011</t>
    <phoneticPr fontId="1" type="noConversion"/>
  </si>
  <si>
    <t>SC2021030400001</t>
    <phoneticPr fontId="1" type="noConversion"/>
  </si>
  <si>
    <t>SC2021022400008</t>
    <phoneticPr fontId="1" type="noConversion"/>
  </si>
  <si>
    <t>SC2021030900002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</si>
  <si>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funcId=01, custName=null, companyEstablishDate=null, circiKey=A120547005, creditCardKey=null, certNo=A120547005, certDate=Tue Dec 29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goldenRecordItemContent=[A8, H1]]], custType=null, relationRemoval=false]；CustCipIdentity:CustCipIdentity [custId=9416395, custType=P, certTypeCode=00, partyKind=P, oldRestart=false, customerTag=CustomerTag [custId=9416395, custType=P, removalPredicate=null, removalSystemCode=null, refToCustId=0, refDatetime=null, disabledDatetime=null, identityCertTypeCode=00, disabled=null, disabledSystemCode=null], idChangeState=null, creditCardKey=A120547005, circiKey=A120547005, birthDay=1959-12-29 00:00:00.0]；ServiceInterchange:ServiceInterchange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Exception : ]</t>
  </si>
  <si>
    <t>1614256259999169-6148822-91-01</t>
    <phoneticPr fontId="1" type="noConversion"/>
  </si>
  <si>
    <t>1615359198325642-8483741-14-02</t>
    <phoneticPr fontId="1" type="noConversion"/>
  </si>
  <si>
    <t>{"requestModel":{"header":{"msgNo":"TS0116_00_20210310065317_18911","txnCode":"01","txnTime":"2021-03-10 06:53:15","senderCode":"TS0116_00","receiverCode":"UP0090_00","operatorCode":"ZZ","unitCode":"9004"},"requestBody":{"funcId":"01","criteria":{"circiKey":"A120547005","propertyTypeCode":"0","partyCertNo":"A120547005","partyCertDate":"1959-12-29"},"dataSet":[{"circiKey":"A120547005","personCertNo":"A120547005","propertyTypeCode":"0","customerKycTypeCode":["A8","H1"],"customerBirthday":"1959-12-29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funcId=01, custName=null, companyEstablishDate=null, circiKey=A120547005, creditCardKey=null, certNo=A120547005, certDate=Tue Dec 29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goldenRecordItemContent=[A8, H1]]], custType=null, relationRemoval=false]；CustCipIdentity:CustCipIdentity [custId=9416395, custType=P, certTypeCode=00, partyKind=P, oldRestart=false, customerTag=CustomerTag [custId=9416395, custType=P, removalPredicate=null, removalSystemCode=null, refToCustId=0, refDatetime=null, disabledDatetime=null, identityCertTypeCode=00, disabled=null, disabledSystemCode=null], idChangeState=null, creditCardKey=A120547005, circiKey=A120547005, birthDay=1959-12-29 00:00:00.0]；ServiceInterchange:ServiceInterchange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Exception : "]}</t>
  </si>
  <si>
    <t>A120547005</t>
    <phoneticPr fontId="1" type="noConversion"/>
  </si>
  <si>
    <t>N</t>
    <phoneticPr fontId="1" type="noConversion"/>
  </si>
  <si>
    <t>N</t>
    <phoneticPr fontId="1" type="noConversion"/>
  </si>
  <si>
    <t>1614256259748717-6148809-59-01</t>
  </si>
  <si>
    <t>{"requestModel":{"header":{"msgNo":"TS0116_00_20210225123059_48062","txnCode":"A101011","txnTime":"2021-02-25 12:30:59","senderCode":"TS0116_00","receiverCode":"UP0090_00","operatorCode":"15191","unitCode":"0347"},"requestBody":{"funcId":"01","criteria":{"circiKey":"E222227511","propertyTypeCode":"0","partyCertNo":"E222227511","partyCertDate":"1973-11-22"},"dataSet":[{"creationDptCode":"0347","foreignExchangeRoleCode":"03","txnPhone":null,"residenceTel":null,"contactPhone":"0939073305","email":"CHING662@GMAIL.COM","residenceAddrLocality":"高雄市","residenceAddr":"鼎泰里６２鄰明福街５６號八樓","residenceAddrPostalCode":"807","residenceAddrAdminArea":"三民區","serveCompanyCertNo":null,"serveCompanyName":"高雄市政府衛生局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</si>
  <si>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 xml:space="preserve"> -&gt;E222227511
Y-&gt;E22222751A</t>
    <phoneticPr fontId="1" type="noConversion"/>
  </si>
  <si>
    <t>EM11001895</t>
    <phoneticPr fontId="1" type="noConversion"/>
  </si>
  <si>
    <t>link</t>
    <phoneticPr fontId="1" type="noConversion"/>
  </si>
  <si>
    <t>楷翰</t>
    <phoneticPr fontId="1" type="noConversion"/>
  </si>
  <si>
    <t xml:space="preserve">此戶似乎在同一時間 CIFX 發了另外一筆一樣的異動進來
導致發生同一時間判斷成 insert kyc 的狀況
CIFX 另一筆交易 TS0116_00_20210310065317_45172
目前此戶在 CIP 是有 CIFX 的 kyc 資料了
可以將此失敗註記消掉即可
</t>
    <phoneticPr fontId="1" type="noConversion"/>
  </si>
  <si>
    <t>已通知CIP team</t>
    <phoneticPr fontId="1" type="noConversion"/>
  </si>
  <si>
    <t>E222227511</t>
    <phoneticPr fontId="1" type="noConversion"/>
  </si>
  <si>
    <t>done</t>
    <phoneticPr fontId="1" type="noConversion"/>
  </si>
  <si>
    <t>UPDATE CIFX.TB_SERVICE_EXECUTION_CONTROL SET EXECUTION_STATE = 'EXECUTED', ap_server_EXECUTING = NULL WHERE SERVICE_EXECUTION_CONTROL_ID IN ('1615359195979850-8477930-62-01') and execution_type = 'STAGE1_EXECUTION';</t>
  </si>
  <si>
    <t>此戶在 2/26 有寄過
目前 CIP 已處理完畢
CIFX 應該可以壓掉失敗註記了
&lt;&lt;昱彥已處理完成&gt;&gt;</t>
    <phoneticPr fontId="1" type="noConversion"/>
  </si>
  <si>
    <t>done</t>
    <phoneticPr fontId="1" type="noConversion"/>
  </si>
  <si>
    <t>1615359195303247-8478846-33-01</t>
    <phoneticPr fontId="1" type="noConversion"/>
  </si>
  <si>
    <t>1615359195979850-8477930-62-01</t>
    <phoneticPr fontId="1" type="noConversion"/>
  </si>
  <si>
    <t>SC2021031000005</t>
    <phoneticPr fontId="1" type="noConversion"/>
  </si>
  <si>
    <t>發送異動通知電文給CIP回傳錯誤碼:UP0090_00_V201,錯誤碼訊息:必要性檢核錯誤,錯誤訊息:[DEL00000000000000799 顧客 TS0116_00 已刪除，但全行未刪除，無法進行異動建檔]</t>
  </si>
  <si>
    <t>1615465297447275-8713403-06-01</t>
    <phoneticPr fontId="1" type="noConversion"/>
  </si>
  <si>
    <t>1615465297209436-8705121-45-02</t>
  </si>
  <si>
    <t>1615465297243883-8705121-97-02</t>
  </si>
  <si>
    <t>{"requestModel":{"header":{"msgNo":"TS0116_00_20210311122137_94721","txnCode":"A101011","txnTime":"2021-03-11 12:21:37","senderCode":"TS0116_00","receiverCode":"UP0090_00","operatorCode":"14043","unitCode":"0082"},"requestBody":{"funcId":"01","criteria":{"circiKey":"A201492890","propertyTypeCode":"0","partyCertNo":"A201492890","partyCertDate":"1955-11-30"},"dataSet":[{"creationDptCode":"0082","customerName":"祝彩娟","selfBankSpecialServiceFlag":"00000","foreignExchangeRoleCode":"03","grownUpGuardianshipCode":"0","industryPropsTypeCode":"02","industryTypeCode":"15","performanceDptCode":"0082","nationalityCode":"0","refuseLoanReasonCode":"0","regCountryCode":"TW","incomeTaxTypeCode":"1","genderCode":"F","stopUseCustomerDataFlag":" ","agreeCrossSellingFlag":"N","contactAddrPostalCode":"806","contactAddr":"忠孝里７鄰民權二路５２２號十五樓","contactAddrAdminArea":"前鎮區","contactAddrLocality":"高雄市","contactTel":"073318111","dgbasIndustryCode":"061700","ncbIndustryCode":"060000","contactPhone":"0928724085","email":"c2242.c7388@msa.hinet.net","residenceAddrLocality":"高雄市","residenceAddr":"忠孝里７鄰民權二路５２２號十五樓","residenceAddrPostalCode":"806","residenceAddrAdminArea":"前鎮區","serveCompanyCertNo":null,"serveCompanyName":"家管","contactAddrCountryCode":"TW","customerBirthday":"1955-11-30","residenceAddrCountryCode":"TW"}],"option":{"isReplyOverWrite":false,"isRemoval":false,"isCustConfirmation":true,"isRelationRemoval":false}}},"resultCode":"UP0090_00_V201","resultDescription":"必要性檢核錯誤","resultBody":null,"errorMessages":["DEL00000000000000799 顧客 TS0116_00 已刪除，但全行未刪除，無法進行異動建檔"]}</t>
  </si>
  <si>
    <t>N</t>
    <phoneticPr fontId="1" type="noConversion"/>
  </si>
  <si>
    <t>Y</t>
    <phoneticPr fontId="1" type="noConversion"/>
  </si>
  <si>
    <t>CIRCI_KEY</t>
    <phoneticPr fontId="1" type="noConversion"/>
  </si>
  <si>
    <t>重送CIP電文</t>
  </si>
  <si>
    <t>1616007645686110-9846881-36-02</t>
  </si>
  <si>
    <t>發送異動通知電文給CIP回傳錯誤碼:UP0090_00_E301,錯誤碼訊息:服務執行期錯誤,錯誤訊息:[顧客識別寫入CI發生錯誤。ChangeRequest:ChangeRequest [serviceInterchange=ServiceInterchange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funcId=01, custName=null, companyEstablishDate=null, circiKey=L121224984, creditCardKey=null, certNo=L121224984, certDate=Mon Jan 19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goldenRecordItemContent=0381]], custType=null, relationRemoval=false]；CustCipIdentity:CustCipIdentity [custId=5053777, custType=P, certTypeCode=00, partyKind=P, oldRestart=false, customerTag=CustomerTag [custId=5053777, custType=P, removalPredicate=null, removalSystemCode=null, refToCustId=0, refDatetime=null, disabledDatetime=null, identityCertTypeCode=00, disabled=null, disabledSystemCode=null], idChangeState=null, creditCardKey=L121224984, circiKey=L121224984, birthDay=1970-01-19 00:00:00.0]；ServiceInterchange:ServiceInterchange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Exception : ]</t>
  </si>
  <si>
    <t>1616007645159941-9846913-17-02</t>
  </si>
  <si>
    <t>1616007645284631-9837404-22-01</t>
  </si>
  <si>
    <t>{"requestModel":{"header":{"msgNo":"TS0116_00_20210317190045_57872","txnCode":"01","txnTime":"2021-03-17 19:00:45","senderCode":"TS0116_00","receiverCode":"UP0090_00","operatorCode":"ZZ","unitCode":"9004","authorizerCode":"01056"},"requestBody":{"funcId":"01","criteria":{"circiKey":"L121224984","propertyTypeCode":"0","partyCertNo":"L121224984","partyCertDate":"1970-01-19"},"dataSet":[{"circiKey":"L121224984","personCertNo":"L121224984","propertyTypeCode":"0","performanceDptCode":"0381","customerBirthday":"1970-01-19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funcId=01, custName=null, companyEstablishDate=null, circiKey=L121224984, creditCardKey=null, certNo=L121224984, certDate=Mon Jan 19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goldenRecordItemContent=0381]], custType=null, relationRemoval=false]；CustCipIdentity:CustCipIdentity [custId=5053777, custType=P, certTypeCode=00, partyKind=P, oldRestart=false, customerTag=CustomerTag [custId=5053777, custType=P, removalPredicate=null, removalSystemCode=null, refToCustId=0, refDatetime=null, disabledDatetime=null, identityCertTypeCode=00, disabled=null, disabledSystemCode=null], idChangeState=null, creditCardKey=L121224984, circiKey=L121224984, birthDay=1970-01-19 00:00:00.0]；ServiceInterchange:ServiceInterchange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Exception : "]}</t>
  </si>
  <si>
    <t>N</t>
    <phoneticPr fontId="1" type="noConversion"/>
  </si>
  <si>
    <t>N</t>
    <phoneticPr fontId="1" type="noConversion"/>
  </si>
  <si>
    <t>請協助確認是否為cifx發送2筆電文造成，若是且為一筆成功一筆失敗，cifx後續進行清除同步失敗紀錄，謝謝。</t>
    <phoneticPr fontId="1" type="noConversion"/>
  </si>
  <si>
    <t>楷翰</t>
    <phoneticPr fontId="1" type="noConversion"/>
  </si>
  <si>
    <t>DONE</t>
    <phoneticPr fontId="1" type="noConversion"/>
  </si>
  <si>
    <t>楷翰</t>
    <phoneticPr fontId="1" type="noConversion"/>
  </si>
  <si>
    <t>CIP目前找不到原因，也沒有同步成功，故需要重送電文</t>
    <phoneticPr fontId="1" type="noConversion"/>
  </si>
  <si>
    <t>L121224984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</si>
  <si>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('1616007645284631-9837404-22-01') AND EXECUTION_TYPE = 'STAGE1_EXECUTION';</t>
    <phoneticPr fontId="1" type="noConversion"/>
  </si>
  <si>
    <t>done</t>
    <phoneticPr fontId="1" type="noConversion"/>
  </si>
  <si>
    <t>DONE</t>
    <phoneticPr fontId="1" type="noConversion"/>
  </si>
  <si>
    <t>根據需求單判斷為刪除同步失敗註記</t>
    <phoneticPr fontId="1" type="noConversion"/>
  </si>
  <si>
    <t>UPDATE CIFX.TB_SERVICE_EXECUTION_CONTROL SET EXECUTION_STATE = 'EXECUTED', ap_server_EXECUTING = NULL WHERE SERVICE_EXECUTION_CONTROL_ID IN ('1615465297243883-8705121-97-02') and execution_type = 'STAGE1_EXECUTION';</t>
  </si>
  <si>
    <t>A201492890</t>
    <phoneticPr fontId="1" type="noConversion"/>
  </si>
  <si>
    <t>SC2021032200013</t>
    <phoneticPr fontId="1" type="noConversion"/>
  </si>
  <si>
    <t>DONE</t>
    <phoneticPr fontId="1" type="noConversion"/>
  </si>
  <si>
    <t>EM11001938</t>
    <phoneticPr fontId="1" type="noConversion"/>
  </si>
  <si>
    <t>done</t>
    <phoneticPr fontId="1" type="noConversion"/>
  </si>
  <si>
    <t>RE11005193</t>
    <phoneticPr fontId="1" type="noConversion"/>
  </si>
  <si>
    <t>1616692218599719-1288236-07-01</t>
  </si>
  <si>
    <t>1616692213307132-1288045-63-01</t>
  </si>
  <si>
    <t>1616692213308742-1288045-66-01</t>
  </si>
  <si>
    <t>{"requestModel":{"header":{"msgNo":"TS0116_00_20210325171018_31282","txnCode":"DpA05Td002502B01","txnTime":"2021-03-25 17:10:13","senderCode":"TS0116_00","receiverCode":"UP0090_00","operatorCode":"TLR99","unitCode":"9004"},"requestBody":{"funcId":"01","criteria":{"circiKey":"F125352065","propertyTypeCode":"0","partyCertNo":"F125352065","partyCertDate":"1982-03-01"},"dataSet":[{"customerStatusCode":"54","customerKycTypeCode":["F2","F6"]}]}},"resultCode":"UP0090_00_V201","resultDescription":"必要性檢核錯誤","resultBody":null,"errorMessages":["檢查有誤，顧客ID已停用"]}</t>
  </si>
  <si>
    <t>N</t>
    <phoneticPr fontId="1" type="noConversion"/>
  </si>
  <si>
    <t>N</t>
    <phoneticPr fontId="1" type="noConversion"/>
  </si>
  <si>
    <t>EM11002101</t>
    <phoneticPr fontId="1" type="noConversion"/>
  </si>
  <si>
    <t>SC2021031800024</t>
    <phoneticPr fontId="1" type="noConversion"/>
  </si>
  <si>
    <t>基中</t>
    <phoneticPr fontId="1" type="noConversion"/>
  </si>
  <si>
    <t xml:space="preserve">為改號顧客需重新歸戶，待CIP重新歸戶後通知，CIFX清除同步失敗註記。 </t>
    <phoneticPr fontId="1" type="noConversion"/>
  </si>
  <si>
    <t>F125352065</t>
    <phoneticPr fontId="1" type="noConversion"/>
  </si>
  <si>
    <t>RE11006438</t>
    <phoneticPr fontId="1" type="noConversion"/>
  </si>
  <si>
    <t>UPDATE CIFX.TB_SERVICE_EXECUTION_CONTROL SET EXECUTION_STATE = 'EXECUTED', ap_server_EXECUTING = NULL WHERE SERVICE_EXECUTION_CONTROL_ID IN ('1616692213308742-1288045-66-01') and execution_type = 'STAGE1_EXECUTION';</t>
  </si>
  <si>
    <t>EM11002304</t>
    <phoneticPr fontId="1" type="noConversion"/>
  </si>
  <si>
    <t>done</t>
    <phoneticPr fontId="1" type="noConversion"/>
  </si>
  <si>
    <t>DONE</t>
    <phoneticPr fontId="1" type="noConversion"/>
  </si>
  <si>
    <t>SC2021032900012</t>
    <phoneticPr fontId="1" type="noConversion"/>
  </si>
  <si>
    <t>1617792540849113-3577853-02-01</t>
  </si>
  <si>
    <t>1617792540369122-3576529-79-01</t>
  </si>
  <si>
    <t>{"requestModel":{"header":{"msgNo":"TS0116_00_20210407104900_21071","txnCode":"A149022","txnTime":"2021-04-07 10:49:00","senderCode":"TS0116_00","receiverCode":"UP0090_00","operatorCode":"07448","unitCode":"0015","authorizerCode":"03270"},"requestBody":{"funcId":"04","criteria":{"exCirciKey":"FC00683249"},"dataSet":[{"circiKey":"B800037709","partyCertNo":"B800037709","partyCertDate":"1980-04-14"}]}},"resultCode":"UP0090_00_R101","resultDescription":"存在驗證錯誤","resultBody":null,"errorMessages":["檢查有誤，顧客曾經執行過ID改號，將交由資料管家處理"]}</t>
  </si>
  <si>
    <t>謝基中</t>
    <phoneticPr fontId="1" type="noConversion"/>
  </si>
  <si>
    <t>coolplay1030-18595@email.esunbank.com.tw</t>
    <phoneticPr fontId="1" type="noConversion"/>
  </si>
  <si>
    <t>1617792540361895-3576529-74-01</t>
    <phoneticPr fontId="1" type="noConversion"/>
  </si>
  <si>
    <t>1617822015113223-3647355-03-02</t>
    <phoneticPr fontId="1" type="noConversion"/>
  </si>
  <si>
    <t>1617822010963996-3640748-94-01</t>
  </si>
  <si>
    <t>1617822012410185-3647440-95-02</t>
    <phoneticPr fontId="1" type="noConversion"/>
  </si>
  <si>
    <t>1617822010107325-3640748-82-01</t>
  </si>
  <si>
    <t>1617822011810136-3647440-80-02</t>
    <phoneticPr fontId="1" type="noConversion"/>
  </si>
  <si>
    <t>1617822009945356-3640748-26-01</t>
  </si>
  <si>
    <t>1617822010862196-3647440-59-02</t>
    <phoneticPr fontId="1" type="noConversion"/>
  </si>
  <si>
    <t>1617822009696372-3640748-44-01</t>
  </si>
  <si>
    <t>UPDATE CIFX.TB_SERVICE_EXECUTION_CONTROL SET EXECUTION_STATE = 'EXECUTED', ap_server_EXECUTING = NULL WHERE SERVICE_EXECUTION_CONTROL_ID IN ('1617792540369122-3576529-79-01') and execution_type = 'STAGE1_EXECUTION';</t>
  </si>
  <si>
    <t>UPDATE CIFX.TB_SERVICE_EXECUTION_CONTROL SET EXECUTION_STATE = 'EXECUTED', ap_server_EXECUTING = NULL WHERE SERVICE_EXECUTION_CONTROL_ID IN ('1617822010963996-3640748-94-01') and execution_type = 'STAGE1_EXECUTION';</t>
  </si>
  <si>
    <t>UPDATE CIFX.TB_SERVICE_EXECUTION_CONTROL SET EXECUTION_STATE = 'EXECUTED', ap_server_EXECUTING = NULL WHERE SERVICE_EXECUTION_CONTROL_ID IN ('1617822010107325-3640748-82-01') and execution_type = 'STAGE1_EXECUTION';</t>
  </si>
  <si>
    <t>UPDATE CIFX.TB_SERVICE_EXECUTION_CONTROL SET EXECUTION_STATE = 'EXECUTED', ap_server_EXECUTING = NULL WHERE SERVICE_EXECUTION_CONTROL_ID IN ('1617822009945356-3640748-26-01') and execution_type = 'STAGE1_EXECUTION';</t>
  </si>
  <si>
    <t>UPDATE CIFX.TB_SERVICE_EXECUTION_CONTROL SET EXECUTION_STATE = 'EXECUTED', ap_server_EXECUTING = NULL WHERE SERVICE_EXECUTION_CONTROL_ID IN ('1617822009696372-3640748-44-01') and execution_type = 'STAGE1_EXECUTION';</t>
  </si>
  <si>
    <t>done</t>
    <phoneticPr fontId="1" type="noConversion"/>
  </si>
  <si>
    <t>SC2021040700033</t>
    <phoneticPr fontId="1" type="noConversion"/>
  </si>
  <si>
    <t>B800037709</t>
    <phoneticPr fontId="1" type="noConversion"/>
  </si>
  <si>
    <t>N</t>
    <phoneticPr fontId="1" type="noConversion"/>
  </si>
  <si>
    <t>TD00189025</t>
    <phoneticPr fontId="1" type="noConversion"/>
  </si>
  <si>
    <t>NB20032126</t>
    <phoneticPr fontId="1" type="noConversion"/>
  </si>
  <si>
    <t>HD03523468</t>
    <phoneticPr fontId="1" type="noConversion"/>
  </si>
  <si>
    <t>FD02359659</t>
    <phoneticPr fontId="1" type="noConversion"/>
  </si>
  <si>
    <t>EM11002621</t>
    <phoneticPr fontId="1" type="noConversion"/>
  </si>
  <si>
    <t>SC2021040700033</t>
    <phoneticPr fontId="1" type="noConversion"/>
  </si>
  <si>
    <t>EM11002648</t>
    <phoneticPr fontId="1" type="noConversion"/>
  </si>
  <si>
    <t>SC2021040700033</t>
    <phoneticPr fontId="1" type="noConversion"/>
  </si>
  <si>
    <t>done</t>
    <phoneticPr fontId="1" type="noConversion"/>
  </si>
  <si>
    <t>EM11002648</t>
    <phoneticPr fontId="1" type="noConversion"/>
  </si>
  <si>
    <t xml:space="preserve"> -&gt;FC00683249
Y-&gt;B800037709</t>
    <phoneticPr fontId="1" type="noConversion"/>
  </si>
  <si>
    <t>1618396847092545-4877052-58-01</t>
    <phoneticPr fontId="1" type="noConversion"/>
  </si>
  <si>
    <t>1618396846821266-4876895-13-01</t>
  </si>
  <si>
    <t>{"requestModel":{"header":{"msgNo":"TS0116_00_20210414104046_70782","txnCode":"A123012","txnTime":"2021-04-14 10:40:46","senderCode":"TS0116_00","receiverCode":"UP0090_00","operatorCode":"08742","unitCode":"0015"},"requestBody":{"funcId":"01","criteria":{"circiKey":"U22136611A","propertyTypeCode":"0","partyCertNo":"U221366110","partyCertDate":"2021-03-29"},"dataSet":[{"customerStatusCode":null}]}},"resultCode":"UP0090_00_V201","resultDescription":"必要性檢核錯誤","resultBody":null,"errorMessages":["檢查有誤，顧客ID已停用"]}</t>
  </si>
  <si>
    <t>1618396846748564-4876885-05-01</t>
    <phoneticPr fontId="1" type="noConversion"/>
  </si>
  <si>
    <t xml:space="preserve"> -&gt;U22136611A
Y-&gt;U221366110</t>
    <phoneticPr fontId="1" type="noConversion"/>
  </si>
  <si>
    <t>Y</t>
    <phoneticPr fontId="1" type="noConversion"/>
  </si>
  <si>
    <t>U22136611A</t>
    <phoneticPr fontId="1" type="noConversion"/>
  </si>
  <si>
    <t>請確認現在用的是本號且A號停用的話，CIFX即刪除同步失敗紀錄</t>
    <phoneticPr fontId="1" type="noConversion"/>
  </si>
  <si>
    <t>rjchenl-18442@email.esunbank.com.tw</t>
    <phoneticPr fontId="1" type="noConversion"/>
  </si>
  <si>
    <t>coolplay1030-18595@email.esunbank.com.tw</t>
    <phoneticPr fontId="1" type="noConversion"/>
  </si>
  <si>
    <t>EM11002821</t>
    <phoneticPr fontId="1" type="noConversion"/>
  </si>
  <si>
    <t xml:space="preserve">楷翰:
仁傑好 : 
此戶在 CIP 是改過號的
並且新號跟舊號看起來是不同人
CIFX 可以直接進行刪除同步失敗紀錄
感謝~
</t>
    <phoneticPr fontId="1" type="noConversion"/>
  </si>
  <si>
    <t>UPDATE CIFX.TB_SERVICE_EXECUTION_CONTROL SET EXECUTION_STATE = 'EXECUTED', ap_server_EXECUTING = NULL WHERE SERVICE_EXECUTION_CONTROL_ID IN ('1618396846821266-4876895-13-01') and execution_type = 'STAGE1_EXECUTION';</t>
  </si>
  <si>
    <t>done</t>
    <phoneticPr fontId="1" type="noConversion"/>
  </si>
  <si>
    <t>done</t>
    <phoneticPr fontId="1" type="noConversion"/>
  </si>
  <si>
    <t>發送異動通知電文，未回傳resultCode!!,回傳代碼描述:,錯誤訊息:[]</t>
  </si>
  <si>
    <t>1619103650245739-6424163-56-02</t>
  </si>
  <si>
    <t>SC2021041400025</t>
    <phoneticPr fontId="1" type="noConversion"/>
  </si>
  <si>
    <t>EM11003035</t>
    <phoneticPr fontId="1" type="noConversion"/>
  </si>
  <si>
    <t>1619111086846828-6443208-88-01</t>
  </si>
  <si>
    <t>1619103649816116-6413384-24-01</t>
  </si>
  <si>
    <t>1619103649820583-6413384-29-01</t>
  </si>
  <si>
    <t>R124524593</t>
    <phoneticPr fontId="1" type="noConversion"/>
  </si>
  <si>
    <t>H870000076</t>
    <phoneticPr fontId="1" type="noConversion"/>
  </si>
  <si>
    <t>EM11003041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</si>
  <si>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('1619111086846828-6443208-88-01') AND EXECUTION_TYPE = 'STAGE1_EXECUTION';</t>
  </si>
  <si>
    <t>UPDATE CIFX.TB_SERVICE_EXECUTION_CONTROL SET EXECUTION_STATE = 'EXECUTED', ap_server_EXECUTING = NULL WHERE SERVICE_EXECUTION_CONTROL_ID IN ('1619103649820583-6413384-29-01') and execution_type = 'STAGE1_EXECUTION';</t>
  </si>
  <si>
    <t>done</t>
    <phoneticPr fontId="1" type="noConversion"/>
  </si>
  <si>
    <t>done</t>
    <phoneticPr fontId="1" type="noConversion"/>
  </si>
  <si>
    <t>done</t>
    <phoneticPr fontId="1" type="noConversion"/>
  </si>
  <si>
    <t>1619520305256745-7301857-70-01</t>
    <phoneticPr fontId="1" type="noConversion"/>
  </si>
  <si>
    <t>{"header":{"msgNo":"TS0116_00_20210427104505_94381","txnCode":"digiAccOperate","txnTime":"2021-04-27 10:45:05","senderCode":"TS0116_00","receiverCode":"UP0090_00","operatorCode":"13759","unitCode":"0015","authorizerCode":null},"requestBody":{"funcId":"01","criteria":{"circiKey":"W100006012","propertyTypeCode":"0","partyCertNo":"W100006012","partyCertDate":"1959-12-25"},"dataSet":[{"otpServiceFlag":"1"}]}}</t>
    <phoneticPr fontId="1" type="noConversion"/>
  </si>
  <si>
    <t>SC2021042600044</t>
    <phoneticPr fontId="1" type="noConversion"/>
  </si>
  <si>
    <t>W100006012</t>
    <phoneticPr fontId="1" type="noConversion"/>
  </si>
  <si>
    <t>A210205547</t>
  </si>
  <si>
    <t>1619603958332387-7495720-73-02</t>
  </si>
  <si>
    <t>{"requestModel":{"header":{"msgNo":"TS0116_00_20210428095918_96581","txnCode":"01","txnTime":"2021-04-28 09:59:17","senderCode":"TS0116_00","receiverCode":"UP0090_00","operatorCode":"ZZ","unitCode":"9004"},"requestBody":{"funcId":"01","criteria":{"circiKey":"A210205547","propertyTypeCode":"0","partyCertNo":"A210205547","partyCertDate":"1957-08-02"},"dataSet":[{"circiKey":"A210205547","personCertNo":"A210205547","propertyTypeCode":"0","customerKycTypeCode":["C6"],"customerBirthday":"1957-08-02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funcId=01, custName=null, companyEstablishDate=null, circiKey=A210205547, creditCardKey=null, certNo=A210205547, certDate=Fri Aug 02 00:00:00 GMT+08:00 1957,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[custId=788073, custType=P, certTypeCode=00, partyKind=P, oldRestart=false, customerTag=CustomerTag [custId=788073, custType=P, removalPredicate=null, removalSystemCode=null, refToCustId=0, refDatetime=null, disabledDatetime=null, identityCertTypeCode=00, disabled=null, disabledSystemCode=null], idChangeState=null, creditCardKey=A210205547, circiKey=A210205547, birthDay=1957-08-02 00:00:00.0]；ServiceInterchange:ServiceInterchange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Exception : "]}</t>
    <phoneticPr fontId="1" type="noConversion"/>
  </si>
  <si>
    <t>N</t>
    <phoneticPr fontId="1" type="noConversion"/>
  </si>
  <si>
    <t>N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</si>
  <si>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</si>
  <si>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</si>
  <si>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</si>
  <si>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[serviceInterchangeId=1619608900987195072, serviceInterchangeTime=Wed Apr 28 11:21:40 GMT+08:00 2021, msgNo=TS0116_00_20210428112140_76612, serviceName=CATEGORY_002, operationName=writeCustomerInfo, txnCode=01, txnTime=Wed Apr 28 11:21:40 GMT+08:00 2021, senderCode=TS0116_00, receiverCode=UP0090_00, operatorCode=ZZ, unitCode=9004, authorizerCode=null, serviceResponse=null, queryResponseLineitems=[]], funcId=01, custName=null, companyEstablishDate=null, circiKey=F226340927, creditCardKey=null, certNo=F226340927, certDate=Fri May 23 00:00:00 GMT+08:00 1986,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[custId=3439457, custType=P, certTypeCode=00, partyKind=P, oldRestart=false, customerTag=CustomerTag [custId=3439457, custType=P, removalPredicate=null, removalSystemCode=null, refToCustId=0, refDatetime=null, disabledDatetime=null, identityCertTypeCode=00, disabled=null, disabledSystemCode=null], idChangeState=null, creditCardKey=F226340927, circiKey=F226340927, birthDay=1986-05-23 00:00:00.0]；ServiceInterchange:ServiceInterchange [serviceInterchangeId=1619608900987195072, serviceInterchangeTime=Wed Apr 28 11:21:40 GMT+08:00 2021, msgNo=TS0116_00_20210428112140_76612, serviceName=CATEGORY_002, operationName=writeCustomerInfo, txnCode=01, txnTime=Wed Apr 28 11:21:40 GMT+08:00 2021, senderCode=TS0116_00, receiverCode=UP0090_00, operatorCode=ZZ, unitCode=9004,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</si>
  <si>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funcId=01, custName=null, companyEstablishDate=null, circiKey=F120629221, creditCardKey=null, certNo=F120629221, certDate=Fri Oct 30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[custId=2653393, custType=P, certTypeCode=00, partyKind=P, oldRestart=false, customerTag=CustomerTag [custId=2653393, custType=P, removalPredicate=null, removalSystemCode=null, refToCustId=0, refDatetime=null, disabledDatetime=null, identityCertTypeCode=00, disabled=null, disabledSystemCode=null], idChangeState=null, creditCardKey=F120629221, circiKey=F120629221, birthDay=1970-10-30 00:00:00.0]；ServiceInterchange:ServiceInterchange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</si>
  <si>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[serviceInterchangeId=1619611495328022952, serviceInterchangeTime=Wed Apr 28 12:04:55 GMT+08:00 2021, msgNo=TS0116_00_20210428120455_12381, serviceName=CATEGORY_002, operationName=writeCustomerInfo, txnCode=01, txnTime=Wed Apr 28 12:04:54 GMT+08:00 2021, senderCode=TS0116_00, receiverCode=UP0090_00, operatorCode=ZZ, unitCode=9004, authorizerCode=null, serviceResponse=null, queryResponseLineitems=[]], funcId=01, custName=null, companyEstablishDate=null, circiKey=J122095057, creditCardKey=null, certNo=J122095057, certDate=Sun Feb 25 00:00:00 GMT+08:00 1990,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[custId=4504707, custType=P, certTypeCode=00, partyKind=P, oldRestart=false, customerTag=CustomerTag [custId=4504707, custType=P, removalPredicate=null, removalSystemCode=null, refToCustId=0, refDatetime=null, disabledDatetime=null, identityCertTypeCode=00, disabled=null, disabledSystemCode=null], idChangeState=null, creditCardKey=J122095057, circiKey=J122095057, birthDay=1990-02-25 00:00:00.0]；ServiceInterchange:ServiceInterchange [serviceInterchangeId=1619611495328022952, serviceInterchangeTime=Wed Apr 28 12:04:55 GMT+08:00 2021, msgNo=TS0116_00_20210428120455_12381, serviceName=CATEGORY_002, operationName=writeCustomerInfo, txnCode=01, txnTime=Wed Apr 28 12:04:54 GMT+08:00 2021, senderCode=TS0116_00, receiverCode=UP0090_00, operatorCode=ZZ, unitCode=9004, authorizerCode=null, serviceResponse=null, queryResponseLineitems=[]], Exception : ]</t>
  </si>
  <si>
    <t>1619611495131932-7523380-05-01</t>
  </si>
  <si>
    <t>{"requestModel":{"header":{"msgNo":"TS0116_00_20210428120455_12381","txnCode":"01","txnTime":"2021-04-28 12:04:54","senderCode":"TS0116_00","receiverCode":"UP0090_00","operatorCode":"ZZ","unitCode":"9004"},"requestBody":{"funcId":"01","criteria":{"circiKey":"J122095057","propertyTypeCode":"0","partyCertNo":"J122095057","partyCertDate":"1990-02-25"},"dataSet":[{"circiKey":"J122095057","personCertNo":"J122095057","propertyTypeCode":"0","customerKycTypeCode":["C6"],"customerBirthday":"1990-02-25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[serviceInterchangeId=1619611495328022952, serviceInterchangeTime=Wed Apr 28 12:04:55 GMT+08:00 2021, msgNo=TS0116_00_20210428120455_12381, serviceName=CATEGORY_002, operationName=writeCustomerInfo, txnCode=01, txnTime=Wed Apr 28 12:04:54 GMT+08:00 2021, senderCode=TS0116_00, receiverCode=UP0090_00, operatorCode=ZZ, unitCode=9004, authorizerCode=null, serviceResponse=null, queryResponseLineitems=[]], funcId=01, custName=null, companyEstablishDate=null, circiKey=J122095057, creditCardKey=null, certNo=J122095057, certDate=Sun Feb 25 00:00:00 GMT+08:00 1990,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[custId=4504707, custType=P, certTypeCode=00, partyKind=P, oldRestart=false, customerTag=CustomerTag [custId=4504707, custType=P, removalPredicate=null, removalSystemCode=null, refToCustId=0, refDatetime=null, disabledDatetime=null, identityCertTypeCode=00, disabled=null, disabledSystemCode=null], idChangeState=null, creditCardKey=J122095057, circiKey=J122095057, birthDay=1990-02-25 00:00:00.0]；ServiceInterchange:ServiceInterchange [serviceInterchangeId=1619611495328022952, serviceInterchangeTime=Wed Apr 28 12:04:55 GMT+08:00 2021, msgNo=TS0116_00_20210428120455_12381, serviceName=CATEGORY_002, operationName=writeCustomerInfo, txnCode=01, txnTime=Wed Apr 28 12:04:54 GMT+08:00 2021, senderCode=TS0116_00, receiverCode=UP0090_00, operatorCode=ZZ, unitCode=9004, authorizerCode=null, serviceResponse=null, queryResponseLineitems=[]], Exception : "]}</t>
  </si>
  <si>
    <t>F120629221</t>
  </si>
  <si>
    <t>1619608070240476-7500403-57-02</t>
  </si>
  <si>
    <t>{"requestModel":{"header":{"msgNo":"TS0116_00_20210428110750_78981","txnCode":"01","txnTime":"2021-04-28 11:07:49","senderCode":"TS0116_00","receiverCode":"UP0090_00","operatorCode":"ZZ","unitCode":"9004"},"requestBody":{"funcId":"01","criteria":{"circiKey":"F120629221","propertyTypeCode":"0","partyCertNo":"F120629221","partyCertDate":"1970-10-30"},"dataSet":[{"circiKey":"F120629221","personCertNo":"F120629221","propertyTypeCode":"0","customerKycTypeCode":["C6"],"customerBirthday":"1970-10-30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funcId=01, custName=null, companyEstablishDate=null, circiKey=F120629221, creditCardKey=null, certNo=F120629221, certDate=Fri Oct 30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[custId=2653393, custType=P, certTypeCode=00, partyKind=P, oldRestart=false, customerTag=CustomerTag [custId=2653393, custType=P, removalPredicate=null, removalSystemCode=null, refToCustId=0, refDatetime=null, disabledDatetime=null, identityCertTypeCode=00, disabled=null, disabledSystemCode=null], idChangeState=null, creditCardKey=F120629221, circiKey=F120629221, birthDay=1970-10-30 00:00:00.0]；ServiceInterchange:ServiceInterchange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Exception : "]}</t>
    <phoneticPr fontId="1" type="noConversion"/>
  </si>
  <si>
    <t>F226340927</t>
  </si>
  <si>
    <t>1619608900847869-7501007-95-02</t>
  </si>
  <si>
    <t>{"header":{"msgNo":"TS0116_00_20210428112140_76612","txnCode":"01","txnTime":"2021-04-28 11:21:40","senderCode":"TS0116_00","receiverCode":"UP0090_00","operatorCode":"ZZ","unitCode":"9004","authorizerCode":null},"requestBody":{"funcId":"01","criteria":{"circiKey":"F226340927","propertyTypeCode":"0","partyCertNo":"F226340927","partyCertDate":"1986-05-23"},"dataSet":[{"customerKycTypeCode":["C6"]}],"option":{"isReplyOverWrite":true}}}</t>
    <phoneticPr fontId="1" type="noConversion"/>
  </si>
  <si>
    <t>發送異動通知電文，未回傳resultCode!!,回傳代碼描述:,錯誤訊息:[]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</si>
  <si>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funcId=01, custName=null, companyEstablishDate=null, circiKey=A210205547, creditCardKey=null, certNo=A210205547, certDate=Fri Aug 02 00:00:00 GMT+08:00 1957,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[custId=788073, custType=P, certTypeCode=00, partyKind=P, oldRestart=false, customerTag=CustomerTag [custId=788073, custType=P, removalPredicate=null, removalSystemCode=null, refToCustId=0, refDatetime=null, disabledDatetime=null, identityCertTypeCode=00, disabled=null, disabledSystemCode=null], idChangeState=null, creditCardKey=A210205547, circiKey=A210205547, birthDay=1957-08-02 00:00:00.0]；ServiceInterchange:ServiceInterchange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Exception : ]</t>
    <phoneticPr fontId="1" type="noConversion"/>
  </si>
  <si>
    <t>1619520335510335-7310551-35-02</t>
    <phoneticPr fontId="1" type="noConversion"/>
  </si>
  <si>
    <t>1619603958990952-7496014-64-02</t>
    <phoneticPr fontId="1" type="noConversion"/>
  </si>
  <si>
    <t>1619608070839838-7509271-28-01</t>
    <phoneticPr fontId="1" type="noConversion"/>
  </si>
  <si>
    <t>1619111086472234-6433214-65-02</t>
    <phoneticPr fontId="1" type="noConversion"/>
  </si>
  <si>
    <t>1619520305260186-7301857-72-01</t>
    <phoneticPr fontId="1" type="noConversion"/>
  </si>
  <si>
    <t>1619111116981661-6422500-11-01</t>
    <phoneticPr fontId="1" type="noConversion"/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</si>
  <si>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</si>
  <si>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funcId=01, custName=null, companyEstablishDate=null, circiKey=H201897141, creditCardKey=null, certNo=H201897141, certDate=Fri Jun 19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[custId=4105884, custType=P, certTypeCode=00, partyKind=P, oldRestart=false, customerTag=CustomerTag [custId=4105884, custType=P, removalPredicate=null, removalSystemCode=null, refToCustId=0, refDatetime=null, disabledDatetime=null, identityCertTypeCode=00, disabled=null, disabledSystemCode=null], idChangeState=null, creditCardKey=H201897141, circiKey=H201897141, birthDay=1959-06-19 00:00:00.0]；ServiceInterchange:ServiceInterchange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Exception : ]</t>
  </si>
  <si>
    <t>1619615337619480-7518556-19-02</t>
    <phoneticPr fontId="1" type="noConversion"/>
  </si>
  <si>
    <t>H201897141</t>
  </si>
  <si>
    <t>1619615336130725-7518828-94-02</t>
  </si>
  <si>
    <t>{"requestModel":{"header":{"msgNo":"TS0116_00_20210428130856_26161","txnCode":"01","txnTime":"2021-04-28 13:08:55","senderCode":"TS0116_00","receiverCode":"UP0090_00","operatorCode":"ZZ","unitCode":"9004"},"requestBody":{"funcId":"01","criteria":{"circiKey":"H201897141","propertyTypeCode":"0","partyCertNo":"H201897141","partyCertDate":"1959-06-19"},"dataSet":[{"circiKey":"H201897141","personCertNo":"H201897141","propertyTypeCode":"0","customerKycTypeCode":["C6"],"customerBirthday":"1959-06-19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funcId=01, custName=null, companyEstablishDate=null, circiKey=H201897141, creditCardKey=null, certNo=H201897141, certDate=Fri Jun 19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[custId=4105884, custType=P, certTypeCode=00, partyKind=P, oldRestart=false, customerTag=CustomerTag [custId=4105884, custType=P, removalPredicate=null, removalSystemCode=null, refToCustId=0, refDatetime=null, disabledDatetime=null, identityCertTypeCode=00, disabled=null, disabledSystemCode=null], idChangeState=null, creditCardKey=H201897141, circiKey=H201897141, birthDay=1959-06-19 00:00:00.0]；ServiceInterchange:ServiceInterchange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Exception : "]}</t>
    <phoneticPr fontId="1" type="noConversion"/>
  </si>
  <si>
    <t>'1619611494675127-7514433-27-02',</t>
  </si>
  <si>
    <t>'1619611495681863-7523399-71-01',</t>
  </si>
  <si>
    <t>請協助處理</t>
  </si>
  <si>
    <t>1619611495681863-7523399-71-01</t>
    <phoneticPr fontId="1" type="noConversion"/>
  </si>
  <si>
    <t>1619615335227700-7518832-94-02</t>
    <phoneticPr fontId="1" type="noConversion"/>
  </si>
  <si>
    <t>EM11003203</t>
    <phoneticPr fontId="1" type="noConversion"/>
  </si>
  <si>
    <t>J122095057</t>
    <phoneticPr fontId="1" type="noConversion"/>
  </si>
  <si>
    <t>1619611494675127-7514433-27-02</t>
    <phoneticPr fontId="1" type="noConversion"/>
  </si>
  <si>
    <t>1619603957654971-7505004-82-01</t>
    <phoneticPr fontId="1" type="noConversion"/>
  </si>
  <si>
    <t>1619608900327087-7501886-49-02</t>
    <phoneticPr fontId="1" type="noConversion"/>
  </si>
  <si>
    <t>1619608069752551-7500427-99-02</t>
    <phoneticPr fontId="1" type="noConversion"/>
  </si>
  <si>
    <t>1619608901421261-7510080-55-01</t>
    <phoneticPr fontId="1" type="noConversion"/>
  </si>
  <si>
    <t>SC2021042900030</t>
    <phoneticPr fontId="1" type="noConversion"/>
  </si>
  <si>
    <t>A220985454</t>
  </si>
  <si>
    <t>done</t>
    <phoneticPr fontId="1" type="noConversion"/>
  </si>
  <si>
    <t>done</t>
    <phoneticPr fontId="1" type="noConversion"/>
  </si>
  <si>
    <t>done</t>
    <phoneticPr fontId="1" type="noConversion"/>
  </si>
  <si>
    <t>1620053198399418-8456969-94-01</t>
    <phoneticPr fontId="1" type="noConversion"/>
  </si>
  <si>
    <t>1620053198142531-8464629-36-02</t>
    <phoneticPr fontId="1" type="noConversion"/>
  </si>
  <si>
    <t>{"requestModel":{"header":{"msgNo":"TS0116_00_20210503144638_59181","txnCode":"createOrUpdateCustomerForNBS","txnTime":"2021-05-03 14:46:38","senderCode":"TS0116_00","receiverCode":"UP0090_00","operatorCode":"13871","unitCode":"0990","authorizerCode":"09434"},"requestBody":{"funcId":"01","criteria":{"circiKey":"M22018781A","propertyTypeCode":"0","partyCertNo":"M220187814","partyCertDate":"2021-05-03"},"dataSet":[{"creationDptCode":"0990","contactPhone":"0920260450","email":"a0920260450@gmail.com","contactAddrPostalCode":"802","contactAddr":"南投鎮１５鄰平山里彰南路３段１８號","contactAddrAdminArea":"苓雅區","contactAddrLocality":"南投縣","dgbasIndustryCode":"0615C0","ncbIndustryCode":"060000","residenceAddrLocality":"南投縣","residenceAddr":"南投鎮１５鄰平山里彰南路３段１８號","residenceAddrPostalCode":"540","residenceAddrAdminArea":"南投市","contactAddrCountryCode":"TW","customerBirthday":"2021-05-03","residenceAddrCountryCode":"TW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</si>
  <si>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M22018781A</t>
    <phoneticPr fontId="1" type="noConversion"/>
  </si>
  <si>
    <t>N</t>
    <phoneticPr fontId="1" type="noConversion"/>
  </si>
  <si>
    <t>N</t>
    <phoneticPr fontId="1" type="noConversion"/>
  </si>
  <si>
    <t>1619607600940424-7508693-02-01</t>
    <phoneticPr fontId="1" type="noConversion"/>
  </si>
  <si>
    <t>CIFX_STAGE1_ERRORS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</si>
  <si>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('1619607600940424-7508693-02-01') AND EXECUTION_TYPE = 'STAGE1_EXECUTION';</t>
  </si>
  <si>
    <t>EM11003160</t>
    <phoneticPr fontId="1" type="noConversion"/>
  </si>
  <si>
    <t>發送ID改號電文給CIP回傳錯誤碼:UP0090_00_R101,錯誤碼訊息:存在驗證錯誤,錯誤訊息:[ID改號作業-&gt;CIF改號作業-&gt;&lt;檢查有誤，查無符合(改號前)銀行歸戶統編(M22018781A)顧客&gt;]</t>
  </si>
  <si>
    <t>1620124312597924-8615595-94-01</t>
    <phoneticPr fontId="1" type="noConversion"/>
  </si>
  <si>
    <t>1620124311104340-8614522-30-01</t>
    <phoneticPr fontId="1" type="noConversion"/>
  </si>
  <si>
    <t>{"requestModel":{"header":{"msgNo":"TS0116_00_20210504103152_28361","txnCode":"A149022","txnTime":"2021-05-04 10:31:51","senderCode":"TS0116_00","receiverCode":"UP0090_00","operatorCode":"07448","unitCode":"0015","authorizerCode":"03270"},"requestBody":{"funcId":"04","criteria":{"exCirciKey":"M22018781A"},"dataSet":[{"circiKey":"M22018781B","partyCertNo":"M220187814","partyCertDate":"1975-03-02"}]}},"resultCode":"UP0090_00_R101","resultDescription":"存在驗證錯誤","resultBody":null,"errorMessages":["ID改號作業-&gt;CIF改號作業-&gt;&lt;檢查有誤，查無符合(改號前)銀行歸戶統編(M22018781A)顧客&gt;"]}</t>
    <phoneticPr fontId="1" type="noConversion"/>
  </si>
  <si>
    <t>M22018781B</t>
    <phoneticPr fontId="1" type="noConversion"/>
  </si>
  <si>
    <t xml:space="preserve"> -&gt;M22018781A
Y-&gt;M22018781B
</t>
    <phoneticPr fontId="1" type="noConversion"/>
  </si>
  <si>
    <t>N</t>
    <phoneticPr fontId="1" type="noConversion"/>
  </si>
  <si>
    <t>EM11003386</t>
    <phoneticPr fontId="1" type="noConversion"/>
  </si>
  <si>
    <t>1620226643274903-8844802-23-02</t>
    <phoneticPr fontId="1" type="noConversion"/>
  </si>
  <si>
    <t>1620226642781520-8839390-89-01</t>
    <phoneticPr fontId="1" type="noConversion"/>
  </si>
  <si>
    <t>{"requestModel":{"header":{"msgNo":"TS0116_00_20210505145723_86612","txnCode":"A149022","txnTime":"2021-05-05 14:57:22","senderCode":"TS0116_00","receiverCode":"UP0090_00","operatorCode":"07448","unitCode":"0015","authorizerCode":"03270"},"requestBody":{"funcId":"04","criteria":{"exCirciKey":"AB20161005"},"dataSet":[{"circiKey":"A990018328","partyCertNo":"A990018328","partyCertDate":"1985-08-15"}]}},"resultCode":"UP0090_00_R101","resultDescription":"存在驗證錯誤","resultBody":null,"errorMessages":["檢查有誤，顧客曾經執行過ID改號，將交由資料管家處理"]}</t>
    <phoneticPr fontId="1" type="noConversion"/>
  </si>
  <si>
    <t xml:space="preserve"> -&gt;AB20161005
Y-&gt;A990018328</t>
    <phoneticPr fontId="1" type="noConversion"/>
  </si>
  <si>
    <t>N</t>
    <phoneticPr fontId="1" type="noConversion"/>
  </si>
  <si>
    <t>A990018328</t>
    <phoneticPr fontId="1" type="noConversion"/>
  </si>
  <si>
    <t>1620226642774959-8839390-81-01</t>
    <phoneticPr fontId="1" type="noConversion"/>
  </si>
  <si>
    <t>重覆送2筆</t>
    <phoneticPr fontId="1" type="noConversion"/>
  </si>
  <si>
    <t>EM11003428</t>
    <phoneticPr fontId="1" type="noConversion"/>
  </si>
  <si>
    <t>UPDATE CIFX.TB_SERVICE_EXECUTION_CONTROL SET EXECUTION_STATE = 'EXECUTED', ap_server_EXECUTING = NULL WHERE SERVICE_EXECUTION_CONTROL_ID IN ('1620226642781520-8839390-89-01') and execution_type = 'STAGE1_EXECUTION';</t>
  </si>
  <si>
    <t>&amp;C00002342</t>
    <phoneticPr fontId="1" type="noConversion"/>
  </si>
  <si>
    <t>1620291771544193-8985377-72-02</t>
    <phoneticPr fontId="1" type="noConversion"/>
  </si>
  <si>
    <t>{"header":{"msgNo":"TS0116_00_20210506090251_3961","txnCode":"createOrUpdateCustomerForObu","txnTime":"2021-05-06 09:02:51","senderCode":"TS0116_00","receiverCode":"UP0090_00","operatorCode":"99","unitCode":"0200","authorizerCode":null},"requestBody":{"funcId":"01","criteria":{"circiKey":"&amp;C00002342","propertyTypeCode":"2","partyCertNo":"&amp;C00002342","partyCertDate":"1969-11-11"},"dataSet":[{"email":"KEVIN6162@ME</t>
  </si>
  <si>
    <t>N</t>
    <phoneticPr fontId="1" type="noConversion"/>
  </si>
  <si>
    <t>因為RESPONSE 補上REQ電文</t>
    <phoneticPr fontId="1" type="noConversion"/>
  </si>
  <si>
    <t>EM11003347</t>
    <phoneticPr fontId="1" type="noConversion"/>
  </si>
  <si>
    <t>EM11003160</t>
    <phoneticPr fontId="1" type="noConversion"/>
  </si>
  <si>
    <t>DONE</t>
    <phoneticPr fontId="1" type="noConversion"/>
  </si>
  <si>
    <t>DONE</t>
    <phoneticPr fontId="1" type="noConversion"/>
  </si>
  <si>
    <t>1620347066884339-9113968-35-01</t>
    <phoneticPr fontId="1" type="noConversion"/>
  </si>
  <si>
    <t>1620347036184822-9113837-76-01</t>
    <phoneticPr fontId="1" type="noConversion"/>
  </si>
  <si>
    <t>K122362027</t>
    <phoneticPr fontId="1" type="noConversion"/>
  </si>
  <si>
    <t>{"header":{"msgNo":"TS0116_00_20210507002356_73381","txnCode":"NT1529","txnTime":"2021-05-07 00:23:56","senderCode":"TS0116_00","receiverCode":"UP0090_00","operatorCode":"TS0116_00","unitCode":"9004","authorizerCode":null},"requestBody":{"funcId":"01","criteria":{"circiKey":"K122362027","propertyTypeCode":"0","partyCertNo":"K122362027","partyCertDate":"1989-10-02"},"dataSet":[{"email":"a0911321980@gmail.com"}],"option":{"isCustConfirmation":true}}}</t>
    <phoneticPr fontId="1" type="noConversion"/>
  </si>
  <si>
    <t>N</t>
    <phoneticPr fontId="1" type="noConversion"/>
  </si>
  <si>
    <t>今天又一筆…請確認是否還是沒收到F</t>
    <phoneticPr fontId="1" type="noConversion"/>
  </si>
  <si>
    <t>1619607600061828-7509153-31-01</t>
    <phoneticPr fontId="1" type="noConversion"/>
  </si>
  <si>
    <t>1619607631170038-7509032-87-01</t>
    <phoneticPr fontId="1" type="noConversion"/>
  </si>
  <si>
    <t>1620291801659550-8985377-69-02</t>
    <phoneticPr fontId="1" type="noConversion"/>
  </si>
  <si>
    <t>1620291771317475-8985377-50-02</t>
    <phoneticPr fontId="1" type="noConversion"/>
  </si>
  <si>
    <t>done</t>
    <phoneticPr fontId="1" type="noConversion"/>
  </si>
  <si>
    <t>done</t>
    <phoneticPr fontId="1" type="noConversion"/>
  </si>
  <si>
    <t>SC2021050500042</t>
    <phoneticPr fontId="1" type="noConversion"/>
  </si>
  <si>
    <t>RE11009009</t>
    <phoneticPr fontId="1" type="noConversion"/>
  </si>
  <si>
    <r>
      <rPr>
        <strike/>
        <sz val="12"/>
        <color rgb="FFFF0000"/>
        <rFont val="新細明體"/>
        <family val="1"/>
        <charset val="136"/>
        <scheme val="minor"/>
      </rPr>
      <t>婉芳:待BA開立單據</t>
    </r>
    <r>
      <rPr>
        <sz val="12"/>
        <color rgb="FFFF0000"/>
        <rFont val="新細明體"/>
        <family val="1"/>
        <charset val="136"/>
        <scheme val="minor"/>
      </rPr>
      <t xml:space="preserve">
待基中歸戶完成通知</t>
    </r>
    <phoneticPr fontId="1" type="noConversion"/>
  </si>
  <si>
    <t>EM11003480</t>
    <phoneticPr fontId="1" type="noConversion"/>
  </si>
  <si>
    <t>1620347036777072-9113939-86-01</t>
    <phoneticPr fontId="1" type="noConversion"/>
  </si>
  <si>
    <t>EM11003448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</si>
  <si>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('1620347036777072-9113939-86-01') AND EXECUTION_TYPE = 'STAGE1_EXECUTION';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</si>
  <si>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('1620291771544193-8985377-72-02') AND EXECUTION_TYPE = 'STAGE1_EXECUTION';</t>
    <phoneticPr fontId="1" type="noConversion"/>
  </si>
  <si>
    <t>UPDATE CIFX.TB_SERVICE_EXECUTION_CONTROL SET EXECUTION_STATE = 'EXECUTED', ap_server_EXECUTING = NULL WHERE SERVICE_EXECUTION_CONTROL_ID IN ('1619608070240476-7500403-57-02') and execution_type = 'STAGE1_EXECUTION';</t>
  </si>
  <si>
    <t>1620739467334004-9954477-39-02</t>
    <phoneticPr fontId="1" type="noConversion"/>
  </si>
  <si>
    <t>1620739467087017-9954442-19-02</t>
  </si>
  <si>
    <t>1620739467108968-9954442-37-02</t>
    <phoneticPr fontId="1" type="noConversion"/>
  </si>
  <si>
    <t>{"requestModel":{"header":{"msgNo":"TS0116_00_20210511132427_13171","txnCode":"A101011","txnTime":"2021-05-11 13:24:27","senderCode":"TS0116_00","receiverCode":"UP0090_00","operatorCode":"16020","unitCode":"0668"},"requestBody":{"funcId":"01","criteria":{"circiKey":"F122134403","propertyTypeCode":"0","partyCertNo":"F122134403","partyCertDate":"1968-04-23"},"dataSet":[{"creationDptCode":"0668","txnPhone":null,"residenceTel":null,"contactPhone":"0966758820","email":"A2679177095@GMAIL.COM","residenceAddrLocality":"高雄市","residenceAddr":"正大里２３鄰武廟路７１巷１６號三樓","residenceAddrPostalCode":"802","residenceAddrAdminArea":"苓雅區","serveCompanyCertNo":null,"serveCompanyName":"無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</si>
  <si>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 xml:space="preserve"> -&gt;F12213440
Y-&gt;F12213440A</t>
    <phoneticPr fontId="1" type="noConversion"/>
  </si>
  <si>
    <t>N</t>
    <phoneticPr fontId="1" type="noConversion"/>
  </si>
  <si>
    <t>SC2021050700026</t>
    <phoneticPr fontId="1" type="noConversion"/>
  </si>
  <si>
    <t>done</t>
    <phoneticPr fontId="1" type="noConversion"/>
  </si>
  <si>
    <t>1620053198167815-8464629-61-02</t>
    <phoneticPr fontId="1" type="noConversion"/>
  </si>
  <si>
    <t>1620124311129240-8614522-95-01</t>
    <phoneticPr fontId="1" type="noConversion"/>
  </si>
  <si>
    <t>UPDATE CIFX.TB_SERVICE_EXECUTION_CONTROL SET EXECUTION_STATE = 'EXECUTED', ap_server_EXECUTING = NULL WHERE SERVICE_EXECUTION_CONTROL_ID IN ('1620053198167815-8464629-61-02') and execution_type = 'STAGE1_EXECUTION';</t>
    <phoneticPr fontId="1" type="noConversion"/>
  </si>
  <si>
    <t>UPDATE CIFX.TB_SERVICE_EXECUTION_CONTROL SET EXECUTION_STATE = 'EXECUTED', ap_server_EXECUTING = NULL WHERE SERVICE_EXECUTION_CONTROL_ID IN ('1620124311129240-8614522-95-01') and execution_type = 'STAGE1_EXECUTION';</t>
    <phoneticPr fontId="1" type="noConversion"/>
  </si>
  <si>
    <t>SC2021051200001</t>
    <phoneticPr fontId="1" type="noConversion"/>
  </si>
  <si>
    <t>RE11009009</t>
    <phoneticPr fontId="1" type="noConversion"/>
  </si>
  <si>
    <t>DONE</t>
    <phoneticPr fontId="1" type="noConversion"/>
  </si>
  <si>
    <t>SC2021050700028</t>
    <phoneticPr fontId="1" type="noConversion"/>
  </si>
  <si>
    <t>DONE</t>
    <phoneticPr fontId="1" type="noConversion"/>
  </si>
  <si>
    <t>EM11003572</t>
    <phoneticPr fontId="1" type="noConversion"/>
  </si>
  <si>
    <t>RE11009878</t>
    <phoneticPr fontId="1" type="noConversion"/>
  </si>
  <si>
    <t>DONE</t>
    <phoneticPr fontId="1" type="noConversion"/>
  </si>
  <si>
    <t>發送顧客刪除電文給CIP回傳錯誤碼:UP0090_00_V401,錯誤碼訊息:關聯檢核錯誤,錯誤訊息:[檢查有誤，查無符合顧客]</t>
  </si>
  <si>
    <t>1620929988436310-0378337-64-01</t>
    <phoneticPr fontId="1" type="noConversion"/>
  </si>
  <si>
    <t>{"requestModel":{"header":{"msgNo":"TS0116_00_20210513181948_39481","txnCode":"A149022","txnTime":"2021-05-13 18:19:48","senderCode":"TS0116_00","receiverCode":"UP0090_00","operatorCode":"07448","unitCode":"0015","authorizerCode":"03270"},"requestBody":{"funcId":"04","criteria":{"exCirciKey":"AB30274804"},"dataSet":[{"circiKey":"F980007032","partyCertNo":"F980007032","partyCertDate":"1969-03-08"}]}},"resultCode":"UP0090_00_R101","resultDescription":"存在驗證錯誤","resultBody":null,"errorMessages":["檢查有誤，顧客曾經執行過ID改號，將交由資料管家處理"]}</t>
    <phoneticPr fontId="1" type="noConversion"/>
  </si>
  <si>
    <t>F980007032</t>
    <phoneticPr fontId="1" type="noConversion"/>
  </si>
  <si>
    <t>181948 更改過身份證 Y -&gt;NULL
171219 統一編號改號  -&gt;AB30274804 Y-&gt;F980007032
171219 更改過身份證  NULL -&gt; Y</t>
    <phoneticPr fontId="1" type="noConversion"/>
  </si>
  <si>
    <t>N</t>
    <phoneticPr fontId="1" type="noConversion"/>
  </si>
  <si>
    <t>1620927836351894-0369364-30-02</t>
    <phoneticPr fontId="1" type="noConversion"/>
  </si>
  <si>
    <t>1620293090193381-8987065-18-02</t>
  </si>
  <si>
    <t>{"requestModel":{"header":{"msgNo":"TS0116_00_20210513174356_51871","txnCode":"A12105","txnTime":"2021-05-06 09:24:50","senderCode":"TS0116_00","receiverCode":"UP0090_00","operatorCode":"07448","unitCode":"0015"},"requestBody":{"funcId":"01","criteria":{"circiKey":"M22018781B","propertyTypeCode":"0","partyCertNo":"M220187814","partyCertDate":"1975-03-02"},"option":{"isReplyOverWrite":false,"isRemoval":true,"isCustConfirmation":false,"isRelationRemoval":false}}},"resultCode":"UP0090_00_V401","resultDescription":"關聯檢核錯誤","resultBody":null,"errorMessages":["檢查有誤，查無符合顧客"]}</t>
  </si>
  <si>
    <t>N</t>
    <phoneticPr fontId="1" type="noConversion"/>
  </si>
  <si>
    <t>Y</t>
    <phoneticPr fontId="1" type="noConversion"/>
  </si>
  <si>
    <t>1620927836192258-0376865-22-01</t>
    <phoneticPr fontId="1" type="noConversion"/>
  </si>
  <si>
    <t>1620208371674457-8804122-40-02</t>
  </si>
  <si>
    <t>{"requestModel":{"header":{"msgNo":"TS0116_00_20210513174356_33481","txnCode":"A12105","txnTime":"2021-05-05 09:52:51","senderCode":"TS0116_00","receiverCode":"UP0090_00","operatorCode":"07448","unitCode":"0015"},"requestBody":{"funcId":"01","criteria":{"circiKey":"M22018781A","propertyTypeCode":"0","partyCertNo":"M220187814","partyCertDate":"2021-05-03"},"option":{"isReplyOverWrite":false,"isRemoval":true,"isCustConfirmation":false,"isRelationRemoval":false}}},"resultCode":"UP0090_00_V401","resultDescription":"關聯檢核錯誤","resultBody":null,"errorMessages":["檢查有誤，查無符合顧客"]}</t>
  </si>
  <si>
    <t>M22018781B</t>
    <phoneticPr fontId="1" type="noConversion"/>
  </si>
  <si>
    <t>EM11003633</t>
    <phoneticPr fontId="1" type="noConversion"/>
  </si>
  <si>
    <t>之前未執行同步任務，因後續CIP已歸戶完成，故刪除同步註記後需要搬遷CHANGE_LOG/CHANGE_LOG_LINEITME/KYC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</si>
  <si>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</si>
  <si>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</si>
  <si>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</si>
  <si>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SC2021051200001</t>
    <phoneticPr fontId="1" type="noConversion"/>
  </si>
  <si>
    <t>F122134403</t>
    <phoneticPr fontId="1" type="noConversion"/>
  </si>
  <si>
    <t>EM11003633</t>
    <phoneticPr fontId="1" type="noConversion"/>
  </si>
  <si>
    <t>UPDATE CIFX.TB_SERVICE_EXECUTION_CONTROL SET EXECUTION_STATE = 'EXECUTED', ap_server_EXECUTING = NULL WHERE SERVICE_EXECUTION_CONTROL_ID IN ('1620293090429895-8987065-12-02') and execution_type = 'STAGE1_EXECUTION';</t>
  </si>
  <si>
    <t>UPDATE CIFX.TB_SERVICE_EXECUTION_CONTROL SET EXECUTION_STATE = 'EXECUTED', ap_server_EXECUTING = NULL WHERE SERVICE_EXECUTION_CONTROL_ID IN ('1620208372005366-8804122-15-02') and execution_type = 'STAGE1_EXECUTION';</t>
  </si>
  <si>
    <t>1620293090429895-8987065-12-02</t>
    <phoneticPr fontId="1" type="noConversion"/>
  </si>
  <si>
    <t>1620208372005366-8804122-15-02</t>
    <phoneticPr fontId="1" type="noConversion"/>
  </si>
  <si>
    <t>M22018781A</t>
    <phoneticPr fontId="1" type="noConversion"/>
  </si>
  <si>
    <t>SC2021051400021</t>
    <phoneticPr fontId="1" type="noConversion"/>
  </si>
  <si>
    <t xml:space="preserve">  此戶已完成舊號重啟作業,CIFX可進行重下電文作業,謝謝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</si>
  <si>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('1620739467108968-9954442-37-02') AND EXECUTION_TYPE = 'STAGE1_EXECUTION';</t>
  </si>
  <si>
    <t>SC2021051400027</t>
    <phoneticPr fontId="1" type="noConversion"/>
  </si>
  <si>
    <t>1620929988770289-0371906-87-02</t>
    <phoneticPr fontId="1" type="noConversion"/>
  </si>
  <si>
    <t>UPDATE CIFX.TB_SERVICE_EXECUTION_CONTROL SET EXECUTION_STATE = 'EXECUTED', ap_server_EXECUTING = NULL WHERE SERVICE_EXECUTION_CONTROL_ID IN ('1620929988561856-0378337-84-01') and execution_type = 'STAGE1_EXECUTION';</t>
  </si>
  <si>
    <t>EM11003634</t>
    <phoneticPr fontId="1" type="noConversion"/>
  </si>
  <si>
    <t>1620929988561856-0378337-84-01</t>
    <phoneticPr fontId="1" type="noConversion"/>
  </si>
  <si>
    <t>第1次改號交易成功
第2次取消改號交易失敗(因為CIP沒有介接取消改號交易，都會視為正常改號交易)
第3次改號交易TO_EXECUTE(因為已歸成別戶，故此同步電文取消為EXECUTED)</t>
    <phoneticPr fontId="1" type="noConversion"/>
  </si>
  <si>
    <t>SC2021051700070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</si>
  <si>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</si>
  <si>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</si>
  <si>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</si>
  <si>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發送ID改號電文給CIP回傳錯誤碼:UP0090_00_R101,錯誤碼訊息:存在驗證錯誤,錯誤訊息:[ID改號作業-</t>
  </si>
  <si>
    <t>1621423567149087-1455677-22-01</t>
  </si>
  <si>
    <t>1621423567154439-1455677-30-01</t>
  </si>
  <si>
    <t>F225638606</t>
  </si>
  <si>
    <t>{"requestModel":{"header":{"msgNo":"TS0116_00_20210519112607_98712","txnCode":"A149022","txnTime":"2021-05-19 11:26:07","senderCode":"TS0116_00","receiverCode":"UP0090_00","operatorCode":"08255","unitCode":"0015","authorizerCode":"90093"},"requestBody":{"funcId":"04","criteria":{"exCirciKey":"F22563860A"},"dataSet":[{"circiKey":"F225638606","partyCertNo":"F225638606","partyCertDate":"1983-03-10"}]}},"resultCode":"UP0090_00_R101","resultDescription":"存在驗證錯誤","resultBody":null,"errorMessages":["ID改號作業-&gt;CIF改號作業-&gt;&lt;檢查有誤，查無符合(改號前)銀行歸戶統編(F22563860A)顧客&gt;"]}</t>
    <phoneticPr fontId="1" type="noConversion"/>
  </si>
  <si>
    <t>N</t>
    <phoneticPr fontId="1" type="noConversion"/>
  </si>
  <si>
    <t>1621423567408990-1456853-54-01</t>
    <phoneticPr fontId="1" type="noConversion"/>
  </si>
  <si>
    <t xml:space="preserve">請協助確認改號前顧客是否存在
CIFX:
CIF_VERIFIED_ID,BIRTHDAY,CUST_NAME,FIRST_TXN_DATE
F225638606 19830310 許俐 20050512
F22563860A 20210512 許俐 20151214
兩個都存在
</t>
    <phoneticPr fontId="1" type="noConversion"/>
  </si>
  <si>
    <t>1621507692802596-1641252-48-01</t>
    <phoneticPr fontId="1" type="noConversion"/>
  </si>
  <si>
    <t>1621507692499876-1645555-03-02</t>
  </si>
  <si>
    <t>1621507692650969-1645555-41-02</t>
  </si>
  <si>
    <t>{"requestModel":{"header":{"msgNo":"TS0116_00_20210520104812_48481","txnCode":"A12105","txnTime":"2021-05-20 10:48:12","senderCode":"TS0116_00","receiverCode":"UP0090_00","operatorCode":"08255","unitCode":"0015"},"requestBody":{"funcId":"01","criteria":{"circiKey":"F22563860A","propertyTypeCode":"0","partyCertNo":"F225638606","partyCertDate":"2021-05-12"},"option":{"isReplyOverWrite":false,"isRemoval":true,"isCustConfirmation":false,"isRelationRemoval":false}}},"resultCode":"UP0090_00_V401","resultDescription":"關聯檢核錯誤","resultBody":null,"errorMessages":["檢查有誤，查無符合顧客"]}</t>
  </si>
  <si>
    <t>F22563860A</t>
    <phoneticPr fontId="1" type="noConversion"/>
  </si>
  <si>
    <t>N</t>
    <phoneticPr fontId="1" type="noConversion"/>
  </si>
  <si>
    <t>Y</t>
    <phoneticPr fontId="1" type="noConversion"/>
  </si>
  <si>
    <r>
      <t xml:space="preserve"> -&gt;F22563860A
Y-&gt;</t>
    </r>
    <r>
      <rPr>
        <i/>
        <sz val="12"/>
        <color theme="1"/>
        <rFont val="新細明體"/>
        <family val="1"/>
        <charset val="136"/>
        <scheme val="minor"/>
      </rPr>
      <t>F225638606</t>
    </r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</si>
  <si>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</si>
  <si>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</si>
  <si>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</si>
  <si>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 xml:space="preserve">
婉芳:
這戶BA有開單，需待前端作業完畢CIP才能後續進行歸戶，並BA通知後才能作業，
待收到通知後再請您們協助了，謝謝！
</t>
    <phoneticPr fontId="1" type="noConversion"/>
  </si>
  <si>
    <t>EM11003797</t>
    <phoneticPr fontId="1" type="noConversion"/>
  </si>
  <si>
    <t>EM11003763</t>
    <phoneticPr fontId="1" type="noConversion"/>
  </si>
  <si>
    <t>pce-04503@email.esunbank.com.tw</t>
    <phoneticPr fontId="1" type="noConversion"/>
  </si>
  <si>
    <t>sunny.liu-19432@email.esunbank.com.tw</t>
    <phoneticPr fontId="1" type="noConversion"/>
  </si>
  <si>
    <t>1622719928300405-4298703-27-02</t>
  </si>
  <si>
    <t>1622719927927797-4303653-51-01</t>
  </si>
  <si>
    <t>{"requestModel":{"header":{"msgNo":"TS0116_00_20210603113208_54471","txnCode":"digiAccOpening","txnTime":"2021-06-03 11:32:07","senderCode":"TS0116_00","receiverCode":"UP0090_00","operatorCode":"TS0116_00","unitCode":"0015"},"requestBody":{"funcId":"01","criteria":{"circiKey":"F128550830","propertyTypeCode":"0","partyCertNo":"F128550830","partyCertDate":"1993-07-07"},"dataSet":[{"customerKycTypeCode":["C6"]}]}},"resultCode":"UP0090_00_V201","resultDescription":"必要性檢核錯誤","resultBody":null,"errorMessages":["CIP顧客識別取號:當系統為TS0116_00時顧客姓名不可為空值"]}</t>
  </si>
  <si>
    <t>F128550830</t>
    <phoneticPr fontId="1" type="noConversion"/>
  </si>
  <si>
    <t>N</t>
    <phoneticPr fontId="1" type="noConversion"/>
  </si>
  <si>
    <t>RE11010581</t>
    <phoneticPr fontId="1" type="noConversion"/>
  </si>
  <si>
    <t>EM11004201</t>
    <phoneticPr fontId="1" type="noConversion"/>
  </si>
  <si>
    <t>1622719927951458-4303653-05-01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</si>
  <si>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('1622719927951458-4303653-05-01') AND EXECUTION_TYPE = 'STAGE1_EXECUTION';</t>
  </si>
  <si>
    <t>1622739654085660-4341065-40-02</t>
  </si>
  <si>
    <t>F128550830</t>
  </si>
  <si>
    <t>{"requestModel":{"header":{"msgNo":"TS0116_00_20210603170054_35261","txnCode":"digiAccOpening","txnTime":"2021-06-03 11:32:07","senderCode":"TS0116_00","receiverCode":"UP0090_00","operatorCode":"TS0116_00","unitCode":"0015"},"requestBody":{"funcId":"01","criteria":{"circiKey":"F128550830","propertyTypeCode":"0","partyCertNo":"F128550830","partyCertDate":"1993-07-07"},"dataSet":[{"customerKycTypeCode":["C6"]}]}},"resultCode":"UP0090_00_V201","resultDescription":"必要性檢核錯誤","resultBody":null,"errorMessages":["CIP顧客識別取號:當系統為TS0116_00時顧客姓名不可為空值"]}</t>
  </si>
  <si>
    <t>N</t>
    <phoneticPr fontId="1" type="noConversion"/>
  </si>
  <si>
    <t>N</t>
    <phoneticPr fontId="1" type="noConversion"/>
  </si>
  <si>
    <t>1622719927951458-4303653-05-01</t>
    <phoneticPr fontId="1" type="noConversion"/>
  </si>
  <si>
    <t>SC2021060300044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</si>
  <si>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</si>
  <si>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</si>
  <si>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</si>
  <si>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SC2021060400049</t>
    <phoneticPr fontId="1" type="noConversion"/>
  </si>
  <si>
    <t>DONE</t>
    <phoneticPr fontId="1" type="noConversion"/>
  </si>
  <si>
    <t>DONE</t>
    <phoneticPr fontId="1" type="noConversion"/>
  </si>
  <si>
    <t>1623062844376967-5033597-52-01</t>
  </si>
  <si>
    <t>1623062844157216-5032080-44-01</t>
  </si>
  <si>
    <t>{"requestModel":{"header":{"msgNo":"TS0116_00_20210607104724_10661","txnCode":"A149022","txnTime":"2021-06-07 10:47:24","senderCode":"TS0116_00","receiverCode":"UP0090_00","operatorCode":"19905","unitCode":"0015","authorizerCode":"00899"},"requestBody":{"funcId":"04","criteria":{"exCirciKey":"EC01061951"},"dataSet":[{"circiKey":"E800011280","partyCertNo":"E800011280","partyCertDate":"1981-01-26"}]}},"resultCode":"UP0090_00_R101","resultDescription":"存在驗證錯誤","resultBody":null,"errorMessages":["檢查有誤，顧客曾經執行過ID改號，將交由資料管家處理"]}</t>
  </si>
  <si>
    <t>N</t>
    <phoneticPr fontId="1" type="noConversion"/>
  </si>
  <si>
    <t>0646需求單RE11011714,將此號重覆發送改號
(EC01061951 =&gt; E800011280)
04-6月 -21 01.42.48.189907000 下午
07-6月 -21 10.47.24.163984000 上午</t>
    <phoneticPr fontId="1" type="noConversion"/>
  </si>
  <si>
    <t>done</t>
    <phoneticPr fontId="1" type="noConversion"/>
  </si>
  <si>
    <t>DONE</t>
    <phoneticPr fontId="1" type="noConversion"/>
  </si>
  <si>
    <t>E800011280</t>
    <phoneticPr fontId="1" type="noConversion"/>
  </si>
  <si>
    <t>EC01061951
=&gt; E800011280
0646需求單RE11011714</t>
    <phoneticPr fontId="1" type="noConversion"/>
  </si>
  <si>
    <t>因此改號交易已於0604交易成功，故重覆發送失敗，經查核當日也已發送取消改號交易，故清空此同步失敗註記。</t>
    <phoneticPr fontId="1" type="noConversion"/>
  </si>
  <si>
    <t>1623083452276143-5075272-76-01</t>
  </si>
  <si>
    <t>UPDATE CIFX.TB_SERVICE_EXECUTION_CONTROL SET EXECUTION_STATE = 'EXECUTED', ap_server_EXECUTING = NULL WHERE SERVICE_EXECUTION_CONTROL_ID IN ('1623062844162458-5032080-49-01') and execution_type = 'STAGE1_EXECUTION';</t>
    <phoneticPr fontId="1" type="noConversion"/>
  </si>
  <si>
    <t>1623236199564979-5415404-11-01</t>
  </si>
  <si>
    <t>1623083452170857-5075272-67-01</t>
  </si>
  <si>
    <t>{"requestModel":{"header":{"msgNo":"TS0116_00_20210609105639_92291","txnCode":"A149022","txnTime":"2021-06-07 16:30:52","senderCode":"TS0116_00","receiverCode":"UP0090_00","operatorCode":"19905","unitCode":"0015","authorizerCode":"00899"},"requestBody":{"funcId":"04","criteria":{"exCirciKey":"EC01061951"},"dataSet":[{"circiKey":"E800011280","partyCertNo":"E800011280","partyCertDate":"1981-01-26"}]}},"resultCode":"UP0090_00_R101","resultDescription":"存在驗證錯誤","resultBody":null,"errorMessages":["檢查有誤，顧客曾經執行過ID改號，將交由資料管家處理"]}</t>
  </si>
  <si>
    <t>1623083452276143-5075272-76-01</t>
    <phoneticPr fontId="1" type="noConversion"/>
  </si>
  <si>
    <t>E800011280</t>
    <phoneticPr fontId="1" type="noConversion"/>
  </si>
  <si>
    <t>EM11004279</t>
  </si>
  <si>
    <t>EM11004331</t>
    <phoneticPr fontId="1" type="noConversion"/>
  </si>
  <si>
    <t>SC2021060900015</t>
    <phoneticPr fontId="1" type="noConversion"/>
  </si>
  <si>
    <t>數存交易kyc與主檔異動紀錄寫成2筆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</si>
  <si>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</si>
  <si>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</si>
  <si>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</si>
  <si>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EM11004215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</si>
  <si>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</si>
  <si>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</si>
  <si>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</si>
  <si>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</si>
  <si>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</si>
  <si>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1623876409001023-6810226-05-01</t>
  </si>
  <si>
    <t>1623876409021789-6810226-56-01</t>
  </si>
  <si>
    <t>H227383599</t>
  </si>
  <si>
    <t>1623876273624131-6810127-15-01</t>
  </si>
  <si>
    <t>1623876273640290-6810127-66-01</t>
  </si>
  <si>
    <t>A129214534</t>
  </si>
  <si>
    <t>{"requestModel":{"header":{"msgNo":"TS0116_00_20210616204434_4411","txnCode":"digiAccOpening","txnTime":"2021-06-16 20:44:33","senderCode":"TS0116_00","receiverCode":"UP0090_00","operatorCode":"TS0116_00","unitCode":"0015"},"requestBody":{"funcId":"01","criteria":{"circiKey":"A129214534","propertyTypeCode":"0","partyCertNo":"A129214534","partyCertDate":"1997-08-20"},"dataSet":[{"creationDptCode":"0015","customerName":"林志昕","selfBankSpecialServiceFlag":"00000","grownUpGuardianshipCode":"0","industryPropsTypeCode":"02","industryTypeCode":"06","performanceDptCode":"0015","txnPhone":"0983466172","partyEnglishName":"LINZHIXIN","nationalityCode":"0","residenceTel":"0983466172","refuseLoanReasonCode":"0","regCountryCode":"TW","incomeTaxTypeCode":"1","genderCode":"M","agreeCrossSellingFlag":"N","companyTelExtension":null,"companyTel":"0228915161","contactAddrPostalCode":"112","contactAddr":"開明里１０鄰中和街２２８號五樓","contactAddrAdminArea":"北投區","contactAddrLocality":"臺北市","contactTel":"0983466172","dgbasIndustryCode":"061700","ncbIndustryCode":"060000","contactPhone":"0983466172","email":"sam860820@gmail.com","residenceAddrLocality":"臺北市","residenceAddr":"開明里１０鄰中和街２２８號五樓","residenceAddrPostalCode":"112","residenceAddrAdminArea":"北投區","serveCompanyCertNo":null,"serveCompanyName":"熱海飯店","jobTitle":"一般及其他職務","customerKycTypeCode":[],"contactAddrCountryCode":"TW","customerBirthday":"1997-08-20","residenceAddrCountryCode":"TW"}]}},"resultCode":"UP0090_00_V501","resultDescription":"正確性檢核錯誤","resultBody":null,"errorMessages":["jobTitle該系統無寫入權限"]}</t>
  </si>
  <si>
    <t>1623876263611325-6810127-27-01</t>
  </si>
  <si>
    <t>1623876263620305-6810127-42-01</t>
  </si>
  <si>
    <t>F228525231</t>
  </si>
  <si>
    <t>{"requestModel":{"header":{"msgNo":"TS0116_00_20210616204423_2621","txnCode":"digiAccOpening","txnTime":"2021-06-16 20:44:23","senderCode":"TS0116_00","receiverCode":"UP0090_00","operatorCode":"TS0116_00","unitCode":"0015"},"requestBody":{"funcId":"01","criteria":{"circiKey":"F228525231","propertyTypeCode":"0","partyCertNo":"F228525231","partyCertDate":"1994-05-14"},"dataSet":[{"creationDptCode":"0015","industryTypeCode":"04","partyEnglishName":"WU,PEI YING","residenceTel":"0989239448","companyTelExtension":null,"companyTel":"0289539063","contactTel":"0989239448","serveCompanyCertNo":null,"serveCompanyName":"大津機電股份有限公司","jobTitle":"一般及其他職務"}]}},"resultCode":"UP0090_00_V501","resultDescription":"正確性檢核錯誤","resultBody":null,"errorMessages":["jobTitle該系統無寫入權限"]}</t>
  </si>
  <si>
    <t>1623875885171422-6809717-73-01</t>
  </si>
  <si>
    <t>F128550321</t>
  </si>
  <si>
    <t>{"requestModel":{"header":{"msgNo":"TS0116_00_20210616203805_0321","txnCode":"digiAccOpening","txnTime":"2021-06-16 20:38:05","senderCode":"TS0116_00","receiverCode":"UP0090_00","operatorCode":"TS0116_00","unitCode":"0015"},"requestBody":{"funcId":"01","criteria":{"circiKey":"F128550321","propertyTypeCode":"0","partyCertNo":"F128550321","partyCertDate":"1993-07-08"},"dataSet":[{"creationDptCode":"0015","customerName":"唐景笙","selfBankSpecialServiceFlag":"00000","grownUpGuardianshipCode":"0","industryPropsTypeCode":"02","industryTypeCode":"12","performanceDptCode":"0015","txnPhone":"0963660825","partyEnglishName":"TANG,JHING SHENG","nationalityCode":"0","residenceTel":"0963660825","refuseLoanReasonCode":"0","regCountryCode":"TW","incomeTaxTypeCode":"1","genderCode":"M","agreeCrossSellingFlag":"N","companyTelExtension":"176","companyTel":"0227557366","contactAddrPostalCode":"221","contactAddr":"大同路二段２７２巷３號７樓","contactAddrAdminArea":"汐止區","contactAddrLocality":"新北市","contactTel":"0963660825","dgbasIndustryCode":"061700","ncbIndustryCode":"060000","contactPhone":"0963660825","email":"zaq6414@gmail.com","residenceAddrLocality":"新北市","residenceAddr":"大同里１４鄰大同路二段３１２巷１６弄２１號","residenceAddrPostalCode":"221","residenceAddrAdminArea":"汐止區","serveCompanyCertNo":null,"serveCompanyName":"萬國法律事務所","jobTitle":"專業人員（具專業執","customerKycTypeCode":[],"contactAddrCountryCode":"TW","customerBirthday":"1993-07-08","residenceAddrCountryCode":"TW"}]}},"resultCode":"UP0090_00_V501","resultDescription":"正確性檢核錯誤","resultBody":null,"errorMessages":["jobTitle該系統無寫入權限"]}</t>
  </si>
  <si>
    <t>1623878930924671-6816442-01-02</t>
    <phoneticPr fontId="1" type="noConversion"/>
  </si>
  <si>
    <t>發送異動通知電文給CIP回傳錯誤碼:UP0090_00_V501,錯誤碼訊息:正確性檢核錯誤,錯誤訊息:[jobTitle該系統無寫入權限]</t>
  </si>
  <si>
    <t>1623878930621737-6814804-60-02</t>
  </si>
  <si>
    <t>1623878930632215-6814804-82-02</t>
  </si>
  <si>
    <t>L223018940</t>
  </si>
  <si>
    <t>{"requestModel":{"header":{"msgNo":"TS0116_00_20210616212850_23241","txnCode":"digiAccOpening","txnTime":"2021-06-16 21:28:50","senderCode":"TS0116_00","receiverCode":"UP0090_00","operatorCode":"TS0116_00","unitCode":"0015"},"requestBody":{"funcId":"01","criteria":{"circiKey":"L223018940","propertyTypeCode":"0","partyCertNo":"L223018940","partyCertDate":"1989-08-15"},"dataSet":[{"creationDptCode":"0015","partyEnglishName":"TSAI YI CHEN","residenceTel":"0982259634","contactAddrPostalCode":"422","contactAddr":"九房里８鄰石城街復興巷３號之１","contactAddrAdminArea":"石岡區","contactAddrLocality":"臺中市","contactTel":"0982259634","residenceAddrLocality":"臺中市","residenceAddr":"九房里８鄰石城街復興巷３號之１","residenceAddrPostalCode":"422","residenceAddrAdminArea":"石岡區","serveCompanyCertNo":null,"serveCompanyName":"威捷鐵工廠股份有限公司","jobTitle":"一般及其他職務","contactAddrCountryCode":"TW","residenceAddrCountryCode":"TW"}]}},"resultCode":"UP0090_00_V501","resultDescription":"正確性檢核錯誤","resultBody":null,"errorMessages":["jobTitle該系統無寫入權限"]}</t>
  </si>
  <si>
    <t>1623878677595323-6824584-38-01</t>
    <phoneticPr fontId="1" type="noConversion"/>
  </si>
  <si>
    <t>1623878677174807-6823251-76-01</t>
  </si>
  <si>
    <t>1623878677198854-6823251-29-01</t>
  </si>
  <si>
    <t>J221689299</t>
  </si>
  <si>
    <t>{"requestModel":{"header":{"msgNo":"TS0116_00_20210616212437_26311","txnCode":"digiAccOpening","txnTime":"2021-06-16 21:24:37","senderCode":"TS0116_00","receiverCode":"UP0090_00","operatorCode":"TS0116_00","unitCode":"1090"},"requestBody":{"funcId":"01","criteria":{"circiKey":"J221689299","propertyTypeCode":"0","partyCertNo":"J221689299","partyCertDate":"1976-06-16"},"dataSet":[{"creationDptCode":"1090","customerName":"羅美雲","selfBankSpecialServiceFlag":"00000","grownUpGuardianshipCode":"0","industryPropsTypeCode":"02","industryTypeCode":"02","performanceDptCode":"1090","txnPhone":"0921085966","partyEnglishName":"LO MEI YUN","nationalityCode":"0","residenceTel":"047980129","refuseLoanReasonCode":"0","regCountryCode":"TW","incomeTaxTypeCode":"1","genderCode":"F","agreeCrossSellingFlag":"N","companyTelExtension":null,"companyTel":"047980129","contactAddrPostalCode":"509","contactAddr":"溪底村１３鄰興工路５９號","contactAddrAdminArea":"伸港鄉","contactAddrLocality":"彰化縣","contactTel":"047980129","dgbasIndustryCode":"061700","ncbIndustryCode":"060000","contactPhone":"0921085966","email":"crystal.umeville@gmail.com","residenceAddrLocality":"彰化縣","residenceAddr":"溪底村１３鄰興工路５９號","residenceAddrPostalCode":"509","residenceAddrAdminArea":"伸港鄉","serveCompanyCertNo":null,"serveCompanyName":"梅花鄉食品股份有限公司","jobTitle":"一般及其他職務","customerKycTypeCode":[],"contactAddrCountryCode":"TW","customerBirthday":"1976-06-16","residenceAddrCountryCode":"TW"}]}},"resultCode":"UP0090_00_V501","resultDescription":"正確性檢核錯誤","resultBody":null,"errorMessages":["jobTitle該系統無寫入權限"]}</t>
  </si>
  <si>
    <t>1623878613973536-6815291-92-02</t>
    <phoneticPr fontId="1" type="noConversion"/>
  </si>
  <si>
    <t>{"requestModel":{"header":{"msgNo":"TS0116_00_20210616212333_21141","txnCode":"digiAccOpening","txnTime":"2021-06-16 20:46:48","senderCode":"TS0116_00","receiverCode":"UP0090_00","operatorCode":"TS0116_00","unitCode":"0842"},"requestBody":{"funcId":"01","criteria":{"circiKey":"H227383599","propertyTypeCode":"0","partyCertNo":"H227383599","partyCertDate":"1993-07-20"},"dataSet":[{"creationDptCode":"0842","customerName":"冒珮妮","selfBankSpecialServiceFlag":"00000","grownUpGuardianshipCode":"0","industryPropsTypeCode":"02","industryTypeCode":"14","performanceDptCode":"0842","txnPhone":"0908132054","partyEnglishName":"MOPEINI","nationalityCode":"0","residenceTel":"0908132054","refuseLoanReasonCode":"0","regCountryCode":"TW","incomeTaxTypeCode":"1","genderCode":"F","agreeCrossSellingFlag":"N","companyTelExtension":null,"companyTel":"033603030","contactAddrPostalCode":"320","contactAddr":"榮安一街３８９號７樓","contactAddrAdminArea":"中壢區","contactAddrLocality":"桃園市","contactTel":"0908132054","dgbasIndustryCode":"061700","ncbIndustryCode":"060000","contactPhone":"0908132054","email":"molove0806@gmail.com","residenceAddrLocality":"桃園市","residenceAddr":"自立里２７鄰榮安一街４３１號三樓","residenceAddrPostalCode":"320","residenceAddrAdminArea":"中壢區","serveCompanyCertNo":null,"serveCompanyName":"衣陞洗衣店","jobTitle":"一般及其他職務","customerKycTypeCode":[],"contactAddrCountryCode":"TW","customerBirthday":"1993-07-20","residenceAddrCountryCode":"TW"}]}},"resultCode":"UP0090_00_V501","resultDescription":"正確性檢核錯誤","resultBody":null,"errorMessages":["jobTitle該系統無寫入權限"]}</t>
  </si>
  <si>
    <t>1623878607834598-6824579-30-01</t>
    <phoneticPr fontId="1" type="noConversion"/>
  </si>
  <si>
    <t>1623878607522626-6823251-95-01</t>
  </si>
  <si>
    <t>1623878607534481-6823251-14-01</t>
  </si>
  <si>
    <t>P222666203</t>
  </si>
  <si>
    <t>{"requestModel":{"header":{"msgNo":"TS0116_00_20210616212327_25311","txnCode":"digiAccOpening","txnTime":"2021-06-16 21:23:27","senderCode":"TS0116_00","receiverCode":"UP0090_00","operatorCode":"TS0116_00","unitCode":"0015"},"requestBody":{"funcId":"01","criteria":{"circiKey":"P222666203","propertyTypeCode":"0","partyCertNo":"P222666203","partyCertDate":"1979-07-28"},"dataSet":[{"creationDptCode":"0015","industryTypeCode":"08","partyEnglishName":"YANG CHIEN HUI","residenceTel":"0956680728","companyTelExtension":"204","companyTel":"0229021111","contactTel":"0956680728","residenceAddrLocality":"屏東縣","residenceAddr":"瑞光里２９鄰香揚巷３之４９號","residenceAddrPostalCode":"900","residenceAddrAdminArea":"屏東市","serveCompanyCertNo":null,"serveCompanyName":"第一銀行","jobTitle":"一般及其他職務","residenceAddrCountryCode":"TW"}]}},"resultCode":"UP0090_00_V501","resultDescription":"正確性檢核錯誤","resultBody":null,"errorMessages":["jobTitle該系統無寫入權限"]}</t>
  </si>
  <si>
    <t>1623878588281907-6824133-07-01</t>
    <phoneticPr fontId="1" type="noConversion"/>
  </si>
  <si>
    <t>1623878587661803-6814804-09-02</t>
  </si>
  <si>
    <t>1623878587685104-6814804-60-02</t>
  </si>
  <si>
    <t>O200546936</t>
  </si>
  <si>
    <t>{"requestModel":{"header":{"msgNo":"TS0116_00_20210616212308_20631","txnCode":"digiAccOpening","txnTime":"2021-06-16 21:23:07","senderCode":"TS0116_00","receiverCode":"UP0090_00","operatorCode":"TS0116_00","unitCode":"0060"},"requestBody":{"funcId":"01","criteria":{"circiKey":"O200546936","propertyTypeCode":"0","partyCertNo":"O200546936","partyCertDate":"2000-01-06"},"dataSet":[{"creationDptCode":"0060","customerName":"任若涵","selfBankSpecialServiceFlag":"00000","grownUpGuardianshipCode":"0","industryPropsTypeCode":"02","industryTypeCode":"14","performanceDptCode":"0060","txnPhone":"0929996670","partyEnglishName":"JEN,JO-HAN","nationalityCode":"0","residenceTel":"0929996670","refuseLoanReasonCode":"0","regCountryCode":"TW","incomeTaxTypeCode":"1","genderCode":"F","agreeCrossSellingFlag":"N","companyTelExtension":null,"companyTel":"6688497","contactAddrPostalCode":"300","contactAddr":"香山區頂福里６鄰中華路四段２７１巷１號","contactAddrAdminArea":"新竹市","contactAddrLocality":"新竹市","contactTel":"0929996670","dgbasIndustryCode":"061700","ncbIndustryCode":"060000","contactPhone":"0929996670","email":"cdjhs10114@gmail.com","residenceAddrLocality":"新竹市","residenceAddr":"香山區頂福里６鄰中華路四段２７１巷１號","residenceAddrPostalCode":"300","residenceAddrAdminArea":"新竹市","serveCompanyCertNo":null,"serveCompanyName":"東森自然美","jobTitle":"一般及其他職務","customerKycTypeCode":[],"contactAddrCountryCode":"TW","customerBirthday":"2000-01-06","residenceAddrCountryCode":"TW"}]}},"resultCode":"UP0090_00_V501","resultDescription":"正確性檢核錯誤","resultBody":null,"errorMessages":["jobTitle該系統無寫入權限"]}</t>
  </si>
  <si>
    <t>CIFX_STAGE1_ERRORS</t>
    <phoneticPr fontId="1" type="noConversion"/>
  </si>
  <si>
    <t>1623878559927070-6824133-26-01</t>
    <phoneticPr fontId="1" type="noConversion"/>
  </si>
  <si>
    <t>1623878559404523-6814795-84-02</t>
  </si>
  <si>
    <t>1623878559418449-6814795-03-02</t>
  </si>
  <si>
    <t>L224865130</t>
  </si>
  <si>
    <t>{"requestModel":{"header":{"msgNo":"TS0116_00_20210616212239_20531","txnCode":"digiAccOpening","txnTime":"2021-06-16 21:22:39","senderCode":"TS0116_00","receiverCode":"UP0090_00","operatorCode":"TS0116_00","unitCode":"0015"},"requestBody":{"funcId":"01","criteria":{"circiKey":"L224865130","propertyTypeCode":"0","partyCertNo":"L224865130","partyCertDate":"1996-08-13"},"dataSet":[{"creationDptCode":"0015","txnPhone":"0903128513","partyEnglishName":"HUANG,MEI-PEI","residenceTel":"0903128513","contactTel":"0903128513","residenceAddrLocality":"臺中市","residenceAddr":"田心里２６鄰圓環東路１２６巷３３弄１７號","residenceAddrPostalCode":"420","residenceAddrAdminArea":"豐原區","serveCompanyCertNo":null,"serveCompanyName":"全家便利商店","jobTitle":"一般及其他職務","residenceAddrCountryCode":"TW"}]}},"resultCode":"UP0090_00_V501","resultDescription":"正確性檢核錯誤","resultBody":null,"errorMessages":["jobTitle該系統無寫入權限"]}</t>
  </si>
  <si>
    <t>DONE</t>
    <phoneticPr fontId="1" type="noConversion"/>
  </si>
  <si>
    <t>1623878559927070-6824133-26-01</t>
    <phoneticPr fontId="1" type="noConversion"/>
  </si>
  <si>
    <t>1623878452437905-6823959-86-01</t>
    <phoneticPr fontId="1" type="noConversion"/>
  </si>
  <si>
    <t>1623878452210061-6822639-53-01</t>
  </si>
  <si>
    <t>1623878452219130-6822639-65-01</t>
  </si>
  <si>
    <t>N125158689</t>
  </si>
  <si>
    <t>{"requestModel":{"header":{"msgNo":"TS0116_00_20210616212052_22411","txnCode":"digiAccOpening","txnTime":"2021-06-16 21:20:52","senderCode":"TS0116_00","receiverCode":"UP0090_00","operatorCode":"TS0116_00","unitCode":"0015"},"requestBody":{"funcId":"01","criteria":{"circiKey":"N125158689","propertyTypeCode":"0","partyCertNo":"N125158689","partyCertDate":"1988-07-05"},"dataSet":[{"creationDptCode":"0015","industryTypeCode":"02","partyEnglishName":"CHENG,WEN CHIA","residenceTel":"047706969","companyTelExtension":null,"companyTel":"047775234","serveCompanyCertNo":null,"serveCompanyName":"隆景富企業社","jobTitle":"一般及其他職務"}]}},"resultCode":"UP0090_00_V501","resultDescription":"正確性檢核錯誤","resultBody":null,"errorMessages":["jobTitle該系統無寫入權限"]}</t>
  </si>
  <si>
    <t>1623878374045482-6815291-94-02</t>
    <phoneticPr fontId="1" type="noConversion"/>
  </si>
  <si>
    <t>1623878373698110-6822639-16-01</t>
  </si>
  <si>
    <t>1623878373719672-6822639-68-01</t>
  </si>
  <si>
    <t>T224499633</t>
  </si>
  <si>
    <t>{"requestModel":{"header":{"msgNo":"TS0116_00_20210616211933_18641","txnCode":"digiAccOpening","txnTime":"2021-06-16 21:19:33","senderCode":"TS0116_00","receiverCode":"UP0090_00","operatorCode":"TS0116_00","unitCode":"0015"},"requestBody":{"funcId":"01","criteria":{"circiKey":"T224499633","propertyTypeCode":"0","partyCertNo":"T224499633","partyCertDate":"1995-10-19"},"dataSet":[{"creationDptCode":"0015","customerName":"郭佳林","selfBankSpecialServiceFlag":"00000","grownUpGuardianshipCode":"0","industryPropsTypeCode":"02","industryTypeCode":"17","performanceDptCode":"0015","txnPhone":"0919456834","partyEnglishName":"GUO JIA LIN","nationalityCode":"0","residenceTel":"0919456834","refuseLoanReasonCode":"0","regCountryCode":"TW","incomeTaxTypeCode":"1","genderCode":"F","agreeCrossSellingFlag":"N","companyTelExtension":"2115","companyTel":"28749117","contactAddrPostalCode":"111","contactAddr":"德行東路９５號３樓","contactAddrAdminArea":"士林區","contactAddrLocality":"臺北市","contactTel":"0919456834","dgbasIndustryCode":"061700","ncbIndustryCode":"060000","contactPhone":"0919456834","email":"stah0304@gmail.com","residenceAddrLocality":"屏東縣","residenceAddr":"成德村６鄰鼎興路６號","residenceAddrPostalCode":"923","residenceAddrAdminArea":"萬巒鄉","serveCompanyCertNo":null,"serveCompanyName":"臺北市立臺北特殊教育學校","jobTitle":"專業服務人員","customerKycTypeCode":[],"contactAddrCountryCode":"TW","customerBirthday":"1995-10-19","residenceAddrCountryCode":"TW"}]}},"resultCode":"UP0090_00_V501","resultDescription":"正確性檢核錯誤","resultBody":null,"errorMessages":["jobTitle該系統無寫入權限"]}</t>
  </si>
  <si>
    <t>1623878351823856-6815291-74-02</t>
    <phoneticPr fontId="1" type="noConversion"/>
  </si>
  <si>
    <t>1623878351553739-6812538-26-01</t>
  </si>
  <si>
    <t>1623878351563324-6812538-45-01</t>
  </si>
  <si>
    <t>B122310712</t>
  </si>
  <si>
    <t>{"requestModel":{"header":{"msgNo":"TS0116_00_20210616211911_18541","txnCode":"digiAccOpening","txnTime":"2021-06-16 21:19:11","senderCode":"TS0116_00","receiverCode":"UP0090_00","operatorCode":"TS0116_00","unitCode":"0015"},"requestBody":{"funcId":"01","criteria":{"circiKey":"B122310712","propertyTypeCode":"0","partyCertNo":"B122310712","partyCertDate":"1986-08-27"},"dataSet":[{"creationDptCode":"0015","industryTypeCode":"04","txnPhone":"0923569885","partyEnglishName":"LU,YU YEN","contactAddrPostalCode":"402","contactAddr":"樹義里２３鄰又心南路６９５號五樓之２","contactAddrAdminArea":"南區","contactAddrLocality":"臺中市","residenceAddrLocality":"臺中市","residenceAddr":"樹義里２３鄰又心南路６９５號五樓之２","residenceAddrPostalCode":"402","residenceAddrAdminArea":"南區","serveCompanyCertNo":null,"serveCompanyName":"信光玻璃店","jobTitle":"專業技術人員","contactAddrCountryCode":"TW","residenceAddrCountryCode":"TW"}]}},"resultCode":"UP0090_00_V501","resultDescription":"正確性檢核錯誤","resultBody":null,"errorMessages":["jobTitle該系統無寫入權限"]}</t>
  </si>
  <si>
    <t>1623878349462176-6824057-38-01</t>
    <phoneticPr fontId="1" type="noConversion"/>
  </si>
  <si>
    <t>1623878349137325-6822639-49-01</t>
  </si>
  <si>
    <t>1623878349160884-6822639-08-01</t>
  </si>
  <si>
    <t>H223848875</t>
  </si>
  <si>
    <t>{"requestModel":{"header":{"msgNo":"TS0116_00_20210616211909_19421","txnCode":"digiAccOpening","txnTime":"2021-06-16 21:19:09","senderCode":"TS0116_00","receiverCode":"UP0090_00","operatorCode":"TS0116_00","unitCode":"0015"},"requestBody":{"funcId":"01","criteria":{"circiKey":"H223848875","propertyTypeCode":"0","partyCertNo":"H223848875","partyCertDate":"1989-05-22"},"dataSet":[{"creationDptCode":"0015","customerName":"洪筱婷","selfBankSpecialServiceFlag":"00000","grownUpGuardianshipCode":"0","industryPropsTypeCode":"02","industryTypeCode":"11","performanceDptCode":"0015","txnPhone":"0926105565","partyEnglishName":"HONG,HSIAO TING","nationalityCode":"0","residenceTel":"0926105565","refuseLoanReasonCode":"0","regCountryCode":"TW","incomeTaxTypeCode":"1","genderCode":"F","agreeCrossSellingFlag":"N","companyTelExtension":"1249","companyTel":"3386021","contactAddrPostalCode":"320","contactAddr":"興仁路２段６４８巷４０號１１－２樓","contactAddrAdminArea":"中壢區","contactAddrLocality":"桃園市","contactTel":"0926105565","dgbasIndustryCode":"061700","ncbIndustryCode":"060000","contactPhone":"0926105565","email":"kylie1989522@gmail.com","residenceAddrLocality":"桃園市","residenceAddr":"華勛里１４鄰華勛街３６３巷３１號","residenceAddrPostalCode":"320","residenceAddrAdminArea":"中壢區","serveCompanyCertNo":null,"serveCompanyName":"園鴻有限公司","jobTitle":"一般及其他職務","customerKycTypeCode":[],"contactAddrCountryCode":"TW","customerBirthday":"1989-05-22","residenceAddrCountryCode":"TW"}]}},"resultCode":"UP0090_00_V501","resultDescription":"正確性檢核錯誤","resultBody":null,"errorMessages":["jobTitle該系統無寫入權限"]}</t>
  </si>
  <si>
    <t>1623878347768471-6824133-89-01</t>
    <phoneticPr fontId="1" type="noConversion"/>
  </si>
  <si>
    <t>1623878347360928-6812517-58-01</t>
  </si>
  <si>
    <t>1623878347371815-6812517-70-01</t>
  </si>
  <si>
    <t>F226367713</t>
  </si>
  <si>
    <t>{"requestModel":{"header":{"msgNo":"TS0116_00_20210616211907_18731","txnCode":"digiAccOpening","txnTime":"2021-06-16 21:19:07","senderCode":"TS0116_00","receiverCode":"UP0090_00","operatorCode":"TS0116_00","unitCode":"0015"},"requestBody":{"funcId":"01","criteria":{"circiKey":"F226367713","propertyTypeCode":"0","partyCertNo":"F226367713","partyCertDate":"1986-05-05"},"dataSet":[{"creationDptCode":"0015","partyEnglishName":"PENG, KELSEY","residenceTel":"0229123401","companyTelExtension":null,"companyTel":"0223123333","serveCompanyCertNo":null,"serveCompanyName":"阿腸股份有限公司","jobTitle":"專業技術人員"}]}},"resultCode":"UP0090_00_V501","resultDescription":"正確性檢核錯誤","resultBody":null,"errorMessages":["jobTitle該系統無寫入權限"]}</t>
  </si>
  <si>
    <t>1623878218671604-6823961-17-01</t>
    <phoneticPr fontId="1" type="noConversion"/>
  </si>
  <si>
    <t>1623878218447498-6813567-79-02</t>
  </si>
  <si>
    <t>1623878218459857-6813567-95-02</t>
  </si>
  <si>
    <t>N121351068</t>
  </si>
  <si>
    <t>{"requestModel":{"header":{"msgNo":"TS0116_00_20210616211658_19311","txnCode":"digiAccOpening","txnTime":"2021-06-16 21:16:58","senderCode":"TS0116_00","receiverCode":"UP0090_00","operatorCode":"TS0116_00","unitCode":"1012"},"requestBody":{"funcId":"01","criteria":{"circiKey":"N121351068","propertyTypeCode":"0","partyCertNo":"N121351068","partyCertDate":"1957-04-26"},"dataSet":[{"industryTypeCode":"09","companyTelExtension":null,"companyTel":null,"contactAddrPostalCode":"242","contactAddr":"丹鳳里１０鄰天祥街５４巷２弄９號２樓","contactAddrAdminArea":"新莊區","contactAddrLocality":"新北市","contactTel":"0908288218","serveCompanyCertNo":null,"serveCompanyName":"無","jobTitle":"無","contactAddrCountryCode":"TW"}]}},"resultCode":"UP0090_00_V501","resultDescription":"正確性檢核錯誤","resultBody":null,"errorMessages":["jobTitle該系統無寫入權限"]}</t>
  </si>
  <si>
    <t>1623878161979703-6824133-36-01</t>
    <phoneticPr fontId="1" type="noConversion"/>
  </si>
  <si>
    <t>1623878161697042-6813430-14-02</t>
  </si>
  <si>
    <t>A227375063</t>
  </si>
  <si>
    <t>{"requestModel":{"header":{"msgNo":"TS0116_00_20210616211601_16631","txnCode":"digiAccOpening","txnTime":"2021-06-16 21:16:01","senderCode":"TS0116_00","receiverCode":"UP0090_00","operatorCode":"TS0116_00","unitCode":"0015"},"requestBody":{"funcId":"01","criteria":{"circiKey":"A227375063","propertyTypeCode":"0","partyCertNo":"A227375063","partyCertDate":"1986-01-17"},"dataSet":[{"creationDptCode":"0015","dgbasIndustryCode":"061700","ncbIndustryCode":"060000","contactPhone":"0963638232","email":"LOVEDOGS0117@GMAIL.COM","residenceAddrLocality":"臺北市","residenceAddr":"鵬程里１３鄰塔悠路１８８巷２號十一樓之３","residenceAddrPostalCode":"105","residenceAddrAdminArea":"松山區","serveCompanyCertNo":null,"serveCompanyName":"ＯＯＶＩ無比親子同樂館","jobTitle":"一般及其他職務","customerKycTypeCode":[],"customerName":"陳儷方","selfBankSpecialServiceFlag":"00000","grownUpGuardianshipCode":"0","industryPropsTypeCode":"02","industryTypeCode":"14","performanceDptCode":"0015","txnPhone":"0963638232","partyEnglishName":"CHEN LI-FANG","nationalityCode":"0","residenceTel":"0225284070","refuseLoanReasonCode":"0","regCountryCode":"TW","incomeTaxTypeCode":"1","genderCode":"F","agreeCrossSellingFlag":"N","companyTelExtension":null,"companyTel":"0226342582","contactAddrPostalCode":"105","contactAddr":"鵬程里１３鄰塔悠路１８８巷２號十一樓之３","contactAddrAdminArea":"松山區","contactAddrLocality":"臺北市","contactTel":"0225284070","customerBirthday":"1986-01-17","residenceAddrCountryCode":"TW","contactAddrCountryCode":"TW"}]}},"resultCode":"UP0090_00_V501","resultDescription":"正確性檢核錯誤","resultBody":null,"errorMessages":["jobTitle該系統無寫入權限"]}</t>
  </si>
  <si>
    <t>1623878143006342-6824133-58-01</t>
    <phoneticPr fontId="1" type="noConversion"/>
  </si>
  <si>
    <t>1623878142720968-6813430-15-02</t>
  </si>
  <si>
    <t>1623878142733119-6813430-42-02</t>
  </si>
  <si>
    <t>F224458891</t>
  </si>
  <si>
    <t>{"requestModel":{"header":{"msgNo":"TS0116_00_20210616211542_16431","txnCode":"digiAccOpening","txnTime":"2021-06-16 21:15:42","senderCode":"TS0116_00","receiverCode":"UP0090_00","operatorCode":"TS0116_00","unitCode":"0015"},"requestBody":{"funcId":"01","criteria":{"circiKey":"F224458891","propertyTypeCode":"0","partyCertNo":"F224458891","partyCertDate":"1979-01-26"},"dataSet":[{"customerName":"蔡辛娥","customerStatusCode":null,"industryTypeCode":"06","txnPhone":"0900199659","partyEnglishName":"TSAI HSIN ER","residenceTel":"0900199659","contactPhone":"0900199659","email":"SCDOROTHY888@GMAIL.COM","companyTelExtension":null,"companyTel":null,"contactAddrPostalCode":"220","contactAddr":"篤行路一段１２－３號２樓","contactAddrAdminArea":"板橋區","contactAddrLocality":"新北市","contactTel":"0900199659","residenceAddrLocality":"新北市","residenceAddr":"篤行路一段１２－３號２樓","residenceAddrPostalCode":"220","residenceAddrAdminArea":"板橋區","serveCompanyCertNo":null,"serveCompanyName":"無","jobTitle":"無","contactAddrCountryCode":"TW","residenceAddrCountryCode":"TW"}]}},"resultCode":"UP0090_00_V501","resultDescription":"正確性檢核錯誤","resultBody":null,"errorMessages":["jobTitle該系統無寫入權限"]}</t>
  </si>
  <si>
    <t>1623878032407794-6824133-60-01</t>
    <phoneticPr fontId="1" type="noConversion"/>
  </si>
  <si>
    <t>1623878031878632-6812270-87-01</t>
  </si>
  <si>
    <t>1623878031905826-6812270-39-01</t>
  </si>
  <si>
    <t>N126001590</t>
  </si>
  <si>
    <t>{"requestModel":{"header":{"msgNo":"TS0116_00_20210616211352_15331","txnCode":"digiAccOpening","txnTime":"2021-06-16 21:13:51","senderCode":"TS0116_00","receiverCode":"UP0090_00","operatorCode":"TS0116_00","unitCode":"0015"},"requestBody":{"funcId":"01","criteria":{"circiKey":"N126001590","propertyTypeCode":"0","partyCertNo":"N126001590","partyCertDate":"1993-09-29"},"dataSet":[{"creationDptCode":"0015","customerName":"盧彥廷","selfBankSpecialServiceFlag":"00000","grownUpGuardianshipCode":"0","industryPropsTypeCode":"02","industryTypeCode":"14","performanceDptCode":"0015","txnPhone":"0977281012","partyEnglishName":"LU YEN TING","nationalityCode":"0","residenceTel":"0977281012","refuseLoanReasonCode":"0","regCountryCode":"TW","incomeTaxTypeCode":"1","genderCode":"M","agreeCrossSellingFlag":"N","companyTelExtension":null,"companyTel":"04222973","contactAddrPostalCode":"407","contactAddr":"國安一路２０６巷９號二樓之一","contactAddrAdminArea":"西屯區","contactAddrLocality":"臺中市","contactTel":"0977281012","dgbasIndustryCode":"061700","ncbIndustryCode":"060000","contactPhone":"0977281012","email":"onecry304@gmail.com","residenceAddrLocality":"彰化縣","residenceAddr":"美港村３鄰中山路一段１４１巷２２號","residenceAddrPostalCode":"515","residenceAddrAdminArea":"大村鄉","serveCompanyCertNo":null,"serveCompanyName":"勁桑元氣按摩保養所","jobTitle":"專業技術人員","customerKycTypeCode":[],"contactAddrCountryCode":"TW","customerBirthday":"1993-09-29","residenceAddrCountryCode":"TW"}]}},"resultCode":"UP0090_00_V501","resultDescription":"正確性檢核錯誤","resultBody":null,"errorMessages":["jobTitle該系統無寫入權限"]}</t>
  </si>
  <si>
    <t>1623878007136775-6824058-95-01</t>
    <phoneticPr fontId="1" type="noConversion"/>
  </si>
  <si>
    <t>1623878006829577-6813300-30-02</t>
  </si>
  <si>
    <t>1623878006854425-6813300-85-02</t>
  </si>
  <si>
    <t>V221635531</t>
  </si>
  <si>
    <t>{"requestModel":{"header":{"msgNo":"TS0116_00_20210616211327_14921","txnCode":"digiAccOpening","txnTime":"2021-06-16 21:13:26","senderCode":"TS0116_00","receiverCode":"UP0090_00","operatorCode":"TS0116_00","unitCode":"0026"},"requestBody":{"funcId":"01","criteria":{"circiKey":"V221635531","propertyTypeCode":"0","partyCertNo":"V221635531","partyCertDate":"1999-11-02"},"dataSet":[{"creationDptCode":"0026","customerName":"林佳禧","selfBankSpecialServiceFlag":"00000","grownUpGuardianshipCode":"0","industryPropsTypeCode":"02","industryTypeCode":"06","performanceDptCode":"0026","txnPhone":"0909775033","partyEnglishName":"LIN,JIA XI","nationalityCode":"0","residenceTel":"0909775033","refuseLoanReasonCode":"0","regCountryCode":"TW","incomeTaxTypeCode":"1","genderCode":"F","agreeCrossSellingFlag":"N","companyTelExtension":null,"companyTel":"25015959","contactAddrPostalCode":"104","contactAddr":"新生北路一段１０２巷３號７樓頂加","contactAddrAdminArea":"中山區","contactAddrLocality":"臺北市","contactTel":"0909775033","dgbasIndustryCode":"061700","ncbIndustryCode":"060000","contactPhone":"0909775033","email":"Zxcv330278@gmail.com","residenceAddrLocality":"臺東縣","residenceAddr":"中華里１２鄰中華路一段１０４巷２４號","residenceAddrPostalCode":"950","residenceAddrAdminArea":"臺東市","serveCompanyCertNo":null,"serveCompanyName":"樂之本味","jobTitle":"一般及其他職務","customerKycTypeCode":[],"contactAddrCountryCode":"TW","customerBirthday":"1999-11-02","residenceAddrCountryCode":"TW"}]}},"resultCode":"UP0090_00_V501","resultDescription":"正確性檢核錯誤","resultBody":null,"errorMessages":["jobTitle該系統無寫入權限"]}</t>
  </si>
  <si>
    <t>1623877969573375-6823689-45-01</t>
    <phoneticPr fontId="1" type="noConversion"/>
  </si>
  <si>
    <t>1623877969288975-6813300-74-02</t>
  </si>
  <si>
    <t>1623877969299819-6813300-85-02</t>
  </si>
  <si>
    <t>A226795150</t>
  </si>
  <si>
    <t>{"requestModel":{"header":{"msgNo":"TS0116_00_20210616211249_14541","txnCode":"digiAccOpening","txnTime":"2021-06-16 21:12:49","senderCode":"TS0116_00","receiverCode":"UP0090_00","operatorCode":"TS0116_00","unitCode":"0015"},"requestBody":{"funcId":"01","criteria":{"circiKey":"A226795150","propertyTypeCode":"0","partyCertNo":"A226795150","partyCertDate":"1986-10-22"},"dataSet":[{"creationDptCode":"0015","partyEnglishName":"LIN,HSIN-CHI","residenceTel":"0223062853","companyTelExtension":null,"companyTel":"0223062853","serveCompanyCertNo":null,"serveCompanyName":"保誠人壽","jobTitle":"一般及其他職務"}]}},"resultCode":"UP0090_00_V501","resultDescription":"正確性檢核錯誤","resultBody":null,"errorMessages":["jobTitle該系統無寫入權限"]}</t>
  </si>
  <si>
    <t>1623877918630704-6814710-98-02</t>
    <phoneticPr fontId="1" type="noConversion"/>
  </si>
  <si>
    <t>1623877918303399-6812203-61-01</t>
  </si>
  <si>
    <t>Q222648224</t>
  </si>
  <si>
    <t>{"requestModel":{"header":{"msgNo":"TS0116_00_20210616211158_14531","txnCode":"digiAccOpening","txnTime":"2021-06-16 21:11:58","senderCode":"TS0116_00","receiverCode":"UP0090_00","operatorCode":"TS0116_00","unitCode":"0015"},"requestBody":{"funcId":"01","criteria":{"circiKey":"Q222648224","propertyTypeCode":"0","partyCertNo":"Q222648224","partyCertDate":"1978-06-20"},"dataSet":[{"creationDptCode":"0015","industryTypeCode":"11","txnPhone":"0920157125","partyEnglishName":"LIN TZU HUI","companyTelExtension":"33","companyTel":"052262073","contactAddrPostalCode":"600","contactAddr":"西區６００嘉義市玉山路１９號","contactAddrAdminArea":"嘉義市","contactAddrLocality":"嘉義市","residenceAddrLocality":"嘉義市","residenceAddr":"西區６００嘉義市玉山路１９號","residenceAddrPostalCode":"600","residenceAddrAdminArea":"嘉義市","serveCompanyCertNo":null,"serveCompanyName":"嘉義縣民雄戶政事務所","jobTitle":"政府公職人員","contactAddrCountryCode":"TW","residenceAddrCountryCode":"TW"}]}},"resultCode":"UP0090_00_V501","resultDescription":"正確性檢核錯誤","resultBody":null,"errorMessages":["jobTitle該系統無寫入權限"]}</t>
  </si>
  <si>
    <t>1623877833333151-6814583-54-02</t>
    <phoneticPr fontId="1" type="noConversion"/>
  </si>
  <si>
    <t>1623877832941884-6812114-12-01</t>
  </si>
  <si>
    <t>1623877832950069-6812114-26-01</t>
  </si>
  <si>
    <t>E126669951</t>
  </si>
  <si>
    <t>{"requestModel":{"header":{"msgNo":"TS0116_00_20210616211033_13521","txnCode":"digiAccOpening","txnTime":"2021-06-16 21:10:32","senderCode":"TS0116_00","receiverCode":"UP0090_00","operatorCode":"TS0116_00","unitCode":"0015"},"requestBody":{"funcId":"01","criteria":{"circiKey":"E126669951","propertyTypeCode":"0","partyCertNo":"E126669951","partyCertDate":"1974-06-29"},"dataSet":[{"creationDptCode":"0015","residenceTel":"0937488877","chinaMasterCode":null,"chinaSubCode":null,"companyTelExtension":null,"companyTel":"062796655","contactTel":"0937488877","serveCompanyCertNo":null,"serveCompanyName":"同喬眼科診所","jobTitle":"專業人員（具專業執"}]}},"resultCode":"UP0090_00_V501","resultDescription":"正確性檢核錯誤","resultBody":null,"errorMessages":["jobTitle該系統無寫入權限"]}</t>
  </si>
  <si>
    <t>1623877652061074-6823689-48-01</t>
    <phoneticPr fontId="1" type="noConversion"/>
  </si>
  <si>
    <t>1623877651636124-6812051-10-01</t>
  </si>
  <si>
    <t>1623877651648490-6812051-32-01</t>
  </si>
  <si>
    <t>H223841330</t>
  </si>
  <si>
    <t>{"requestModel":{"header":{"msgNo":"TS0116_00_20210616210732_11141","txnCode":"digiAccOpening","txnTime":"2021-06-16 21:07:31","senderCode":"TS0116_00","receiverCode":"UP0090_00","operatorCode":"TS0116_00","unitCode":"0015"},"requestBody":{"funcId":"01","criteria":{"circiKey":"H223841330","propertyTypeCode":"0","partyCertNo":"H223841330","partyCertDate":"1990-05-17"},"dataSet":[{"creationDptCode":"0015","industryTypeCode":"05","partyEnglishName":"LU,CHIN FEI","residenceTel":"0912532646","companyTelExtension":null,"companyTel":"0266300318","contactAddrPostalCode":"320","contactAddr":"後寮里２７鄰後興路一段９０巷１９號九樓","contactAddrAdminArea":"中壢區","contactAddrLocality":"桃園市","contactTel":"0912532646","residenceAddrLocality":"桃園市","residenceAddr":"後寮里２７鄰後興路一段９０巷１９號九樓","residenceAddrPostalCode":"320","residenceAddrAdminArea":"中壢區","serveCompanyCertNo":null,"serveCompanyName":"喜利得股份有限公司","jobTitle":"專業技術人員","contactAddrCountryCode":"TW","residenceAddrCountryCode":"TW"}]}},"resultCode":"UP0090_00_V501","resultDescription":"正確性檢核錯誤","resultBody":null,"errorMessages":["jobTitle該系統無寫入權限"]}</t>
  </si>
  <si>
    <t>1623877619010731-6814710-01-02</t>
    <phoneticPr fontId="1" type="noConversion"/>
  </si>
  <si>
    <t>1623877618760791-6811912-67-01</t>
  </si>
  <si>
    <t>1623877618772612-6811912-84-01</t>
  </si>
  <si>
    <t>X220572777</t>
  </si>
  <si>
    <t>{"requestModel":{"header":{"msgNo":"TS0116_00_20210616210658_11631","txnCode":"digiAccOpening","txnTime":"2021-06-16 21:06:58","senderCode":"TS0116_00","receiverCode":"UP0090_00","operatorCode":"TS0116_00","unitCode":"0015"},"requestBody":{"funcId":"01","criteria":{"circiKey":"X220572777","propertyTypeCode":"0","partyCertNo":"X220572777","partyCertDate":"1996-09-29"},"dataSet":[{"creationDptCode":"0015","partyEnglishName":"CHEN, YU-CHIEN","residenceTel":"0980845682","companyTelExtension":null,"companyTel":"069267709","contactTel":"0980845682","residenceAddrLocality":"澎湖縣","residenceAddr":"光華里４鄰卷簷８０之１號","residenceAddrPostalCode":"880","residenceAddrAdminArea":"馬公市","serveCompanyCertNo":null,"serveCompanyName":"久天養身館","jobTitle":"專業服務人員","residenceAddrCountryCode":"TW"}]}},"resultCode":"UP0090_00_V501","resultDescription":"正確性檢核錯誤","resultBody":null,"errorMessages":["jobTitle該系統無寫入權限"]}</t>
  </si>
  <si>
    <t>1623877519525300-6823689-44-01</t>
    <phoneticPr fontId="1" type="noConversion"/>
  </si>
  <si>
    <t>1623877519316649-6812894-83-02</t>
  </si>
  <si>
    <t>1623877519340424-6812894-35-02</t>
  </si>
  <si>
    <t>S225155451</t>
  </si>
  <si>
    <t>{"requestModel":{"header":{"msgNo":"TS0116_00_20210616210519_9741","txnCode":"digiAccOpening","txnTime":"2021-06-16 21:05:19","senderCode":"TS0116_00","receiverCode":"UP0090_00","operatorCode":"TS0116_00","unitCode":"0015"},"requestBody":{"funcId":"01","criteria":{"circiKey":"S225155451","propertyTypeCode":"0","partyCertNo":"S225155451","partyCertDate":"2000-10-01"},"dataSet":[{"creationDptCode":"0015","customerName":"江函晏","selfBankSpecialServiceFlag":"00000","grownUpGuardianshipCode":"0","industryPropsTypeCode":"02","industryTypeCode":"02","performanceDptCode":"0015","txnPhone":"0955124995","partyEnglishName":"JIANG,HAN-YAN","nationalityCode":"0","residenceTel":"0955124995","refuseLoanReasonCode":"0","regCountryCode":"TW","incomeTaxTypeCode":"1","genderCode":"F","agreeCrossSellingFlag":"N","companyTelExtension":null,"companyTel":"077875233","contactAddrPostalCode":"831","contactAddr":"過溪里正義路１５號","contactAddrAdminArea":"大寮區","contactAddrLocality":"高雄市","contactTel":"0955124995","dgbasIndustryCode":"061700","ncbIndustryCode":"060000","contactPhone":"0955124995","email":"zx7875041@yahoo.com.tw","residenceAddrLocality":"高雄市","residenceAddr":"過溪里８鄰眾罕街１６巷１３號","residenceAddrPostalCode":"831","residenceAddrAdminArea":"大寮區","serveCompanyCertNo":null,"serveCompanyName":"良達科技股份有限公司","jobTitle":"一般及其他職務","customerKycTypeCode":[],"contactAddrCountryCode":"TW","customerBirthday":"2000-10-01","residenceAddrCountryCode":"TW"}]}},"resultCode":"UP0090_00_V501","resultDescription":"正確性檢核錯誤","resultBody":null,"errorMessages":["jobTitle該系統無寫入權限"]}</t>
  </si>
  <si>
    <t>1623877354930407-6823465-51-01</t>
    <phoneticPr fontId="1" type="noConversion"/>
  </si>
  <si>
    <t>1623877354570508-6812829-17-02</t>
  </si>
  <si>
    <t>1623877354592638-6812829-34-02</t>
  </si>
  <si>
    <t>E221206027</t>
  </si>
  <si>
    <t>{"requestModel":{"header":{"msgNo":"TS0116_00_20210616210234_10811","txnCode":"digiAccOpening","txnTime":"2021-06-16 21:02:34","senderCode":"TS0116_00","receiverCode":"UP0090_00","operatorCode":"TS0116_00","unitCode":"0015"},"requestBody":{"funcId":"01","criteria":{"circiKey":"E221206027","propertyTypeCode":"0","partyCertNo":"E221206027","partyCertDate":"1970-09-17"},"dataSet":[{"creationDptCode":"0015","partyEnglishName":"TSAI CHING CHI","residenceTel":"073382250","chinaMasterCode":null,"chinaSubCode":null,"contactTel":"073382250","residenceAddrLocality":"高雄市","residenceAddr":"林華里１５鄰廣東二街８６號","residenceAddrPostalCode":"802","residenceAddrAdminArea":"苓雅區","serveCompanyCertNo":null,"serveCompanyName":"台南虱目魚粥","jobTitle":"一般及其他職務","residenceAddrCountryCode":"TW"}]}},"resultCode":"UP0090_00_V501","resultDescription":"正確性檢核錯誤","resultBody":null,"errorMessages":["jobTitle該系統無寫入權限"]}</t>
  </si>
  <si>
    <t>1623877284138368-6823461-07-01</t>
    <phoneticPr fontId="1" type="noConversion"/>
  </si>
  <si>
    <t>1623877283876679-6811710-26-01</t>
  </si>
  <si>
    <t>1623877283896298-6811710-80-01</t>
  </si>
  <si>
    <t>A226337149</t>
  </si>
  <si>
    <t>{"requestModel":{"header":{"msgNo":"TS0116_00_20210616210124_10311","txnCode":"digiAccOpening","txnTime":"2021-06-16 21:01:23","senderCode":"TS0116_00","receiverCode":"UP0090_00","operatorCode":"TS0116_00","unitCode":"0015"},"requestBody":{"funcId":"01","criteria":{"circiKey":"A226337149","propertyTypeCode":"0","partyCertNo":"A226337149","partyCertDate":"1991-12-14"},"dataSet":[{"creationDptCode":"0015","customerName":"林子復","selfBankSpecialServiceFlag":"00000","grownUpGuardianshipCode":"0","industryPropsTypeCode":"02","industryTypeCode":"15","performanceDptCode":"0015","txnPhone":"0913746301","partyEnglishName":"LIN TZU FU","nationalityCode":"0","residenceTel":"0913746301","refuseLoanReasonCode":"0","regCountryCode":"TW","incomeTaxTypeCode":"1","genderCode":"F","agreeCrossSellingFlag":"N","contactAddrPostalCode":"222","contactAddr":"北深路三段３３７號９樓","contactAddrAdminArea":"深坑區","contactAddrLocality":"新北市","contactTel":"0913746301","dgbasIndustryCode":"061700","ncbIndustryCode":"060000","contactPhone":"0913746301","email":"xiaoyubudong1224@hotmail.com","residenceAddrLocality":"臺北市","residenceAddr":"介壽里３鄰新中街４巷８號","residenceAddrPostalCode":"105","residenceAddrAdminArea":"松山區","serveCompanyCertNo":null,"serveCompanyName":"無","jobTitle":"無","customerKycTypeCode":[],"contactAddrCountryCode":"TW","customerBirthday":"1991-12-14","residenceAddrCountryCode":"TW"}]}},"resultCode":"UP0090_00_V501","resultDescription":"正確性檢核錯誤","resultBody":null,"errorMessages":["jobTitle該系統無寫入權限"]}</t>
  </si>
  <si>
    <t>1623877278224877-6812529-23-01</t>
    <phoneticPr fontId="1" type="noConversion"/>
  </si>
  <si>
    <t>1623877277916307-6811693-48-01</t>
  </si>
  <si>
    <t>1623877277938054-6811693-01-01</t>
  </si>
  <si>
    <t>F127152321</t>
  </si>
  <si>
    <t>{"requestModel":{"header":{"msgNo":"TS0116_00_20210616210118_8031","txnCode":"digiAccOpening","txnTime":"2021-06-16 21:01:17","senderCode":"TS0116_00","receiverCode":"UP0090_00","operatorCode":"TS0116_00","unitCode":"0015"},"requestBody":{"funcId":"01","criteria":{"circiKey":"F127152321","propertyTypeCode":"0","partyCertNo":"F127152321","partyCertDate":"1989-08-24"},"dataSet":[{"creationDptCode":"0015","customerName":"白啟揚","selfBankSpecialServiceFlag":"00000","grownUpGuardianshipCode":"0","industryPropsTypeCode":"02","industryTypeCode":"12","performanceDptCode":"0015","txnPhone":"0983577947","partyEnglishName":"PAI,CHI YANG","nationalityCode":"0","residenceTel":"0983577947","refuseLoanReasonCode":"0","regCountryCode":"TW","incomeTaxTypeCode":"1","genderCode":"M","agreeCrossSellingFlag":"N","companyTelExtension":null,"companyTel":"0226266507","contactAddrPostalCode":"251","contactAddr":"正德里６鄰北新路１６９巷１５號七樓","contactAddrAdminArea":"淡水區","contactAddrLocality":"新北市","contactTel":"0983577947","dgbasIndustryCode":"061700","ncbIndustryCode":"060000","contactPhone":"0983577947","email":"leojqka@gmail.com","residenceAddrLocality":"新北市","residenceAddr":"正德里６鄰北新路１６９巷１５號七樓","residenceAddrPostalCode":"251","residenceAddrAdminArea":"淡水區","serveCompanyCertNo":null,"serveCompanyName":"仁美汽車","jobTitle":"一般及其他職務","customerKycTypeCode":[],"contactAddrCountryCode":"TW","customerBirthday":"1989-08-24","residenceAddrCountryCode":"TW"}]}},"resultCode":"UP0090_00_V501","resultDescription":"正確性檢核錯誤","resultBody":null,"errorMessages":["jobTitle該系統無寫入權限"]}</t>
  </si>
  <si>
    <t>1623877209607980-6812529-96-01</t>
    <phoneticPr fontId="1" type="noConversion"/>
  </si>
  <si>
    <t>1623877209324897-6811774-75-01</t>
  </si>
  <si>
    <t>1623877209335131-6811774-87-01</t>
  </si>
  <si>
    <t>L223702661</t>
  </si>
  <si>
    <t>{"requestModel":{"header":{"msgNo":"TS0116_00_20210616210009_7331","txnCode":"digiAccOpening","txnTime":"2021-06-16 21:00:09","senderCode":"TS0116_00","receiverCode":"UP0090_00","operatorCode":"TS0116_00","unitCode":"0015"},"requestBody":{"funcId":"01","criteria":{"circiKey":"L223702661","propertyTypeCode":"0","partyCertNo":"L223702661","partyCertDate":"1988-05-05"},"dataSet":[{"creationDptCode":"0015","residenceTel":"0423929968","companyTelExtension":"30","companyTel":"0424969966","serveCompanyCertNo":null,"serveCompanyName":"乃有限公司","jobTitle":"一般及其他職務"}]}},"resultCode":"UP0090_00_V501","resultDescription":"正確性檢核錯誤","resultBody":null,"errorMessages":["jobTitle該系統無寫入權限"]}</t>
  </si>
  <si>
    <t>1623876814334837-6811693-10-01</t>
  </si>
  <si>
    <t>1623876814358889-6811693-61-01</t>
  </si>
  <si>
    <t>I200099726</t>
  </si>
  <si>
    <t>{"requestModel":{"header":{"msgNo":"TS0116_00_20210616205334_5521","txnCode":"digiAccOpening","txnTime":"2021-06-16 20:53:34","senderCode":"TS0116_00","receiverCode":"UP0090_00","operatorCode":"TS0116_00","unitCode":"0015"},"requestBody":{"funcId":"01","criteria":{"circiKey":"I200099726","propertyTypeCode":"0","partyCertNo":"I200099726","partyCertDate":"1988-05-24"},"dataSet":[{"creationDptCode":"0015","customerName":"黃采文","selfBankSpecialServiceFlag":"00000","grownUpGuardianshipCode":"0","industryPropsTypeCode":"02","industryTypeCode":"14","performanceDptCode":"0015","txnPhone":"0911326476","partyEnglishName":"HUANG,CAI-WEN","nationalityCode":"0","residenceTel":"0911326476","refuseLoanReasonCode":"0","regCountryCode":"TW","incomeTaxTypeCode":"1","genderCode":"F","agreeCrossSellingFlag":"N","companyTelExtension":"262","companyTel":"22536789","contactAddrPostalCode":"404","contactAddr":"永興街１７６巷４號１樓","contactAddrAdminArea":"北區","contactAddrLocality":"臺中市","contactTel":"0911326476","dgbasIndustryCode":"061700","ncbIndustryCode":"060000","contactPhone":"0911326476","email":"caro10117355@gmail.com","residenceAddrLocality":"嘉義市","residenceAddr":"西區大溪里１３鄰大溪路２１１號","residenceAddrPostalCode":"600","residenceAddrAdminArea":"嘉義市","serveCompanyCertNo":null,"serveCompanyName":"臺中市朝馬國民運動中心","jobTitle":"財務（管理）人員","customerKycTypeCode":[],"contactAddrCountryCode":"TW","customerBirthday":"1988-05-24","residenceAddrCountryCode":"TW"}]}},"resultCode":"UP0090_00_V501","resultDescription":"正確性檢核錯誤","resultBody":null,"errorMessages":["jobTitle該系統無寫入權限"]}</t>
  </si>
  <si>
    <t>1623876660639798-6801720-68-02</t>
  </si>
  <si>
    <t>A227873395</t>
  </si>
  <si>
    <t>1623876660626296-6801720-44-02</t>
  </si>
  <si>
    <t>{"requestModel":{"header":{"msgNo":"TS0116_00_20210616205100_5021","txnCode":"digiAccOpening","txnTime":"2021-06-16 20:51:00","senderCode":"TS0116_00","receiverCode":"UP0090_00","operatorCode":"TS0116_00","unitCode":"0015"},"requestBody":{"funcId":"01","criteria":{"circiKey":"A227873395","propertyTypeCode":"0","partyCertNo":"A227873395","partyCertDate":"1994-05-23"},"dataSet":[{"creationDptCode":"0015","txnPhone":"0980541927","partyEnglishName":"FAN,QIONG-WEN","residenceTel":"0980541927","companyTelExtension":null,"companyTel":"4828001","contactAddrPostalCode":"326","contactAddr":"瑞塘里３４鄰萬大路１７５號四樓","contactAddrAdminArea":"楊梅區","contactAddrLocality":"桃園市","contactTel":"0980541927","residenceAddrLocality":"桃園市","residenceAddr":"瑞塘里３４鄰萬大路１７５號四樓","residenceAddrPostalCode":"326","residenceAddrAdminArea":"楊梅區","serveCompanyCertNo":null,"serveCompanyName":"台灣電綜","jobTitle":"一般及其他職務","contactAddrCountryCode":"TW","residenceAddrCountryCode":"TW"}]}},"resultCode":"UP0090_00_V501","resultDescription":"正確性檢核錯誤","resultBody":null,"errorMessages":["jobTitle該系統無寫入權限"]}</t>
  </si>
  <si>
    <t>1623876274920387-6811756-96-01</t>
    <phoneticPr fontId="1" type="noConversion"/>
  </si>
  <si>
    <t>1623876264057655-6811841-58-01</t>
    <phoneticPr fontId="1" type="noConversion"/>
  </si>
  <si>
    <t>1623875885665877-6811841-67-01</t>
    <phoneticPr fontId="1" type="noConversion"/>
  </si>
  <si>
    <t>1623876814583186-6813500-82-02</t>
    <phoneticPr fontId="1" type="noConversion"/>
  </si>
  <si>
    <t>1623876660933596-6813500-84-02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</si>
  <si>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('1623878930632215-6814804-82-02')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</si>
  <si>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('1623878677198854-6823251-29-01')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</si>
  <si>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('1623878607534481-6823251-14-01')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</si>
  <si>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('1623878587685104-6814804-60-02')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</si>
  <si>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('1623878559418449-6814795-03-02')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</si>
  <si>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('1623878452219130-6822639-65-01')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</si>
  <si>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('1623878373719672-6822639-68-01')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</si>
  <si>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('1623878351563324-6812538-45-01')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</si>
  <si>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('1623878349160884-6822639-08-01')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</si>
  <si>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('1623878347371815-6812517-70-01')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</si>
  <si>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('1623878218459857-6813567-95-02')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</si>
  <si>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('1623878161697042-6813430-14-02')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</si>
  <si>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('1623878142733119-6813430-42-02')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</si>
  <si>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('1623878031905826-6812270-39-01')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</si>
  <si>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('1623878006854425-6813300-85-02')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</si>
  <si>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('1623877969299819-6813300-85-02')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</si>
  <si>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('1623877918303399-6812203-61-01')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</si>
  <si>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('1623877832950069-6812114-26-01')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</si>
  <si>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('1623877651648490-6812051-32-01')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</si>
  <si>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('1623877618772612-6811912-84-01')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</si>
  <si>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('1623877519340424-6812894-35-02')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</si>
  <si>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('1623877354592638-6812829-34-02')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</si>
  <si>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('1623877283896298-6811710-80-01')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</si>
  <si>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('1623877277938054-6811693-01-01')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</si>
  <si>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('1623877209335131-6811774-87-01')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</si>
  <si>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('1623876814358889-6811693-61-01')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</si>
  <si>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('1623876660639798-6801720-68-02')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</si>
  <si>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('1623876273640290-6810127-66-01')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</si>
  <si>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('1623876263620305-6810127-42-01') AND EXECUTION_TYPE = 'STAGE1_EXECUTION';</t>
  </si>
  <si>
    <t>UPDATE CIFX.TB_SERVICE_EXECUTION_CONTROL SET EXECUTION_STATE = 'TO_EXECUTE',RESULT_CODE = NULL,EXECUTING_TIMESTAMP = null,EXECUTED_TIMESTAMP = null,ap_server_EXECUTING = NULL WHERE SERVICE_EXECUTION_CONTROL_ID IN ('1623875885197467-6809717-33-01') AND EXECUTION_TYPE = 'STAGE1_EXECUTION';</t>
  </si>
  <si>
    <t>1623875885197467-6809717-33-01</t>
    <phoneticPr fontId="1" type="noConversion"/>
  </si>
  <si>
    <t>1623878559418449-6814795-03-02</t>
    <phoneticPr fontId="1" type="noConversion"/>
  </si>
  <si>
    <t>CIP JOBTITILE參數未正常啟用造成同步失敗</t>
    <phoneticPr fontId="1" type="noConversion"/>
  </si>
  <si>
    <t>DONE</t>
    <phoneticPr fontId="1" type="noConversion"/>
  </si>
  <si>
    <t>EM11004511</t>
    <phoneticPr fontId="1" type="noConversion"/>
  </si>
  <si>
    <t>SC2021061600078</t>
    <phoneticPr fontId="1" type="noConversion"/>
  </si>
  <si>
    <t>DONE</t>
    <phoneticPr fontId="1" type="noConversion"/>
  </si>
  <si>
    <t>SC2021060300044</t>
    <phoneticPr fontId="1" type="noConversion"/>
  </si>
  <si>
    <t>發送異動通知電文給CIP回傳錯誤碼:UP0090_00_V201,錯誤碼訊息:必要性檢核錯誤,錯誤訊息:[DEL00000000000000881 顧客 TS0116_00 已刪除，但全行未刪除，無法進行異動建檔]</t>
  </si>
  <si>
    <t>1624274022722069-7659618-79-01</t>
    <phoneticPr fontId="1" type="noConversion"/>
  </si>
  <si>
    <t>1624274022101019-7659630-50-01</t>
  </si>
  <si>
    <t>{"requestModel":{"header":{"msgNo":"TS0116_00_20210621111342_81931","txnCode":"A101011","txnTime":"2021-06-21 11:13:42","senderCode":"TS0116_00","receiverCode":"UP0090_00","operatorCode":"19939","unitCode":"1023"},"requestBody":{"funcId":"01","criteria":{"circiKey":"C121597314","propertyTypeCode":"0","partyCertNo":"C121597314","partyCertDate":"1998-12-25"},"dataSet":[{"creationDptCode":"1023","customerName":"俞凱文","selfBankSpecialServiceFlag":"00000","grownUpGuardianshipCode":"0","industryPropsTypeCode":"02","industryTypeCode":"14","performanceDptCode":"1023","nationalityCode":"0","refuseLoanReasonCode":"0","regCountryCode":"TW","incomeTaxTypeCode":"1","genderCode":"M","stopUseCustomerDataFlag":" ","agreeCrossSellingFlag":"N","contactAddrPostalCode":"970","contactAddr":"國興五街２１１號四樓","contactAddrAdminArea":"花蓮市","contactAddrLocality":"花蓮縣","contactTel":"0986278126","dgbasIndustryCode":"061620","ncbIndustryCode":"060000","contactPhone":"0908727807","email":"m6d93jp6@yahoo.com.tw","residenceAddrLocality":"基隆市","residenceAddr":"砂子里３２鄰觀海街１９６號十三樓","residenceAddrPostalCode":"202","residenceAddrAdminArea":"中正區","serveCompanyCertNo":null,"serveCompanyName":"海享划島","jobTitle":"水上活動教練","contactAddrCountryCode":"TW","customerBirthday":"1998-12-25","residenceAddrCountryCode":"TW"}],"option":{"isReplyOverWrite":false,"isRemoval":false,"isCustConfirmation":true,"isRelationRemoval":false}}},"resultCode":"UP0090_00_V201","resultDescription":"必要性檢核錯誤","resultBody":null,"errorMessages":["DEL00000000000000881 顧客 TS0116_00 已刪除，但全行未刪除，無法進行異動建檔"]}</t>
  </si>
  <si>
    <t>{"requestModel":{"header":{"msgNo":"TS0116_00_20210618134549_16841","txnCode":"A101011","txnTime":"2021-06-18 13:45:49","senderCode":"TS0116_00","receiverCode":"UP0090_00","operatorCode":"15880","unitCode":"1333"},"requestBody":{"funcId":"01","criteria":{"circiKey":"N226310952","propertyTypeCode":"0","partyCertNo":"N226310952","partyCertDate":"2001-03-16"},"dataSet":[{"creationDptCode":"1333","serveCompanyCertNo":null,"jobTitle":"無","grownUpGuardianshipCode":"0","performanceDptCode":"1333","residenceAddrAdminArea":"中壢區","contactTel":"0916039129","industryPropsTypeCode":"02","nationalityCode":"0","companyTelExtension":null,"contactAddr":"振興里１１鄰龍岡路三段１５４巷７之１號四樓","customerBirthday":"2001-03-16","incomeTaxTypeCode":"1","industryTypeCode":"06","email":"PEI0316520@GMAIL.COM","selfBankSpecialServiceFlag":"00000","stopUseCustomerDataFlag":" ","agreeCrossSellingFlag":"N","regCountryCode":"TW","dgbasIndustryCode":"0615G0","circiKey":"N226310952","residenceAddrLocality":"桃園市","companyTel":"034285000","refuseLoanReasonCode":"0","contactAddrPostalCode":"320","contactAddrCountryCode":"TW","propertyTypeCode":"0","contactAddrAdminArea":"中壢區","customerName":"陳珮儀","genderCode":"F","personCertNo":"N226310952","contactAddrLocality":"桃園市","serveCompanyName":"寶春奶綠有限公司","ncbIndustryCode":"060000","contactPhone":"0916039129","residenceAddrCountryCode":"TW","residenceAddr":"振興里１１鄰龍岡路三段１５４巷７之１號四樓","residenceAddrPostalCode":"320"}],"option":{"isReplyOverWrite":false,"isRemoval":false,"isCustConfirmation":true,"isRelationRemoval":false}}},"resultCode":"UP0090_00_E301","resultDescription":"服務執行期錯誤","resultBody":null,"errorMessages":["顧客識別寫入CI發生錯誤。ChangeRequest:ChangeRequest [serviceInterchange=ServiceInterchange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funcId=01, custName=陳珮儀, companyEstablishDate=null, circiKey=N226310952, creditCardKey=null, certNo=N226310952, certDate=Fri Mar 16 00:00:00 GMT+08:00 2001,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goldenRecordItemContent=1333],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goldenRecordItemContent=陳珮儀],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goldenRecordItemContent=1333],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goldenRecordItemContent=034285000],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goldenRecordItemContent=0916039129],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goldenRecordItemContent=0916039129],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goldenRecordItemContent=PEI0316520@GMAIL.COM],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goldenRecordItemContent=寶春奶綠有限公司],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goldenRecordItemContent=2001-03-16],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[custId=10017442, custType=P, certTypeCode=00, partyKind=P, oldRestart=false, customerTag=CustomerTag [custId=10017442, custType=P, removalPredicate=null, removalSystemCode=null, refToCustId=0, refDatetime=null, disabledDatetime=null, identityCertTypeCode=00, disabled=null, disabledSystemCode=null], idChangeState=null, creditCardKey=N226310952, circiKey=null, birthDay=2001-03-16 00:00:00.0]；ServiceInterchange:ServiceInterchange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Exception : "]}</t>
  </si>
  <si>
    <t>1624023950733959-7144084-79-02</t>
    <phoneticPr fontId="1" type="noConversion"/>
  </si>
  <si>
    <t>N</t>
    <phoneticPr fontId="1" type="noConversion"/>
  </si>
  <si>
    <t>Y</t>
    <phoneticPr fontId="1" type="noConversion"/>
  </si>
  <si>
    <t>N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</si>
  <si>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funcId=01, custName=陳珮儀, companyEstablishDate=null, circiKey=N226310952, creditCardKey=null, certNo=N226310952, certDate=Fri Mar 16 00:00:00 GMT+08:00 2001,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goldenRecordItemContent=1333],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goldenRecordItemContent=陳珮儀],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goldenRecordItemContent=1333],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goldenRecordItemContent=034285000],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goldenRecordItemContent=0916039129],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goldenRecordItemContent=0916039129],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goldenRecordItemContent=PEI0316520@GMAIL.COM],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goldenRecordItemContent=寶春奶綠有限公司],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goldenRecordItemContent=2001-03-16],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[custId=10017442, custType=P, certTypeCode=00, partyKind=P, oldRestart=false, customerTag=CustomerTag [custId=10017442, custType=P, removalPredicate=null, removalSystemCode=null, refToCustId=0, refDatetime=null, disabledDatetime=null, identityCertTypeCode=00, disabled=null, disabledSystemCode=null], idChangeState=null, creditCardKey=N226310952, circiKey=null, birthDay=2001-03-16 00:00:00.0]；ServiceInterchange:ServiceInterchange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Exception : ]</t>
    <phoneticPr fontId="1" type="noConversion"/>
  </si>
  <si>
    <t>N226310952</t>
    <phoneticPr fontId="1" type="noConversion"/>
  </si>
  <si>
    <t>1624318214676298-7758631-98-01</t>
    <phoneticPr fontId="1" type="noConversion"/>
  </si>
  <si>
    <t>1624318211720822-7765809-80-02</t>
  </si>
  <si>
    <t>{"requestModel":{"header":{"msgNo":"TS0116_00_20210621233014_98821","txnCode":"DpA05Td002503B01","txnTime":"2021-06-21 23:30:11","senderCode":"TS0116_00","receiverCode":"UP0090_00","operatorCode":"TLR99","unitCode":"9004"},"requestBody":{"funcId":"01","criteria":{"circiKey":"C120956766","propertyTypeCode":"0","partyCertNo":"C120956766","partyCertDate":"1978-03-09"},"dataSet":[{"customerStatusCode":null,"customerKycTypeCode":[]}]}},"resultCode":"UP0090_00_V201","resultDescription":"必要性檢核錯誤","resultBody":null,"errorMessages":["檢查有誤，顧客ID已停用"]}</t>
  </si>
  <si>
    <t xml:space="preserve"> -&gt;C120956766
Y-&gt;C121997967</t>
    <phoneticPr fontId="1" type="noConversion"/>
  </si>
  <si>
    <t>N</t>
    <phoneticPr fontId="1" type="noConversion"/>
  </si>
  <si>
    <t>EM11004620</t>
    <phoneticPr fontId="1" type="noConversion"/>
  </si>
  <si>
    <t>1624023949507922-7144071-71-02</t>
    <phoneticPr fontId="1" type="noConversion"/>
  </si>
  <si>
    <t>UPDATE CIFX.TB_SERVICE_EXECUTION_CONTROL SET EXECUTION_STATE = 'EXECUTED', ap_server_EXECUTING = NULL WHERE SERVICE_EXECUTION_CONTROL_ID IN ('1624023949507922-7144071-71-02') and execution_type = 'STAGE1_EXECUTION';</t>
  </si>
  <si>
    <t>SC2021062200003</t>
    <phoneticPr fontId="1" type="noConversion"/>
  </si>
  <si>
    <t>EM11004639</t>
    <phoneticPr fontId="1" type="noConversion"/>
  </si>
  <si>
    <t>DONE</t>
    <phoneticPr fontId="1" type="noConversion"/>
  </si>
  <si>
    <t>DONE</t>
    <phoneticPr fontId="1" type="noConversion"/>
  </si>
  <si>
    <t>1624023949463838-7144071-04-02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</si>
  <si>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funcId=01, custName=湯惠鈺, companyEstablishDate=null, circiKey=K222077963, creditCardKey=null, certNo=K222077963, certDate=Sat Sep 21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goldenRecordItemContent=湯惠鈺],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goldenRecordItemContent=033022080],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goldenRecordItemContent=0908856872],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goldenRecordItemContent=Love9919125@gmail.com],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goldenRecordItemContent=1991-09-21],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[custId=4953179, custType=P, certTypeCode=00, partyKind=P, oldRestart=false, customerTag=null, idChangeState=null, creditCardKey=null, circiKey=null, birthDay=null]；ServiceInterchange:ServiceInterchange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Exception : ]</t>
  </si>
  <si>
    <t>1624393550294540-7928776-07-02</t>
    <phoneticPr fontId="1" type="noConversion"/>
  </si>
  <si>
    <t>K222077963</t>
  </si>
  <si>
    <t>{"requestModel":{"header":{"msgNo":"TS0116_00_20210622202548_86831","txnCode":"AQF0308","txnTime":"2021-06-22 20:25:48","senderCode":"TS0116_00","receiverCode":"UP0090_00","operatorCode":"LB","unitCode":"9008"},"requestBody":{"funcId":"01","criteria":{"circiKey":"K222077963","propertyTypeCode":"0","partyCertNo":"K222077963","partyCertDate":"1991-09-21"},"dataSet":[{"creationDptCode":"9008","grownUpGuardianshipCode":"0","performanceDptCode":"9008","residenceAddrAdminArea":"中壢區","industryPropsTypeCode":"02","nationalityCode":"0","companyTelExtension":null,"contactAddr":"松義路７１號６樓","customerBirthday":"1991-09-21","incomeTaxTypeCode":"1","email":"Love9919125@gmail.com","selfBankSpecialServiceFlag":"00000","stopUseCustomerDataFlag":" ","agreeCrossSellingFlag":"N","regCountryCode":"TW","dgbasIndustryCode":"061610","circiKey":"K222077963","residenceAddrLocality":"桃園市","companyTel":"033022080","refuseLoanReasonCode":"0","contactAddrPostalCode":"320","contactAddrCountryCode":"TW","propertyTypeCode":"0","contactAddrAdminArea":"中壢區","customerName":"湯惠鈺","genderCode":"F","personCertNo":"K222077963","contactAddrLocality":"桃園市","ncbIndustryCode":"060000","contactPhone":"0908856872","residenceAddrCountryCode":"TW","residenceAddr":"松義路７１號６樓","residenceAddrPostalCode":"320"}]}},"resultCode":"UP0090_00_E301","resultDescription":"服務執行期錯誤","resultBody":null,"errorMessages":["顧客識別寫入CI發生錯誤。ChangeRequest:ChangeRequest [serviceInterchange=ServiceInterchange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funcId=01, custName=湯惠鈺, companyEstablishDate=null, circiKey=K222077963, creditCardKey=null, certNo=K222077963, certDate=Sat Sep 21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goldenRecordItemContent=湯惠鈺],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goldenRecordItemContent=033022080],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goldenRecordItemContent=0908856872],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goldenRecordItemContent=Love9919125@gmail.com],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goldenRecordItemContent=1991-09-21],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[custId=4953179, custType=P, certTypeCode=00, partyKind=P, oldRestart=false, customerTag=null, idChangeState=null, creditCardKey=null, circiKey=null, birthDay=null]；ServiceInterchange:ServiceInterchange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Exception : "]}</t>
  </si>
  <si>
    <t>RE11013165</t>
    <phoneticPr fontId="1" type="noConversion"/>
  </si>
  <si>
    <t>C121597314</t>
    <phoneticPr fontId="1" type="noConversion"/>
  </si>
  <si>
    <t>C120956766</t>
    <phoneticPr fontId="1" type="noConversion"/>
  </si>
  <si>
    <t>EM11004511</t>
    <phoneticPr fontId="1" type="noConversion"/>
  </si>
  <si>
    <t>1624471252079694-8113481-63-01</t>
  </si>
  <si>
    <t>發送ID改號電文給CIP回傳錯誤碼:UP0090_00_R101,錯誤碼訊息:存在驗證錯誤,錯誤訊息:[ID改號作業-&gt;CIF改號作業-&gt;&lt;檢查有誤，查無符合(改號前)銀行歸戶統編(F22650826A)顧客&gt;]</t>
  </si>
  <si>
    <t>EM11004700</t>
    <phoneticPr fontId="1" type="noConversion"/>
  </si>
  <si>
    <t>{"requestModel":{"header":{"msgNo":"TS0116_00_20210623180052_15411","txnCode":"A149022","txnTime":"2021-06-23 18:00:51","senderCode":"TS0116_00","receiverCode":"UP0090_00","operatorCode":"19905","unitCode":"0015","authorizerCode":"00899"},"requestBody":{"funcId":"04","criteria":{"exCirciKey":"F22650826A"},"dataSet":[{"circiKey":"F226508269","partyCertNo":"F226508269","partyCertDate":"1987-03-13"}]}},"resultCode":"UP0090_00_R101","resultDescription":"存在驗證錯誤","resultBody":null,"errorMessages":["ID改號作業-&gt;CIF改號作業-&gt;&lt;檢查有誤，查無符合(改號前)銀行歸戶統編(F22650826A)顧客&gt;"]}</t>
  </si>
  <si>
    <t xml:space="preserve"> -&gt;F22650826A
Y-&gt;F226508269</t>
    <phoneticPr fontId="1" type="noConversion"/>
  </si>
  <si>
    <t>N</t>
    <phoneticPr fontId="1" type="noConversion"/>
  </si>
  <si>
    <t>1624471251795143-8108456-48-02</t>
    <phoneticPr fontId="1" type="noConversion"/>
  </si>
  <si>
    <t>CIFX重覆送同步電文(第2筆)</t>
    <phoneticPr fontId="1" type="noConversion"/>
  </si>
  <si>
    <t>CIFX重覆送同步電文(第2筆)</t>
    <phoneticPr fontId="1" type="noConversion"/>
  </si>
  <si>
    <t>1624393548805656-7933471-08-01</t>
    <phoneticPr fontId="1" type="noConversion"/>
  </si>
  <si>
    <t>UPDATE CIFX.TB_SERVICE_EXECUTION_CONTROL SET EXECUTION_STATE = 'EXECUTED', ap_server_EXECUTING = NULL WHERE SERVICE_EXECUTION_CONTROL_ID IN ('1624393548839226-7933471-60-01') and execution_type = 'STAGE1_EXECUTION';</t>
  </si>
  <si>
    <t>1624393548839226-7933471-60-01</t>
    <phoneticPr fontId="1" type="noConversion"/>
  </si>
  <si>
    <t>NA</t>
    <phoneticPr fontId="1" type="noConversion"/>
  </si>
  <si>
    <t>見需求單,可清除</t>
    <phoneticPr fontId="1" type="noConversion"/>
  </si>
  <si>
    <r>
      <rPr>
        <strike/>
        <sz val="12"/>
        <color rgb="FFFF0000"/>
        <rFont val="新細明體"/>
        <family val="1"/>
        <charset val="136"/>
        <scheme val="minor"/>
      </rPr>
      <t>待BA單據下來</t>
    </r>
    <r>
      <rPr>
        <sz val="12"/>
        <color rgb="FFFF0000"/>
        <rFont val="新細明體"/>
        <family val="1"/>
        <charset val="136"/>
        <scheme val="minor"/>
      </rPr>
      <t xml:space="preserve">
</t>
    </r>
    <r>
      <rPr>
        <strike/>
        <sz val="12"/>
        <color rgb="FFFF0000"/>
        <rFont val="新細明體"/>
        <family val="1"/>
        <charset val="136"/>
        <scheme val="minor"/>
      </rPr>
      <t xml:space="preserve">待CIP通知歸戶完成
</t>
    </r>
    <r>
      <rPr>
        <sz val="12"/>
        <color rgb="FFFF0000"/>
        <rFont val="新細明體"/>
        <family val="1"/>
        <charset val="136"/>
        <scheme val="minor"/>
      </rPr>
      <t>已通知歸戶完成</t>
    </r>
    <phoneticPr fontId="1" type="noConversion"/>
  </si>
  <si>
    <t>DONE</t>
    <phoneticPr fontId="1" type="noConversion"/>
  </si>
  <si>
    <t>DONE</t>
    <phoneticPr fontId="1" type="noConversion"/>
  </si>
  <si>
    <t>EM11004620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</si>
  <si>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('1624274022135617-7659630-02-01') AND EXECUTION_TYPE = 'STAGE1_EXECUTION';</t>
    <phoneticPr fontId="1" type="noConversion"/>
  </si>
  <si>
    <t>1624274022135617-7659630-02-01</t>
    <phoneticPr fontId="1" type="noConversion"/>
  </si>
  <si>
    <t>SC2021062400017</t>
    <phoneticPr fontId="1" type="noConversion"/>
  </si>
  <si>
    <t>RE11013165</t>
    <phoneticPr fontId="1" type="noConversion"/>
  </si>
  <si>
    <t>1624471251800371-8108456-56-02</t>
    <phoneticPr fontId="1" type="noConversion"/>
  </si>
  <si>
    <t>UPDATE CIFX.TB_SERVICE_EXECUTION_CONTROL SET EXECUTION_STATE = 'EXECUTED', ap_server_EXECUTING = NULL WHERE SERVICE_EXECUTION_CONTROL_ID IN ('1624471251800371-8108456-56-02') and execution_type = 'STAGE1_EXECUTION';</t>
  </si>
  <si>
    <t>SC2021062500031</t>
    <phoneticPr fontId="1" type="noConversion"/>
  </si>
  <si>
    <t>SC2021062500032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</si>
  <si>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</si>
  <si>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</si>
  <si>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</si>
  <si>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F123639283</t>
  </si>
  <si>
    <t>1624877464853400-8986366-41-02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</si>
  <si>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('1624877464853400-8986366-41-02') AND EXECUTION_TYPE = 'STAGE1_EXECUTION';</t>
  </si>
  <si>
    <t>EM11004810</t>
    <phoneticPr fontId="1" type="noConversion"/>
  </si>
  <si>
    <t>done</t>
    <phoneticPr fontId="1" type="noConversion"/>
  </si>
  <si>
    <t>底層錯誤</t>
    <phoneticPr fontId="1" type="noConversion"/>
  </si>
  <si>
    <t>SC2021060800001</t>
    <phoneticPr fontId="1" type="noConversion"/>
  </si>
  <si>
    <t>F226508269</t>
    <phoneticPr fontId="1" type="noConversion"/>
  </si>
  <si>
    <t>待BA確認作法(春娥學姊有寄信)
確認清除同步失敗註記</t>
    <phoneticPr fontId="1" type="noConversion"/>
  </si>
  <si>
    <t>done</t>
    <phoneticPr fontId="1" type="noConversion"/>
  </si>
  <si>
    <t>1624318211725654-7765809-83-02</t>
    <phoneticPr fontId="1" type="noConversion"/>
  </si>
  <si>
    <t>UPDATE CIFX.TB_SERVICE_EXECUTION_CONTROL SET EXECUTION_STATE = 'EXECUTED', ap_server_EXECUTING = NULL WHERE SERVICE_EXECUTION_CONTROL_ID IN ('1624318211725654-7765809-83-02') and execution_type = 'STAGE1_EXECUTION';</t>
  </si>
  <si>
    <t>SC2021062800031</t>
    <phoneticPr fontId="1" type="noConversion"/>
  </si>
  <si>
    <t>SC2021063000020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</si>
  <si>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</si>
  <si>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</si>
  <si>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</si>
  <si>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發送異動通知電文給CIP回傳錯誤碼:UP0090_00_V201,錯誤碼訊息:必要性檢核錯誤,錯誤訊息:[檢查有誤，AB90026511 顧客曾經執行過ID改號]</t>
  </si>
  <si>
    <t>1625256480739417-9829968-15-02</t>
    <phoneticPr fontId="1" type="noConversion"/>
  </si>
  <si>
    <t>1625256480447829-9829958-04-02</t>
  </si>
  <si>
    <t>{"requestModel":{"header":{"msgNo":"TS0116_00_20210702200800_53472","txnCode":"A121021","txnTime":"2021-07-02 20:08:00","senderCode":"TS0116_00","receiverCode":"UP0090_00","operatorCode":"19181","unitCode":"0015"},"requestBody":{"funcId":"01","criteria":{"circiKey":"AB90026511","propertyTypeCode":"0","partyCertNo":"AB90026511","partyCertDate":"1992-02-06"},"dataSet":[{"contactEnglishAddr":"NO. 19, LN. 141, FUDE 1ST RD., XIZHI DIST.,","contactEnglishAddrAdminArea":"NEW TAIPEI CITY","contactEnglishAddrCountryCode":"TW"}]}},"resultCode":"UP0090_00_V201","resultDescription":"必要性檢核錯誤","resultBody":null,"errorMessages":["檢查有誤，AB90026511 顧客曾經執行過ID改號"]}</t>
  </si>
  <si>
    <t xml:space="preserve"> -&gt;AB90026511
Y-&gt;F980008191</t>
    <phoneticPr fontId="1" type="noConversion"/>
  </si>
  <si>
    <t>N</t>
    <phoneticPr fontId="1" type="noConversion"/>
  </si>
  <si>
    <t>EM11005039</t>
    <phoneticPr fontId="1" type="noConversion"/>
  </si>
  <si>
    <t>1624877494965935-8986466-19-02</t>
    <phoneticPr fontId="1" type="noConversion"/>
  </si>
  <si>
    <t>AB90026511</t>
    <phoneticPr fontId="1" type="noConversion"/>
  </si>
  <si>
    <t>春娥學姊:不知道為什麼行員會有改舊號的行為，先清空</t>
    <phoneticPr fontId="1" type="noConversion"/>
  </si>
  <si>
    <t>SELECT EXECUTION_TYPE,SERVICE_INTERCHANGE_ID,CIRCI_KEY,EXECUTION_STATE FROM CIFX.TB_SERVICE_EXECUTION_CONTROL WHERE SERVICE_EXECUTION_CONTROL_ID IN ('1625256480524901-9837145-11-01') AND EXECUTION_TYPE = 'STAGE1_EXECUTION';</t>
  </si>
  <si>
    <t>UPDATE CIFX.TB_SERVICE_EXECUTION_CONTROL SET EXECUTION_STATE = 'EXECUTED', ap_server_EXECUTING = NULL WHERE SERVICE_EXECUTION_CONTROL_ID IN ('1625256480524901-9837145-11-01') and execution_type = 'STAGE1_EXECUTION';</t>
  </si>
  <si>
    <t>1625256480524901-9837145-11-01</t>
    <phoneticPr fontId="1" type="noConversion"/>
  </si>
  <si>
    <t>SC2021070500042</t>
    <phoneticPr fontId="1" type="noConversion"/>
  </si>
  <si>
    <t>DONE</t>
    <phoneticPr fontId="1" type="noConversion"/>
  </si>
  <si>
    <t>DONE</t>
    <phoneticPr fontId="1" type="noConversion"/>
  </si>
  <si>
    <t>1625583984489056-0527686-93-01</t>
    <phoneticPr fontId="1" type="noConversion"/>
  </si>
  <si>
    <t>1625583984052652-0526292-49-01</t>
  </si>
  <si>
    <t>1625583984058030-0526292-56-01</t>
  </si>
  <si>
    <t>這邊貼</t>
    <phoneticPr fontId="1" type="noConversion"/>
  </si>
  <si>
    <t>F290372275</t>
    <phoneticPr fontId="1" type="noConversion"/>
  </si>
  <si>
    <t xml:space="preserve"> -&gt;FB20316612
Y-&gt;F290372275</t>
    <phoneticPr fontId="1" type="noConversion"/>
  </si>
  <si>
    <t>N</t>
    <phoneticPr fontId="1" type="noConversion"/>
  </si>
  <si>
    <t>{"requestModel":{"header":{"msgNo":"TS0116_00_20210706150624_93521","txnCode":"A149022","txnTime":"2021-07-06 15:06:24","senderCode":"TS0116_00","receiverCode":"UP0090_00","operatorCode":"12556","unitCode":"0015","authorizerCode":"00899"},"requestBody":{"funcId":"04","criteria":{"exCirciKey":"FB20316612"},"dataSet":[{"circiKey":"F290372275","partyCertNo":"F290372275","partyCertDate":"1977-01-05"}]}},"resultCode":"UP0090_00_R101","resultDescription":"存在驗證錯誤","resultBody":null,"errorMessages":["檢查有誤，顧客曾經執行過ID改號，將交由資料管家處理"]}</t>
    <phoneticPr fontId="1" type="noConversion"/>
  </si>
  <si>
    <t>亮維</t>
    <phoneticPr fontId="1" type="noConversion"/>
  </si>
  <si>
    <t>發送異動通知電文給CIP回傳錯誤碼:UP0090_00_V201,錯誤碼訊息:必要性檢核錯誤,錯誤訊息:[DEL00000000000000901 顧客 TS0116_00 已刪除，但全行未刪除，無法進行異動建檔]</t>
  </si>
  <si>
    <t>1625656245838188-0695977-08-02</t>
  </si>
  <si>
    <t>N</t>
    <phoneticPr fontId="1" type="noConversion"/>
  </si>
  <si>
    <t>Y</t>
    <phoneticPr fontId="1" type="noConversion"/>
  </si>
  <si>
    <t>1625662347441302-0713030-34-02</t>
    <phoneticPr fontId="1" type="noConversion"/>
  </si>
  <si>
    <t>1625662317066552-0703520-27-01</t>
  </si>
  <si>
    <t>1625662317069589-0703520-29-01</t>
  </si>
  <si>
    <t>P221833808</t>
  </si>
  <si>
    <t>1625662276319249-0712822-15-02</t>
    <phoneticPr fontId="1" type="noConversion"/>
  </si>
  <si>
    <t>1625662246124687-0712774-73-02</t>
  </si>
  <si>
    <t>1625662246197732-0712808-83-02</t>
  </si>
  <si>
    <t>L224020864</t>
  </si>
  <si>
    <t>1625662261130745-0712811-07-02</t>
    <phoneticPr fontId="1" type="noConversion"/>
  </si>
  <si>
    <t>1625662230817342-0701898-51-02</t>
  </si>
  <si>
    <t>1625662230820498-0701898-53-02</t>
  </si>
  <si>
    <t>P124255877</t>
  </si>
  <si>
    <t>1625662238054951-0712811-74-02</t>
    <phoneticPr fontId="1" type="noConversion"/>
  </si>
  <si>
    <t>1625662207874696-0704615-81-01</t>
  </si>
  <si>
    <t>1625662207910470-0704615-42-01</t>
  </si>
  <si>
    <t>A233091489</t>
  </si>
  <si>
    <t>1625662222288210-0712809-30-02</t>
    <phoneticPr fontId="1" type="noConversion"/>
  </si>
  <si>
    <t>1625662192036763-0704689-14-01</t>
  </si>
  <si>
    <t>1625662192064844-0704689-42-01</t>
  </si>
  <si>
    <t>S122939828</t>
  </si>
  <si>
    <t>1625662157270466-0712808-77-02</t>
    <phoneticPr fontId="1" type="noConversion"/>
  </si>
  <si>
    <t>1625662127132424-0712689-65-02</t>
  </si>
  <si>
    <t>1625662127147774-0712689-77-02</t>
  </si>
  <si>
    <t>H220081010</t>
  </si>
  <si>
    <t>1625662144898595-0704474-61-01</t>
    <phoneticPr fontId="1" type="noConversion"/>
  </si>
  <si>
    <t>1625662114611386-0703162-04-01</t>
  </si>
  <si>
    <t>1625662114614115-0703162-06-01</t>
  </si>
  <si>
    <t>F229188812</t>
  </si>
  <si>
    <t>1625662075469142-0712756-65-02</t>
    <phoneticPr fontId="1" type="noConversion"/>
  </si>
  <si>
    <t>1625662045313306-0712579-77-02</t>
  </si>
  <si>
    <t>1625662045345680-0712579-31-02</t>
  </si>
  <si>
    <t>E124872727</t>
  </si>
  <si>
    <t>1625661705263192-0704093-66-01</t>
    <phoneticPr fontId="1" type="noConversion"/>
  </si>
  <si>
    <t>1625661675116654-0701181-46-02</t>
  </si>
  <si>
    <t>1625661675121013-0701181-48-02</t>
  </si>
  <si>
    <t>R223943630</t>
  </si>
  <si>
    <t>1625661638504156-0703838-88-01</t>
  </si>
  <si>
    <t>1625661638548398-0703838-42-01</t>
  </si>
  <si>
    <t>1625661668298099-0704020-77-01</t>
    <phoneticPr fontId="1" type="noConversion"/>
  </si>
  <si>
    <t>1625661638104699-0702722-58-01</t>
  </si>
  <si>
    <t>1625661638107564-0702722-60-01</t>
  </si>
  <si>
    <t>A12739013C</t>
  </si>
  <si>
    <t>1625661668654567-0704020-02-01</t>
    <phoneticPr fontId="1" type="noConversion"/>
  </si>
  <si>
    <t>EM11005142</t>
    <phoneticPr fontId="1" type="noConversion"/>
  </si>
  <si>
    <t>網路異常</t>
    <phoneticPr fontId="1" type="noConversion"/>
  </si>
  <si>
    <t>清除同步失敗註記</t>
    <phoneticPr fontId="1" type="noConversion"/>
  </si>
  <si>
    <t>UPDATE CIFX.TB_SERVICE_EXECUTION_CONTROL SET EXECUTION_STATE = 'EXECUTED', ap_server_EXECUTING = NULL WHERE SERVICE_EXECUTION_CONTROL_ID IN ('1625583984058030-0526292-56-01') and execution_type = 'STAGE1_EXECUTION';</t>
  </si>
  <si>
    <t>SC2021070700039</t>
    <phoneticPr fontId="1" type="noConversion"/>
  </si>
  <si>
    <t>DONE</t>
    <phoneticPr fontId="1" type="noConversion"/>
  </si>
  <si>
    <t>DONE</t>
    <phoneticPr fontId="1" type="noConversion"/>
  </si>
  <si>
    <t>SC2021070700033</t>
    <phoneticPr fontId="1" type="noConversion"/>
  </si>
  <si>
    <t>RE11014314</t>
    <phoneticPr fontId="1" type="noConversion"/>
  </si>
  <si>
    <t>1625669808659413-0721283-51-02</t>
    <phoneticPr fontId="1" type="noConversion"/>
  </si>
  <si>
    <t>1625669808373936-0720093-43-02</t>
  </si>
  <si>
    <t>1625669808379524-0720093-48-02</t>
  </si>
  <si>
    <t>{"requestModel":{"header":{"msgNo":"TS0116_00_20210707145648_88662","txnCode":"A149022","txnTime":"2021-07-07 14:56:48","senderCode":"TS0116_00","receiverCode":"UP0090_00","operatorCode":"12556","unitCode":"0015","authorizerCode":"00899"},"requestBody":{"funcId":"04","criteria":{"exCirciKey":"BC00078566"},"dataSet":[{"circiKey":"B800081921","partyCertNo":"B800081921","partyCertDate":"1977-05-15"}]}},"resultCode":"UP0090_00_R101","resultDescription":"存在驗證錯誤","resultBody":null,"errorMessages":["檢查有誤，顧客曾經執行過ID改號，將交由資料管家處理"]}</t>
  </si>
  <si>
    <t xml:space="preserve"> -&gt;BC00078566
Y-&gt;B800081921</t>
    <phoneticPr fontId="1" type="noConversion"/>
  </si>
  <si>
    <t>(第一次改號)23-6月 -21 10.55.00.109538000 上午 1 金徵(業)字第2-1100615-02號
(第二次改號)07-7月 -21 02.56.48.380466000 下午 1 0141需求單RE11014120</t>
    <phoneticPr fontId="1" type="noConversion"/>
  </si>
  <si>
    <t>EM11005151</t>
    <phoneticPr fontId="1" type="noConversion"/>
  </si>
  <si>
    <t xml:space="preserve">因為該戶資料存在NCS資料與CIFX資料，
該戶在2021-07-07 10:47:58收到一筆CIFX送來的刪除電文(CIRCI_KEY : V12100482A)，
但是因為NCS為建檔系統，所以目前該戶在CIP的狀態並未全行刪除，
故導致CIFX發送(CIRCI_KEY : V121004829)異動電文時，同步失敗，
請協助確認該戶是否需要進行全行刪除? 或者需要做資料重新歸戶作業?
謝謝
亮維確認中
</t>
    <phoneticPr fontId="1" type="noConversion"/>
  </si>
  <si>
    <t>UPDATE CIFX.TB_SERVICE_EXECUTION_CONTROL SET EXECUTION_STATE = 'EXECUTED', ap_server_EXECUTING = NULL WHERE SERVICE_EXECUTION_CONTROL_ID IN ('1625662317069589-0703520-29-01') and execution_type = 'STAGE1_EXECUTION';</t>
  </si>
  <si>
    <t>UPDATE CIFX.TB_SERVICE_EXECUTION_CONTROL SET EXECUTION_STATE = 'EXECUTED', ap_server_EXECUTING = NULL WHERE SERVICE_EXECUTION_CONTROL_ID IN ('1625662246197732-0712808-83-02') and execution_type = 'STAGE1_EXECUTION';</t>
  </si>
  <si>
    <t>UPDATE CIFX.TB_SERVICE_EXECUTION_CONTROL SET EXECUTION_STATE = 'EXECUTED', ap_server_EXECUTING = NULL WHERE SERVICE_EXECUTION_CONTROL_ID IN ('1625662230820498-0701898-53-02') and execution_type = 'STAGE1_EXECUTION';</t>
  </si>
  <si>
    <t>UPDATE CIFX.TB_SERVICE_EXECUTION_CONTROL SET EXECUTION_STATE = 'EXECUTED', ap_server_EXECUTING = NULL WHERE SERVICE_EXECUTION_CONTROL_ID IN ('1625662207910470-0704615-42-01') and execution_type = 'STAGE1_EXECUTION';</t>
  </si>
  <si>
    <t>UPDATE CIFX.TB_SERVICE_EXECUTION_CONTROL SET EXECUTION_STATE = 'EXECUTED', ap_server_EXECUTING = NULL WHERE SERVICE_EXECUTION_CONTROL_ID IN ('1625662192064844-0704689-42-01') and execution_type = 'STAGE1_EXECUTION';</t>
  </si>
  <si>
    <t>UPDATE CIFX.TB_SERVICE_EXECUTION_CONTROL SET EXECUTION_STATE = 'EXECUTED', ap_server_EXECUTING = NULL WHERE SERVICE_EXECUTION_CONTROL_ID IN ('1625662127147774-0712689-77-02') and execution_type = 'STAGE1_EXECUTION';</t>
  </si>
  <si>
    <t>UPDATE CIFX.TB_SERVICE_EXECUTION_CONTROL SET EXECUTION_STATE = 'EXECUTED', ap_server_EXECUTING = NULL WHERE SERVICE_EXECUTION_CONTROL_ID IN ('1625662114614115-0703162-06-01') and execution_type = 'STAGE1_EXECUTION';</t>
  </si>
  <si>
    <t>UPDATE CIFX.TB_SERVICE_EXECUTION_CONTROL SET EXECUTION_STATE = 'EXECUTED', ap_server_EXECUTING = NULL WHERE SERVICE_EXECUTION_CONTROL_ID IN ('1625662045345680-0712579-31-02') and execution_type = 'STAGE1_EXECUTION';</t>
  </si>
  <si>
    <t>UPDATE CIFX.TB_SERVICE_EXECUTION_CONTROL SET EXECUTION_STATE = 'EXECUTED', ap_server_EXECUTING = NULL WHERE SERVICE_EXECUTION_CONTROL_ID IN ('1625661675121013-0701181-48-02') and execution_type = 'STAGE1_EXECUTION';</t>
  </si>
  <si>
    <t>UPDATE CIFX.TB_SERVICE_EXECUTION_CONTROL SET EXECUTION_STATE = 'EXECUTED', ap_server_EXECUTING = NULL WHERE SERVICE_EXECUTION_CONTROL_ID IN ('1625661638548398-0703838-42-01') and execution_type = 'STAGE1_EXECUTION';</t>
  </si>
  <si>
    <t>UPDATE CIFX.TB_SERVICE_EXECUTION_CONTROL SET EXECUTION_STATE = 'EXECUTED', ap_server_EXECUTING = NULL WHERE SERVICE_EXECUTION_CONTROL_ID IN ('1625661638107564-0702722-60-01') and execution_type = 'STAGE1_EXECUTION';</t>
  </si>
  <si>
    <t>同一戶改2次
BA信是說要取消</t>
    <phoneticPr fontId="1" type="noConversion"/>
  </si>
  <si>
    <t>done</t>
    <phoneticPr fontId="1" type="noConversion"/>
  </si>
  <si>
    <t>EM11005142</t>
    <phoneticPr fontId="1" type="noConversion"/>
  </si>
  <si>
    <t>DONE</t>
    <phoneticPr fontId="1" type="noConversion"/>
  </si>
  <si>
    <t>DONE</t>
    <phoneticPr fontId="1" type="noConversion"/>
  </si>
  <si>
    <t>1625681794286219-0746804-17-01</t>
  </si>
  <si>
    <t>P101291651</t>
  </si>
  <si>
    <t>請確認是否有同步成功</t>
    <phoneticPr fontId="1" type="noConversion"/>
  </si>
  <si>
    <t>MSG_NO</t>
    <phoneticPr fontId="1" type="noConversion"/>
  </si>
  <si>
    <t>TS0116_00_20210707181634_90972</t>
  </si>
  <si>
    <t>N</t>
    <phoneticPr fontId="1" type="noConversion"/>
  </si>
  <si>
    <t>已通知CIP team</t>
    <phoneticPr fontId="1" type="noConversion"/>
  </si>
  <si>
    <t>CIP LOCK DB ISSUE INDUCE,TBC</t>
    <phoneticPr fontId="1" type="noConversion"/>
  </si>
  <si>
    <t>B800081921</t>
    <phoneticPr fontId="1" type="noConversion"/>
  </si>
  <si>
    <t>UPDATE CIFX.TB_SERVICE_EXECUTION_CONTROL SET EXECUTION_STATE = 'EXECUTED', ap_server_EXECUTING = NULL WHERE SERVICE_EXECUTION_CONTROL_ID IN ('1625669808379524-0720093-48-02') and execution_type = 'STAGE1_EXECUTION';</t>
  </si>
  <si>
    <t>1625761167090975-0936695-32-02</t>
    <phoneticPr fontId="1" type="noConversion"/>
  </si>
  <si>
    <t>1625761166681199-0926392-99-01</t>
  </si>
  <si>
    <t>{"requestModel":{"header":{"msgNo":"TS0116_00_20210708161926_72562","txnCode":"A149022","txnTime":"2021-07-08 16:19:26","senderCode":"TS0116_00","receiverCode":"UP0090_00","operatorCode":"19905","unitCode":"0015","authorizerCode":"00899"},"requestBody":{"funcId":"04","criteria":{"exCirciKey":"BC00310523"},"dataSet":[{"circiKey":"B800075503","partyCertNo":"B800075503","partyCertDate":"1977-08-31"}]}},"resultCode":"UP0090_00_R101","resultDescription":"存在驗證錯誤","resultBody":null,"errorMessages":["檢查有誤，顧客曾經執行過ID改號，將交由資料管家處理"]}</t>
  </si>
  <si>
    <t>TS0116_00_20210708161926_72562</t>
  </si>
  <si>
    <t xml:space="preserve"> -&gt;BC00310523
Y-&gt;B800075503</t>
    <phoneticPr fontId="1" type="noConversion"/>
  </si>
  <si>
    <t>N</t>
    <phoneticPr fontId="1" type="noConversion"/>
  </si>
  <si>
    <t>{"requestModel":{"header":{"msgNo":"TS0116_00_20210707111045_99862","txnCode":"A101011","txnTime":"2021-07-07 11:10:45","senderCode":"TS0116_00","receiverCode":"UP0090_00","operatorCode":"93353","unitCode":"0473"},"requestBody":{"funcId":"01","criteria":{"circiKey":"V121004829","propertyTypeCode":"0","partyCertNo":"V121004829","partyCertDate":"1987-09-13"},"dataSet":[{"creationDptCode":"0473","customerName":"温明","selfBankSpecialServiceFlag":"00000","grownUpGuardianshipCode":"0","industryPropsTypeCode":"02","industryTypeCode":"12","performanceDptCode":"0473","nationalityCode":"0","refuseLoanReasonCode":"0","regCountryCode":"TW","incomeTaxTypeCode":"1","genderCode":"M","stopUseCustomerDataFlag":" ","agreeCrossSellingFlag":"N","contactAddrPostalCode":"324","contactAddr":"雙連里１１鄰民族路雙連一段１９９巷１０弄５５衖２０號","contactAddrAdminArea":"平鎮區","contactAddrLocality":"桃園市","contactTel":"0958034416","dgbasIndustryCode":"061610","ncbIndustryCode":"060000","contactPhone":"0958034416","email":"A0965385386@GMAIL.COM","residenceAddrLocality":"桃園市","residenceAddr":"雙連里１１鄰民族路雙連一段１９９巷１０弄５５衖２０號","residenceAddrPostalCode":"324","residenceAddrAdminArea":"平鎮區","serveCompanyCertNo":"34753252","serveCompanyName":"鴻展管道工程行","jobTitle":"技術員","contactAddrCountryCode":"TW","customerBirthday":"1987-09-13","residenceAddrCountryCode":"TW"}],"option":{"isReplyOverWrite":false,"isRemoval":false,"isCustConfirmation":true,"isRelationRemoval":false}}},"resultCode":"UP0090_00_V201","resultDescription":"必要性檢核錯誤","resultBody":null,"errorMessages":["DEL00000000000000901 顧客 TS0116_00 已刪除，但全行未刪除，無法進行異動建檔"]}</t>
    <phoneticPr fontId="1" type="noConversion"/>
  </si>
  <si>
    <t>1625656246101221-0687819-07-01</t>
    <phoneticPr fontId="1" type="noConversion"/>
  </si>
  <si>
    <t>SC2021070800012</t>
    <phoneticPr fontId="1" type="noConversion"/>
  </si>
  <si>
    <t>DONE</t>
    <phoneticPr fontId="1" type="noConversion"/>
  </si>
  <si>
    <t>DONE</t>
    <phoneticPr fontId="1" type="noConversion"/>
  </si>
  <si>
    <t>1625681824516614-0755118-52-02</t>
    <phoneticPr fontId="1" type="noConversion"/>
  </si>
  <si>
    <t>EM11005157</t>
    <phoneticPr fontId="1" type="noConversion"/>
  </si>
  <si>
    <t>EM11005188</t>
    <phoneticPr fontId="1" type="noConversion"/>
  </si>
  <si>
    <t>1625656245876635-0695977-58-02</t>
    <phoneticPr fontId="1" type="noConversion"/>
  </si>
  <si>
    <t>UPDATE CIFX.TB_SERVICE_EXECUTION_CONTROL SET EXECUTION_STATE = 'TO_EXECUTE',RESULT_CODE = NULL,EXECUTING_TIMESTAMP = null,EXECUTED_TIMESTAMP = null,ap_server_EXECUTING = NULL WHERE SERVICE_EXECUTION_CONTROL_ID IN ('1625656245876635-0695977-58-02') AND EXECUTION_TYPE = 'STAGE1_EXECUTION';</t>
  </si>
  <si>
    <t>V121004829</t>
    <phoneticPr fontId="1" type="noConversion"/>
  </si>
  <si>
    <t>EM11005138</t>
    <phoneticPr fontId="1" type="noConversion"/>
  </si>
  <si>
    <t>done</t>
    <phoneticPr fontId="1" type="noConversion"/>
  </si>
  <si>
    <t>SC2021070900066</t>
    <phoneticPr fontId="1" type="noConversion"/>
  </si>
  <si>
    <t>done</t>
    <phoneticPr fontId="1" type="noConversion"/>
  </si>
  <si>
    <t>done</t>
    <phoneticPr fontId="1" type="noConversion"/>
  </si>
  <si>
    <t>1625681794388327-0746804-28-01</t>
    <phoneticPr fontId="1" type="noConversion"/>
  </si>
  <si>
    <t>1626102135937368-1665835-39-01</t>
  </si>
  <si>
    <t>TS0116_00_20210712150145_54862</t>
  </si>
  <si>
    <t>F220476651</t>
    <phoneticPr fontId="1" type="noConversion"/>
  </si>
  <si>
    <t>1626102105673528-1659641-28-02</t>
    <phoneticPr fontId="1" type="noConversion"/>
  </si>
  <si>
    <t>EM11005268</t>
    <phoneticPr fontId="1" type="noConversion"/>
  </si>
  <si>
    <t>1626102105818399-1659641-47-02</t>
    <phoneticPr fontId="1" type="noConversion"/>
  </si>
  <si>
    <t>CIP未成功接受，懷疑是 esip 問題，目前先重送</t>
    <phoneticPr fontId="1" type="noConversion"/>
  </si>
  <si>
    <t>SC2021070800008
SC2021070900043
SC2021071200015</t>
    <phoneticPr fontId="1" type="noConversion"/>
  </si>
  <si>
    <t>SC2021071200065</t>
    <phoneticPr fontId="1" type="noConversion"/>
  </si>
  <si>
    <t>業管重覆改該，造成CIFX同步CIP電文失敗
亮維:清除註記</t>
    <phoneticPr fontId="1" type="noConversion"/>
  </si>
  <si>
    <t>1625761166686861-0926392-05-01</t>
    <phoneticPr fontId="1" type="noConversion"/>
  </si>
  <si>
    <t>B800075503</t>
    <phoneticPr fontId="1" type="noConversion"/>
  </si>
  <si>
    <t>1624877464829083-8986366-14-02</t>
    <phoneticPr fontId="1" type="noConversion"/>
  </si>
  <si>
    <r>
      <rPr>
        <strike/>
        <u/>
        <sz val="12"/>
        <color theme="10"/>
        <rFont val="新細明體"/>
        <family val="1"/>
        <charset val="136"/>
        <scheme val="minor"/>
      </rPr>
      <t>SC2021070900052</t>
    </r>
    <r>
      <rPr>
        <u/>
        <sz val="12"/>
        <color theme="10"/>
        <rFont val="新細明體"/>
        <family val="1"/>
        <charset val="136"/>
        <scheme val="minor"/>
      </rPr>
      <t xml:space="preserve">
SC2021071200096</t>
    </r>
    <phoneticPr fontId="1" type="noConversion"/>
  </si>
  <si>
    <t>done</t>
    <phoneticPr fontId="1" type="noConversion"/>
  </si>
  <si>
    <t>詢問ba中
--31-3月 -21 01.00.28.701427000 下午
--信用卡系統變更，CIP通知修改
FB20316612-&gt;F990017568
--06-7月 -21 03.06.24.059422000 下午
--1171需求單RE11014202
FB20316612-&gt;F290372275   (目前此筆同步失敗)
春娥:
會請業管加會需求單給CIFX,讓CIFX在收到單號把A改C同步失敗清除</t>
    <phoneticPr fontId="1" type="noConversion"/>
  </si>
  <si>
    <t>EM11005121</t>
    <phoneticPr fontId="1" type="noConversion"/>
  </si>
  <si>
    <t>DONE</t>
    <phoneticPr fontId="1" type="noConversion"/>
  </si>
  <si>
    <t>1626712323393142-3001285-36-02</t>
    <phoneticPr fontId="1" type="noConversion"/>
  </si>
  <si>
    <t>1626712323022559-3004088-18-01</t>
  </si>
  <si>
    <t>1626712323084208-3004132-23-01</t>
  </si>
  <si>
    <t>TS0116_00_20210719163203_7821</t>
  </si>
  <si>
    <t>N</t>
    <phoneticPr fontId="1" type="noConversion"/>
  </si>
  <si>
    <t>NC01132649</t>
    <phoneticPr fontId="1" type="noConversion"/>
  </si>
  <si>
    <t>EM11005452</t>
    <phoneticPr fontId="1" type="noConversion"/>
  </si>
  <si>
    <t>EM11005470</t>
    <phoneticPr fontId="1" type="noConversion"/>
  </si>
  <si>
    <t>發送異動通知電文給CIP回傳錯誤碼:UP0090_00_V201,錯誤碼訊息:必要性檢核錯誤,錯誤訊息:[DEL00000000000000912 顧客 TS0116_00 已刪除，但全行未刪除，無法進行異動建檔]</t>
  </si>
  <si>
    <t>TS0116_00_20210720093722_67772</t>
  </si>
  <si>
    <t>{"requestModel":{"header":{"msgNo":"TS0116_00_20210720093722_67772","txnCode":"A101011","txnTime":"2021-07-20 09:37:22","senderCode":"TS0116_00","receiverCode":"UP0090_00","operatorCode":"19193","unitCode":"0598"},"requestBody":{"funcId":"01","criteria":{"circiKey":"A224682829","propertyTypeCode":"0","partyCertNo":"A224682829","partyCertDate":"1979-02-24"},"dataSet":[{"creationDptCode":"0598","customerName":"孫佳芳","selfBankSpecialServiceFlag":"00000","grownUpGuardianshipCode":"0","industryPropsTypeCode":"02","industryTypeCode":"17","performanceDptCode":"0598","nationalityCode":"0","refuseLoanReasonCode":"0","regCountryCode":"TW","incomeTaxTypeCode":"1","genderCode":"F","stopUseCustomerDataFlag":" ","agreeCrossSellingFlag":"N","companyTelExtension":null,"companyTel":"0228933828","contactAddrPostalCode":"103","contactAddr":"國慶里１２鄰民族西路２２３之９號四樓","contactAddrAdminArea":"大同區","contactAddrLocality":"臺北市","contactTel":"0225863622","dgbasIndustryCode":"061400","ncbIndustryCode":"060000","contactPhone":"0930510570","email":"KELSEY224@YAHOO.COM.TW","residenceAddrLocality":"臺北市","residenceAddr":"國慶里１２鄰民族西路２２３之９號四樓","residenceAddrPostalCode":"103","residenceAddrAdminArea":"大同區","serveCompanyCertNo":"00956095","serveCompanyName":"文化國小","jobTitle":"老師","contactAddrCountryCode":"TW","customerBirthday":"1979-02-24","residenceAddrCountryCode":"TW"}],"option":{"isReplyOverWrite":false,"isRemoval":false,"isCustConfirmation":true,"isRelationRemoval":false}}},"resultCode":"UP0090_00_V201","resultDescription":"必要性檢核錯誤","resultBody":null,"errorMessages":["DEL00000000000000912 顧客 TS0116_00 已刪除，但全行未刪除，無法進行異動建檔"]}</t>
    <phoneticPr fontId="1" type="noConversion"/>
  </si>
  <si>
    <t>過去曾刪除</t>
    <phoneticPr fontId="1" type="noConversion"/>
  </si>
  <si>
    <t>N</t>
    <phoneticPr fontId="1" type="noConversion"/>
  </si>
  <si>
    <t>A224682829</t>
    <phoneticPr fontId="1" type="noConversion"/>
  </si>
  <si>
    <t>1626773842487555-3137762-97-02</t>
    <phoneticPr fontId="1" type="noConversion"/>
  </si>
  <si>
    <t>1626773842723424-3137834-64-02</t>
    <phoneticPr fontId="1" type="noConversion"/>
  </si>
  <si>
    <t>1626773842526388-3137762-56-02</t>
    <phoneticPr fontId="1" type="noConversion"/>
  </si>
  <si>
    <t>SC2021072000073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</si>
  <si>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</si>
  <si>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</si>
  <si>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</si>
  <si>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1626942295015871-3509343-78-01</t>
    <phoneticPr fontId="1" type="noConversion"/>
  </si>
  <si>
    <t>1626942294643827-3513630-67-02</t>
  </si>
  <si>
    <t>TS0116_00_20210722082454_87972</t>
  </si>
  <si>
    <t>{"requestModel":{"header":{"msgNo":"TS0116_00_20210722082454_87972","txnCode":"A121021","txnTime":"2021-07-22 08:24:54","senderCode":"TS0116_00","receiverCode":"UP0090_00","operatorCode":"20925","unitCode":"0130"},"requestBody":{"funcId":"01","criteria":{"circiKey":"HD30152779","propertyTypeCode":"0","partyCertNo":"HD30152779","partyCertDate":"1994-01-07"},"dataSet":[{"contactEnglishAddrCountryCode":"TW","contactEnglishAddr":"NO. 18,BEIYUAN RD.,ZHONGLI DIST.,","contactEnglishAddrAdminArea":"TAOYUAN CITY"}]}},"resultCode":"UP0090_00_V201","resultDescription":"必要性檢核錯誤","resultBody":null,"errorMessages":["檢查有誤，顧客ID已停用"]}</t>
  </si>
  <si>
    <t xml:space="preserve"> -&gt;HD30152779
Y-&gt;H900045389</t>
    <phoneticPr fontId="1" type="noConversion"/>
  </si>
  <si>
    <t>HD30152779(舊號)  --&gt;異動舊號issue
H900045389(新號)</t>
    <phoneticPr fontId="1" type="noConversion"/>
  </si>
  <si>
    <t>SC2021072200044</t>
    <phoneticPr fontId="1" type="noConversion"/>
  </si>
  <si>
    <t>1626947479673467-3525003-73-01</t>
  </si>
  <si>
    <t>TS0116_00_20210722191640_47921</t>
  </si>
  <si>
    <t>{"requestModel":{"header":{"msgNo":"TS0116_00_20210722191640_47921","txnCode":"createOrUpdateCustomerForNBS","txnTime":"2021-07-22 09:51:19","senderCode":"TS0116_00","receiverCode":"UP0090_00","operatorCode":"14475","unitCode":"0336","authorizerCode":"00903"},"requestBody":{"funcId":"01","criteria":{"circiKey":"NC01132649","propertyTypeCode":"0","partyCertNo":"NC01132649","partyCertDate":"1979-12-08"},"dataSet":[{"customerStatusCode":null,"txnPhone":"0939129342","nationalityCode":"2","contactPhone":"0939129342","email":"CROWEN1@HOTMAIL.COM","contactAddrPostalCode":"500","contactAddr":"中央路２之１號１樓","contactAddrAdminArea":"彰化市","contactAddrLocality":"彰化縣","contactTel":"0939129342","dgbasIndustryCode":"130200","ncbIndustryCode":"130200","residenceAddrLocality":"彰化縣","residenceAddr":"中央路２之１號１樓","residenceAddrPostalCode":"500","residenceAddrAdminArea":"彰化市","contactAddrCountryCode":"TW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</si>
  <si>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 xml:space="preserve"> -&gt;NC01132649
Y-&gt;N800093672</t>
    <phoneticPr fontId="1" type="noConversion"/>
  </si>
  <si>
    <t>N</t>
    <phoneticPr fontId="1" type="noConversion"/>
  </si>
  <si>
    <t xml:space="preserve"> -&gt;NC01132649(舊號)
Y-&gt;N800093672(新號)</t>
    <phoneticPr fontId="1" type="noConversion"/>
  </si>
  <si>
    <t>重覆改號:
第一次:1159需求單RE11014350  08-7月 -21 04.19.26.687748000 下午 &lt;BR&gt;&lt;/BR&gt;
第二次:信用卡系統變更，CIP通知修改 06-7月 -21 11.38.05.750270000 上午</t>
    <phoneticPr fontId="1" type="noConversion"/>
  </si>
  <si>
    <t>{"requestModel":{"header":{"msgNo":"TS0116_00_20210719163203_7821","txnCode":"A121021","txnTime":"2021-07-19 16:32:02","senderCode":"TS0116_00","receiverCode":"UP0090_00","operatorCode":"14475","unitCode":"0336"},"requestBody":{"funcId":"01","criteria":{"circiKey":"NC01132649","propertyTypeCode":"0","partyCertNo":"NC01132649","partyCertDate":"1979-12-08"},"dataSet":[{"residencePermitCertStartDate":"2021-05-19"}]}},"resultCode":"UP0090_00_V201","resultDescription":"必要性檢核錯誤","resultBody":null,"errorMessages":["檢查有誤，顧客ID已停用"]}</t>
    <phoneticPr fontId="1" type="noConversion"/>
  </si>
  <si>
    <t>前天的舊號又被打建檔交易  &lt;BR&gt;&lt;/BR&gt;
今天同步失敗:createOrUpdateCustomerForNBS  &lt;BR&gt;&lt;/BR&gt;
前天同步失敗:121021   &lt;BR&gt;&lt;/BR&gt;</t>
    <phoneticPr fontId="1" type="noConversion"/>
  </si>
  <si>
    <t>1626981400254109-3597622-29-02</t>
    <phoneticPr fontId="1" type="noConversion"/>
  </si>
  <si>
    <t>EM11005555</t>
    <phoneticPr fontId="1" type="noConversion"/>
  </si>
  <si>
    <t>1626947479647101-3525003-50-01</t>
    <phoneticPr fontId="1" type="noConversion"/>
  </si>
  <si>
    <t>NC01132649</t>
    <phoneticPr fontId="1" type="noConversion"/>
  </si>
  <si>
    <t>M222120746</t>
  </si>
  <si>
    <t>1626954243268081-3543027-91-01</t>
    <phoneticPr fontId="1" type="noConversion"/>
  </si>
  <si>
    <t>TS0116_00_20210722114353_37292</t>
    <phoneticPr fontId="1" type="noConversion"/>
  </si>
  <si>
    <t>1626954233114705-3543009-87-01</t>
    <phoneticPr fontId="1" type="noConversion"/>
  </si>
  <si>
    <t>昱彥已處理</t>
    <phoneticPr fontId="1" type="noConversion"/>
  </si>
  <si>
    <t>DONE</t>
    <phoneticPr fontId="1" type="noConversion"/>
  </si>
  <si>
    <t>1627294214586130-4258544-86-02</t>
    <phoneticPr fontId="1" type="noConversion"/>
  </si>
  <si>
    <t>1627294211928579-4267374-10-01</t>
  </si>
  <si>
    <t>TS0116_00_20210726101014_32062</t>
  </si>
  <si>
    <t>N</t>
    <phoneticPr fontId="1" type="noConversion"/>
  </si>
  <si>
    <t>此戶在CIFX未發現改號紀錄</t>
    <phoneticPr fontId="1" type="noConversion"/>
  </si>
  <si>
    <t>done</t>
    <phoneticPr fontId="1" type="noConversion"/>
  </si>
  <si>
    <t>為後續舊號異動交易，因已歸戶新號使用，故清除所有舊號未成功同步交易。</t>
    <phoneticPr fontId="1" type="noConversion"/>
  </si>
  <si>
    <t>SC2021072300014</t>
    <phoneticPr fontId="1" type="noConversion"/>
  </si>
  <si>
    <t>done</t>
    <phoneticPr fontId="1" type="noConversion"/>
  </si>
  <si>
    <t>done</t>
    <phoneticPr fontId="1" type="noConversion"/>
  </si>
  <si>
    <t>1627299051026301-4284179-52-02</t>
  </si>
  <si>
    <t>1627299051058038-4284179-12-02</t>
  </si>
  <si>
    <t>TS0116_00_20210726113051_40372</t>
  </si>
  <si>
    <t>{"requestModel":{"header":{"msgNo":"TS0116_00_20210726113051_40372","txnCode":"A101011","txnTime":"2021-07-26 11:30:50","senderCode":"TS0116_00","receiverCode":"UP0090_00","operatorCode":"16894","unitCode":"1034"},"requestBody":{"funcId":"01","criteria":{"circiKey":"X120012087","propertyTypeCode":"0","partyCertNo":"X120012087","partyCertDate":"1969-09-15"},"dataSet":[{"creationDptCode":"1034","customerName":"薛明松","selfBankSpecialServiceFlag":"00000","foreignExchangeRoleCode":"03","grownUpGuardianshipCode":"0","industryPropsTypeCode":"02","industryTypeCode":"10","performanceDptCode":"1034","partyEnglishName":"XUE MING SONG","nationalityCode":"0","refuseLoanReasonCode":"0","regCountryCode":"TW","incomeTaxTypeCode":"1","genderCode":"M","stopUseCustomerDataFlag":" ","agreeCrossSellingFlag":"N","companyTelExtension":null,"companyTel":"069261253","contactAddrPostalCode":"880","contactAddr":"西衛里１７鄰五福路５８號之９","contactAddrAdminArea":"馬公市","contactAddrLocality":"澎湖縣","contactTel":"069271685","dgbasIndustryCode":"061100","ncbIndustryCode":"060000","contactPhone":"0922909177","email":"a9266895@gmail.com","residenceAddrLocality":"澎湖縣","residenceAddr":"西衛里１７鄰五福路５８號之９","residenceAddrPostalCode":"880","residenceAddrAdminArea":"馬公市","serveCompanyCertNo":null,"serveCompanyName":"澎湖縣政府警察局馬公分局","jobTitle":"警務佐","contactAddrCountryCode":"TW","customerBirthday":"1969-09-15","residenceAddrCountryCode":"TW"}],"option":{"isReplyOverWrite":false,"isRemoval":false,"isCustConfirmation":true,"isRelationRemoval":false}}},"resultCode":"UP0090_00_V201","resultDescription":"必要性檢核錯誤","resultBody":null,"errorMessages":["DEL00000000000000917 顧客 TS0116_00 已刪除，但全行未刪除，無法進行異動建檔"]}</t>
  </si>
  <si>
    <t>N</t>
    <phoneticPr fontId="1" type="noConversion"/>
  </si>
  <si>
    <t>先前有刪除過紀錄</t>
    <phoneticPr fontId="1" type="noConversion"/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</si>
  <si>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</si>
  <si>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funcId=01, custName=null, companyEstablishDate=null, circiKey=S120368965, creditCardKey=null, certNo=S120368965, certDate=Fri Mar 07 00:00:00 GMT+08:00 1969,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goldenRecordItemContent=[C6, F3, F6]]], custType=null, relationRemoval=false]；CustCipIdentity:CustCipIdentity [custId=7554501, custType=P, certTypeCode=00, partyKind=P, oldRestart=false, customerTag=CustomerTag [custId=7554501, custType=P, removalPredicate=null, removalSystemCode=null, refToCustId=0, refDatetime=null, disabledDatetime=null, identityCertTypeCode=00, disabled=null, disabledSystemCode=null], idChangeState=null, creditCardKey=S120368965, circiKey=S120368965, birthDay=1969-03-07 00:00:00.0]；ServiceInterchange:ServiceInterchange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Exception : ]</t>
  </si>
  <si>
    <t>1627455268019786-4626289-87-02</t>
    <phoneticPr fontId="1" type="noConversion"/>
  </si>
  <si>
    <t>TS0116_00_20210728065427_0792</t>
  </si>
  <si>
    <t>{"requestModel":{"header":{"msgNo":"TS0116_00_20210728065427_0792","txnCode":"01","txnTime":"2021-07-28 06:54:26","senderCode":"TS0116_00","receiverCode":"UP0090_00","operatorCode":"ZZ","unitCode":"9004"},"requestBody":{"funcId":"01","criteria":{"circiKey":"S120368965","propertyTypeCode":"0","partyCertNo":"S120368965","partyCertDate":"1969-03-07"},"dataSet":[{"circiKey":"S120368965","personCertNo":"S120368965","propertyTypeCode":"0","customerKycTypeCode":["C6","F3","F6"],"customerBirthday":"1969-03-07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funcId=01, custName=null, companyEstablishDate=null, circiKey=S120368965, creditCardKey=null, certNo=S120368965, certDate=Fri Mar 07 00:00:00 GMT+08:00 1969,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goldenRecordItemContent=[C6, F3, F6]]], custType=null, relationRemoval=false]；CustCipIdentity:CustCipIdentity [custId=7554501, custType=P, certTypeCode=00, partyKind=P, oldRestart=false, customerTag=CustomerTag [custId=7554501, custType=P, removalPredicate=null, removalSystemCode=null, refToCustId=0, refDatetime=null, disabledDatetime=null, identityCertTypeCode=00, disabled=null, disabledSystemCode=null], idChangeState=null, creditCardKey=S120368965, circiKey=S120368965, birthDay=1969-03-07 00:00:00.0]；ServiceInterchange:ServiceInterchange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Exception : "]}</t>
  </si>
  <si>
    <t>1627455266907531-4626708-30-02</t>
    <phoneticPr fontId="1" type="noConversion"/>
  </si>
  <si>
    <t>S120368965</t>
    <phoneticPr fontId="1" type="noConversion"/>
  </si>
  <si>
    <t>cifx同步電文重覆發送</t>
    <phoneticPr fontId="1" type="noConversion"/>
  </si>
  <si>
    <t>EM11005595</t>
    <phoneticPr fontId="1" type="noConversion"/>
  </si>
  <si>
    <t>EM11005664</t>
    <phoneticPr fontId="1" type="noConversion"/>
  </si>
  <si>
    <t>1627455267527544-4617857-61-01</t>
    <phoneticPr fontId="1" type="noConversion"/>
  </si>
  <si>
    <t>done</t>
    <phoneticPr fontId="1" type="noConversion"/>
  </si>
  <si>
    <t>SC2021073000002</t>
    <phoneticPr fontId="1" type="noConversion"/>
  </si>
  <si>
    <t>done</t>
    <phoneticPr fontId="1" type="noConversion"/>
  </si>
  <si>
    <t>1627643279318796-5037692-66-01</t>
    <phoneticPr fontId="1" type="noConversion"/>
  </si>
  <si>
    <t>1627643249182744-5037692-19-01</t>
  </si>
  <si>
    <t>1626954233070487-3543016-80-01</t>
    <phoneticPr fontId="1" type="noConversion"/>
  </si>
  <si>
    <t>N</t>
    <phoneticPr fontId="1" type="noConversion"/>
  </si>
  <si>
    <t>N</t>
    <phoneticPr fontId="1" type="noConversion"/>
  </si>
  <si>
    <t>1627643249148783-5037679-15-01</t>
    <phoneticPr fontId="1" type="noConversion"/>
  </si>
  <si>
    <t>EM11005722</t>
    <phoneticPr fontId="1" type="noConversion"/>
  </si>
  <si>
    <t>確認CIP沒有收到電文
需要向ESIP確認是否有收到
電文需要重送</t>
    <phoneticPr fontId="1" type="noConversion"/>
  </si>
  <si>
    <t>TS0116_00_20210730110729_91361</t>
    <phoneticPr fontId="1" type="noConversion"/>
  </si>
  <si>
    <t>done</t>
    <phoneticPr fontId="1" type="noConversion"/>
  </si>
  <si>
    <t>X120012087</t>
    <phoneticPr fontId="1" type="noConversion"/>
  </si>
  <si>
    <t>A125266121</t>
    <phoneticPr fontId="1" type="noConversion"/>
  </si>
  <si>
    <t>{"requestModel":{"header":{"msgNo":"TS0116_00_20210726101014_32062","txnCode":"DpA05Td002501B01","txnTime":"2021-07-26 10:10:11","senderCode":"TS0116_00","receiverCode":"UP0090_00","operatorCode":"TLR99","unitCode":"9004"},"requestBody":{"funcId":"01","criteria":{"circiKey":"B220080544","propertyTypeCode":"0","partyCertNo":"B220080544","partyCertDate":"1971-01-12"},"dataSet":[{"customerStatusCode":null,"customerKycTypeCode":[]}]}},"resultCode":"UP0090_00_V201","resultDescription":"必要性檢核錯誤","resultBody":null,"errorMessages":["檢查有誤，顧客ID已停用"]}</t>
    <phoneticPr fontId="1" type="noConversion"/>
  </si>
  <si>
    <t>1627933999936801-5659700-43-01</t>
    <phoneticPr fontId="1" type="noConversion"/>
  </si>
  <si>
    <t>1627933999472694-5659682-21-01</t>
  </si>
  <si>
    <t>1627933999773799-5659694-41-01</t>
  </si>
  <si>
    <t>TS0116_00_20210802195319_89412</t>
  </si>
  <si>
    <t>{"requestModel":{"header":{"msgNo":"TS0116_00_20210802195319_89412","txnCode":"A123012","txnTime":"2021-08-02 19:53:19","senderCode":"TS0116_00","receiverCode":"UP0090_00","operatorCode":"20045","unitCode":"C180"},"requestBody":{"funcId":"01","criteria":{"circiKey":"OC30050185","propertyTypeCode":"0","partyCertNo":"OC30050185","partyCertDate":"1985-02-18"},"dataSet":[{"customerKycTypeCode":[]}]}},"resultCode":"UP0090_00_V201","resultDescription":"必要性檢核錯誤","resultBody":null,"errorMessages":["檢查有誤，顧客ID已停用"]}</t>
  </si>
  <si>
    <t xml:space="preserve"> -&gt;OC30050185
Y-&gt;O800000428</t>
    <phoneticPr fontId="1" type="noConversion"/>
  </si>
  <si>
    <t>N</t>
    <phoneticPr fontId="1" type="noConversion"/>
  </si>
  <si>
    <t>1627933951343531-5652187-77-02</t>
    <phoneticPr fontId="1" type="noConversion"/>
  </si>
  <si>
    <t>1627933950941096-5652084-63-02</t>
  </si>
  <si>
    <t>1627933951198874-5652088-75-02</t>
  </si>
  <si>
    <t>TS0116_00_20210802195231_76571</t>
  </si>
  <si>
    <t>{"requestModel":{"header":{"msgNo":"TS0116_00_20210802195231_76571","txnCode":"A123012","txnTime":"2021-08-02 19:52:30","senderCode":"TS0116_00","receiverCode":"UP0090_00","operatorCode":"07384","unitCode":"C180"},"requestBody":{"funcId":"01","criteria":{"circiKey":"OC30017215","propertyTypeCode":"0","partyCertNo":"OC30017215","partyCertDate":"1986-03-23"},"dataSet":[{"customerKycTypeCode":[]}]}},"resultCode":"UP0090_00_V201","resultDescription":"必要性檢核錯誤","resultBody":null,"errorMessages":["檢查有誤，顧客ID已停用"]}</t>
  </si>
  <si>
    <t xml:space="preserve"> -&gt;OC30017215
Y-&gt;O800015116</t>
    <phoneticPr fontId="1" type="noConversion"/>
  </si>
  <si>
    <t>N</t>
    <phoneticPr fontId="1" type="noConversion"/>
  </si>
  <si>
    <t>1627933862466211-5652171-80-02</t>
    <phoneticPr fontId="1" type="noConversion"/>
  </si>
  <si>
    <t>1627933861982208-5659744-47-01</t>
  </si>
  <si>
    <t>1627933862257776-5652108-66-02</t>
  </si>
  <si>
    <t>TS0116_00_20210802195102_72022</t>
  </si>
  <si>
    <t>{"requestModel":{"header":{"msgNo":"TS0116_00_20210802195102_72022","txnCode":"A123012","txnTime":"2021-08-02 19:51:01","senderCode":"TS0116_00","receiverCode":"UP0090_00","operatorCode":"07384","unitCode":"C180"},"requestBody":{"funcId":"01","criteria":{"circiKey":"IC00113187","propertyTypeCode":"0","partyCertNo":"IC00113187","partyCertDate":"1976-06-13"},"dataSet":[{"customerKycTypeCode":[]}]}},"resultCode":"UP0090_00_V201","resultDescription":"必要性檢核錯誤","resultBody":null,"errorMessages":["檢查有誤，顧客ID已停用"]}</t>
  </si>
  <si>
    <t xml:space="preserve"> -&gt;IC00113187
Y-&gt;I800001700</t>
    <phoneticPr fontId="1" type="noConversion"/>
  </si>
  <si>
    <t>1627933724915229-5651974-66-02</t>
    <phoneticPr fontId="1" type="noConversion"/>
  </si>
  <si>
    <t>1627933724341583-5659436-44-01</t>
  </si>
  <si>
    <t>1627933724674159-5659472-52-01</t>
  </si>
  <si>
    <t>TS0116_00_20210802194844_76271</t>
  </si>
  <si>
    <t>{"requestModel":{"header":{"msgNo":"TS0116_00_20210802194844_76271","txnCode":"A123012","txnTime":"2021-08-02 19:48:44","senderCode":"TS0116_00","receiverCode":"UP0090_00","operatorCode":"07384","unitCode":"C180"},"requestBody":{"funcId":"01","criteria":{"circiKey":"QD30046683","propertyTypeCode":"0","partyCertNo":"QD30046683","partyCertDate":"1962-01-08"},"dataSet":[{"customerKycTypeCode":["A8","B8"]}]}},"resultCode":"UP0090_00_V201","resultDescription":"必要性檢核錯誤","resultBody":null,"errorMessages":["檢查有誤，顧客ID已停用"]}</t>
  </si>
  <si>
    <t xml:space="preserve"> -&gt;QD30046683
Y-&gt;Q900008695</t>
    <phoneticPr fontId="1" type="noConversion"/>
  </si>
  <si>
    <t>EM11005817</t>
    <phoneticPr fontId="1" type="noConversion"/>
  </si>
  <si>
    <t>done</t>
    <phoneticPr fontId="1" type="noConversion"/>
  </si>
  <si>
    <t>done</t>
    <phoneticPr fontId="1" type="noConversion"/>
  </si>
  <si>
    <t>SC2021073000047</t>
    <phoneticPr fontId="1" type="noConversion"/>
  </si>
  <si>
    <t>1627982818193645-5765794-69-02</t>
    <phoneticPr fontId="1" type="noConversion"/>
  </si>
  <si>
    <t>1627982817717308-5765761-29-02</t>
  </si>
  <si>
    <t>1627982818054246-5765737-51-02</t>
  </si>
  <si>
    <t>TS0116_00_20210803092658_99261</t>
  </si>
  <si>
    <t>{"requestModel":{"header":{"msgNo":"TS0116_00_20210803092658_99261","txnCode":"A123012","txnTime":"2021-08-03 09:26:57","senderCode":"TS0116_00","receiverCode":"UP0090_00","operatorCode":"07384","unitCode":"C180"},"requestBody":{"funcId":"01","criteria":{"circiKey":"OD30094223","propertyTypeCode":"0","partyCertNo":"OD30094223","partyCertDate":"1987-09-22"},"dataSet":[{"customerKycTypeCode":[]}]}},"resultCode":"UP0090_00_V201","resultDescription":"必要性檢核錯誤","resultBody":null,"errorMessages":["檢查有誤，顧客ID已停用"]}</t>
  </si>
  <si>
    <t xml:space="preserve"> -&gt;OD30094223
Y-&gt;O900000626</t>
    <phoneticPr fontId="1" type="noConversion"/>
  </si>
  <si>
    <t>N</t>
    <phoneticPr fontId="1" type="noConversion"/>
  </si>
  <si>
    <t>發送異動通知電文給CIP回傳錯誤碼:UP0090_00_V201,錯誤碼訊息:必要性檢核錯誤,錯誤訊息:[DEL00000000000000927 顧客 TS0116_00 已刪除，但全行未刪除，無法進行異動建檔]</t>
  </si>
  <si>
    <t>1627997006854523-5799135-69-01</t>
    <phoneticPr fontId="1" type="noConversion"/>
  </si>
  <si>
    <t>1627997006617753-5791814-88-02</t>
  </si>
  <si>
    <t>1627997006652199-5791814-44-02</t>
  </si>
  <si>
    <t>TS0116_00_20210803132326_39722</t>
  </si>
  <si>
    <t>{"requestModel":{"header":{"msgNo":"TS0116_00_20210803132326_39722","txnCode":"A101011","txnTime":"2021-08-03 13:23:26","senderCode":"TS0116_00","receiverCode":"UP0090_00","operatorCode":"93565","unitCode":"0750"},"requestBody":{"funcId":"01","criteria":{"circiKey":"T123959692","propertyTypeCode":"0","partyCertNo":"T123959692","partyCertDate":"1990-06-20"},"dataSet":[{"creationDptCode":"0750","customerName":"涂任萱","selfBankSpecialServiceFlag":"00000","foreignExchangeRoleCode":"03","grownUpGuardianshipCode":"0","industryPropsTypeCode":"02","industryTypeCode":"10","performanceDptCode":"0750","partyEnglishName":"TU REN XUAN","nationalityCode":"0","refuseLoanReasonCode":"0","regCountryCode":"TW","incomeTaxTypeCode":"1","genderCode":"M","stopUseCustomerDataFlag":" ","agreeCrossSellingFlag":"N","companyTelExtension":null,"companyTel":"035552922","contactAddrPostalCode":"302","contactAddr":"福興路７５７號","contactAddrAdminArea":"竹北市","contactAddrLocality":"新竹縣","contactTel":"087813451","dgbasIndustryCode":"061100","ncbIndustryCode":"060000","contactPhone":"0932833040","email":"TODD79620@HOTMAIL.COM","residenceAddrLocality":"屏東縣","residenceAddr":"四春里１９鄰潮義路４４３號","residenceAddrPostalCode":"920","residenceAddrAdminArea":"潮州鎮","serveCompanyCertNo":null,"serveCompanyName":"新竹縣政府消防局第一大隊竹北分隊","jobTitle":"消防員","contactAddrCountryCode":"TW","customerBirthday":"1990-06-20","residenceAddrCountryCode":"TW"}],"option":{"isReplyOverWrite":false,"isRemoval":false,"isCustConfirmation":true,"isRelationRemoval":false}}},"resultCode":"UP0090_00_V201","resultDescription":"必要性檢核錯誤","resultBody":null,"errorMessages":["DEL00000000000000927 顧客 TS0116_00 已刪除，但全行未刪除，無法進行異動建檔"]}</t>
  </si>
  <si>
    <t>Y</t>
    <phoneticPr fontId="1" type="noConversion"/>
  </si>
  <si>
    <t>N</t>
    <phoneticPr fontId="1" type="noConversion"/>
  </si>
  <si>
    <t>基中:
這戶應該我歸完戶你們清除失敗註記就好了
CIP已歸戶完成</t>
    <phoneticPr fontId="1" type="noConversion"/>
  </si>
  <si>
    <t>發送異動通知電文給CIP回傳錯誤碼:UP0090_00_V201,錯誤碼訊息:必要性檢核錯誤,錯誤訊息:[DEL00000000000000917 顧客 TS0116_00 已刪除，但全行未刪除，無法進行異動建檔]</t>
    <phoneticPr fontId="1" type="noConversion"/>
  </si>
  <si>
    <t>1627299051329244-4274466-44-01</t>
    <phoneticPr fontId="1" type="noConversion"/>
  </si>
  <si>
    <t>SC2021080500002</t>
    <phoneticPr fontId="1" type="noConversion"/>
  </si>
  <si>
    <t>DONE</t>
    <phoneticPr fontId="1" type="noConversion"/>
  </si>
  <si>
    <t>DONE</t>
    <phoneticPr fontId="1" type="noConversion"/>
  </si>
  <si>
    <t>發送異動通知電文，未回傳resultCode!!</t>
  </si>
  <si>
    <t>1628246787961917-6355516-94-02</t>
  </si>
  <si>
    <t>H121611270</t>
  </si>
  <si>
    <t>1628246818070787-6355721-74-02</t>
    <phoneticPr fontId="1" type="noConversion"/>
  </si>
  <si>
    <t>TS0116_00_20210806104628_99061</t>
    <phoneticPr fontId="1" type="noConversion"/>
  </si>
  <si>
    <t>確認同步電文CIP沒有收到同步電文，擬申請重送文</t>
    <phoneticPr fontId="1" type="noConversion"/>
  </si>
  <si>
    <t>done</t>
    <phoneticPr fontId="1" type="noConversion"/>
  </si>
  <si>
    <t>SC2021080600020</t>
    <phoneticPr fontId="1" type="noConversion"/>
  </si>
  <si>
    <t>done</t>
    <phoneticPr fontId="1" type="noConversion"/>
  </si>
  <si>
    <t>1623878161677685-6813430-61-02</t>
    <phoneticPr fontId="1" type="noConversion"/>
  </si>
  <si>
    <t>1623877918290833-6812203-36-01</t>
    <phoneticPr fontId="1" type="noConversion"/>
  </si>
  <si>
    <t>SC2021042600044</t>
    <phoneticPr fontId="1" type="noConversion"/>
  </si>
  <si>
    <t>SC2021042800005</t>
    <phoneticPr fontId="1" type="noConversion"/>
  </si>
  <si>
    <t>發送異動通知電文，未回傳resultCode!!,回傳代碼描述:,錯誤訊息:[]</t>
    <phoneticPr fontId="1" type="noConversion"/>
  </si>
  <si>
    <t>1628246787911995-6355435-87-02</t>
    <phoneticPr fontId="1" type="noConversion"/>
  </si>
  <si>
    <t>發送異動通知電文給CIP回傳錯誤碼:UP0090_00_V201</t>
  </si>
  <si>
    <t>1628788218765707-7529395-34-01</t>
    <phoneticPr fontId="1" type="noConversion"/>
  </si>
  <si>
    <t>EM11006066</t>
    <phoneticPr fontId="1" type="noConversion"/>
  </si>
  <si>
    <t>1628788214143009-7520926-23-02</t>
  </si>
  <si>
    <t>1628788214144775-7520926-26-02</t>
  </si>
  <si>
    <t>TS0116_00_20210812171018_20971</t>
  </si>
  <si>
    <t>{"requestModel":{"header":{"msgNo":"TS0116_00_20210812171018_20971","txnCode":"DpA05Td002502B01","txnTime":"2021-08-12 17:10:14","senderCode":"TS0116_00","receiverCode":"UP0090_00","operatorCode":"TLR99","unitCode":"9004"},"requestBody":{"funcId":"01","criteria":{"circiKey":"AB20053106","propertyTypeCode":"0","partyCertNo":"AB20053106","partyCertDate":"1970-01-22"},"dataSet":[{"customerStatusCode":"54","customerKycTypeCode":["F2"]}]}},"resultCode":"UP0090_00_V201","resultDescription":"必要性檢核錯誤","resultBody":null,"errorMessages":["檢查有誤，顧客ID已停用"]}</t>
    <phoneticPr fontId="1" type="noConversion"/>
  </si>
  <si>
    <t xml:space="preserve"> -&gt;AB20053106
Y-&gt;A290184136</t>
    <phoneticPr fontId="1" type="noConversion"/>
  </si>
  <si>
    <t>AB20053106</t>
    <phoneticPr fontId="1" type="noConversion"/>
  </si>
  <si>
    <t>N</t>
    <phoneticPr fontId="1" type="noConversion"/>
  </si>
  <si>
    <t>1628784920771187-7525705-54-01</t>
    <phoneticPr fontId="1" type="noConversion"/>
  </si>
  <si>
    <t>1628784920523624-7516574-34-02</t>
  </si>
  <si>
    <t>1628784920606089-7525528-39-01</t>
  </si>
  <si>
    <t>TS0116_00_20210812161520_12522</t>
  </si>
  <si>
    <t>{"requestModel":{"header":{"msgNo":"TS0116_00_20210812161520_12522","txnCode":"NT1529","txnTime":"2021-08-12 16:15:20","senderCode":"TS0116_00","receiverCode":"UP0090_00","operatorCode":"TS0116_00","unitCode":"9004"},"requestBody":{"funcId":"01","criteria":{"circiKey":"AC30319186","propertyTypeCode":"0","partyCertNo":"AC30319186","partyCertDate":"1977-11-26"},"dataSet":[{"email":"sheisaguy@yahoo.co.jp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</si>
  <si>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AC30319186</t>
    <phoneticPr fontId="1" type="noConversion"/>
  </si>
  <si>
    <t xml:space="preserve"> -&gt;AC30319186
Y-&gt;A800113918
</t>
    <phoneticPr fontId="1" type="noConversion"/>
  </si>
  <si>
    <t>HD30152779</t>
    <phoneticPr fontId="1" type="noConversion"/>
  </si>
  <si>
    <t>B220080544</t>
    <phoneticPr fontId="1" type="noConversion"/>
  </si>
  <si>
    <t>史瑞鈴</t>
    <phoneticPr fontId="1" type="noConversion"/>
  </si>
  <si>
    <t>juiling-21991@email.esunbank.com.tw</t>
    <phoneticPr fontId="1" type="noConversion"/>
  </si>
  <si>
    <t>春娥:
分行做的業管應該無法釐清原因
，故清除同步失敗註記</t>
    <phoneticPr fontId="1" type="noConversion"/>
  </si>
  <si>
    <t>EM11006066</t>
    <phoneticPr fontId="1" type="noConversion"/>
  </si>
  <si>
    <t xml:space="preserve">
SC2021081300023</t>
    <phoneticPr fontId="1" type="noConversion"/>
  </si>
  <si>
    <t>1629128460612018-8262941-34-01</t>
    <phoneticPr fontId="1" type="noConversion"/>
  </si>
  <si>
    <t>TS0116_00_20210816154100_71661</t>
  </si>
  <si>
    <t>contactAddrCountryCode:"TW"</t>
  </si>
  <si>
    <t>customerBirthday:"2021-08-12"}]}}</t>
  </si>
  <si>
    <t>resultCode:"UP0090_00_V201"</t>
  </si>
  <si>
    <t>resultDescription:"必要性檢核錯誤"</t>
  </si>
  <si>
    <t>resultBody:null</t>
  </si>
  <si>
    <t>errorMessages:["CIP顧客識別取號:當系統為TS0116_00時顧客姓名不可為空值"]}</t>
  </si>
  <si>
    <t>{"requestModel":{"header":{"msgNo":"TS0116_00_20210816154100_71661","txnCode":"createOrUpdateCustomerForNBS","txnTime":"2021-08-16 15:41:00","senderCode":"TS0116_00","receiverCode":"UP0090_00","operatorCode":"14679","unitCode":"1403","authorizerCode":"06091"},"requestBody":{"funcId":"01","criteria":{"circiKey":"Q12179702A","propertyTypeCode":"0","partyCertNo":"Q121797020","partyCertDate":"2021-08-12"},"dataSet":[{"customerStatusCode":null,"contactPhone":"0916120256","contactAddrPostalCode":"709","contactAddr":"館安路６３巷２８號","contactAddrAdminArea":"安南區","contactAddrLocality":"臺南市","dgbasIndustryCode":"061700","ncbIndustryCode":"060000","contactAddrCountryCode":"TW","customerBirthday":"2021-08-12"}]}},"resultCode":"UP0090_00_V201","resultDescription":"必要性檢核錯誤","resultBody":null,"errorMessages":["CIP顧客識別取號:當系統為TS0116_00時顧客姓名不可為空值"]}</t>
    <phoneticPr fontId="1" type="noConversion"/>
  </si>
  <si>
    <t>N</t>
    <phoneticPr fontId="1" type="noConversion"/>
  </si>
  <si>
    <t>N</t>
    <phoneticPr fontId="1" type="noConversion"/>
  </si>
  <si>
    <t>TS0116_00_20210816195938_25622</t>
  </si>
  <si>
    <t>F224128521</t>
  </si>
  <si>
    <t>發送異動通知電文給CIP回傳錯誤碼:UP0090_00_V201</t>
    <phoneticPr fontId="1" type="noConversion"/>
  </si>
  <si>
    <t>發送異動通知電文給CIP回傳錯誤碼:UP0090_00_V201</t>
    <phoneticPr fontId="1" type="noConversion"/>
  </si>
  <si>
    <t>發送異動通知電文，未回傳resultCode!!</t>
    <phoneticPr fontId="1" type="noConversion"/>
  </si>
  <si>
    <t>經確認未收到該筆電文資訊，</t>
    <phoneticPr fontId="1" type="noConversion"/>
  </si>
  <si>
    <t>EM11005937</t>
    <phoneticPr fontId="1" type="noConversion"/>
  </si>
  <si>
    <t>SC2021081300023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</si>
  <si>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</si>
  <si>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</si>
  <si>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</si>
  <si>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</si>
  <si>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1629143978818332-8290314-35-01</t>
    <phoneticPr fontId="1" type="noConversion"/>
  </si>
  <si>
    <t xml:space="preserve">亮維:
該戶為A檔資料為聯徵建檔，
因資料重新歸戶需求進行CIP A檔資料與信用卡資料斷連結，
故導致CIFX同步CIP資料異常，
後續將進行重新歸戶作業，
請協助清除該戶同步失敗註記，
</t>
    <phoneticPr fontId="1" type="noConversion"/>
  </si>
  <si>
    <t>1629128460386220-8261410-24-02</t>
    <phoneticPr fontId="1" type="noConversion"/>
  </si>
  <si>
    <t>EM11006141</t>
    <phoneticPr fontId="1" type="noConversion"/>
  </si>
  <si>
    <t>EM11006145</t>
    <phoneticPr fontId="1" type="noConversion"/>
  </si>
  <si>
    <t>1629143978703229-8302698-33-02</t>
    <phoneticPr fontId="1" type="noConversion"/>
  </si>
  <si>
    <t>發送顧客刪除電文給CIP回傳錯誤碼:UP0090_00_V401</t>
  </si>
  <si>
    <t>1629191977427727-8404507-88-02</t>
    <phoneticPr fontId="1" type="noConversion"/>
  </si>
  <si>
    <t>1629130467632471-8265323-09-01</t>
  </si>
  <si>
    <t>TS0116_00_20210817091937_35522</t>
  </si>
  <si>
    <t>1629128460363266-8261410-07-02</t>
    <phoneticPr fontId="1" type="noConversion"/>
  </si>
  <si>
    <t>1629130467499970-8265323-33-01</t>
    <phoneticPr fontId="1" type="noConversion"/>
  </si>
  <si>
    <t>DONE</t>
    <phoneticPr fontId="1" type="noConversion"/>
  </si>
  <si>
    <t>SC2021081700002</t>
    <phoneticPr fontId="1" type="noConversion"/>
  </si>
  <si>
    <t>Q12179702A</t>
    <phoneticPr fontId="1" type="noConversion"/>
  </si>
  <si>
    <t>Q12179702A</t>
    <phoneticPr fontId="1" type="noConversion"/>
  </si>
  <si>
    <t>為空除交易 將資料搬到his</t>
    <phoneticPr fontId="1" type="noConversion"/>
  </si>
  <si>
    <t>EM11005817</t>
    <phoneticPr fontId="1" type="noConversion"/>
  </si>
  <si>
    <t>OC30050185</t>
    <phoneticPr fontId="1" type="noConversion"/>
  </si>
  <si>
    <t>OC30017215</t>
    <phoneticPr fontId="1" type="noConversion"/>
  </si>
  <si>
    <t>IC00113187</t>
    <phoneticPr fontId="1" type="noConversion"/>
  </si>
  <si>
    <t>QD30046683</t>
    <phoneticPr fontId="1" type="noConversion"/>
  </si>
  <si>
    <t>OD30094223</t>
    <phoneticPr fontId="1" type="noConversion"/>
  </si>
  <si>
    <t>T123959692</t>
    <phoneticPr fontId="1" type="noConversion"/>
  </si>
  <si>
    <t>春娥:直接清除同步失敗註記。</t>
    <phoneticPr fontId="1" type="noConversion"/>
  </si>
  <si>
    <t>SC2021081700024</t>
    <phoneticPr fontId="1" type="noConversion"/>
  </si>
  <si>
    <t>EM11005836</t>
    <phoneticPr fontId="1" type="noConversion"/>
  </si>
  <si>
    <t>EM11005844</t>
    <phoneticPr fontId="1" type="noConversion"/>
  </si>
  <si>
    <t>EM11005526</t>
    <phoneticPr fontId="1" type="noConversion"/>
  </si>
  <si>
    <t>1626942294786669-3509294-74-01</t>
    <phoneticPr fontId="1" type="noConversion"/>
  </si>
  <si>
    <t>EM11005595</t>
    <phoneticPr fontId="1" type="noConversion"/>
  </si>
  <si>
    <t>1627294211934319-4267374-13-01</t>
    <phoneticPr fontId="1" type="noConversion"/>
  </si>
  <si>
    <t>done</t>
    <phoneticPr fontId="1" type="noConversion"/>
  </si>
  <si>
    <t>done</t>
    <phoneticPr fontId="1" type="noConversion"/>
  </si>
  <si>
    <t>SC2021081700031</t>
    <phoneticPr fontId="1" type="noConversion"/>
  </si>
  <si>
    <t>1629292747105001-8635129-39-01</t>
    <phoneticPr fontId="1" type="noConversion"/>
  </si>
  <si>
    <t>TS0116_00_20210818131837_3161</t>
  </si>
  <si>
    <t>AD02081295</t>
  </si>
  <si>
    <t>1629292716919185-8635103-93-01</t>
    <phoneticPr fontId="1" type="noConversion"/>
  </si>
  <si>
    <t>EM11006198</t>
    <phoneticPr fontId="1" type="noConversion"/>
  </si>
  <si>
    <t>1629292717002379-8626045-07-02</t>
    <phoneticPr fontId="1" type="noConversion"/>
  </si>
  <si>
    <t>1629309777720241-8674384-29-01</t>
    <phoneticPr fontId="1" type="noConversion"/>
  </si>
  <si>
    <t>1629309777323555-8665118-96-02</t>
  </si>
  <si>
    <t>1629309777455819-8674455-15-01</t>
  </si>
  <si>
    <t>TS0116_00_20210818180257_3961</t>
  </si>
  <si>
    <t>AC02687062</t>
  </si>
  <si>
    <t>{"requestModel":{"header":{"msgNo":"TS0116_00_20210818180257_3961","txnCode":"01","txnTime":"2021-08-18 18:02:57","senderCode":"TS0116_00","receiverCode":"UP0090_00","operatorCode":"ZZ","unitCode":"9004"},"requestBody":{"funcId":"01","criteria":{"circiKey":"AC02687062","propertyTypeCode":"0","partyCertNo":"AC02687062","partyCertDate":"1976-11-01"},"dataSet":[{"dmSaleFlag":"Y","phoneSaleFlag":"Y","residencePermitCertStartDate":"2012-08-03"}],"option":{"isReplyOverWrite":true,"isRemoval":false,"isCustConfirmation":false,"isRelationRemoval":false}}},"resultCode":"UP0090_00_V201","resultDescription":"必要性檢核錯誤","resultBody":null,"errorMessages":["檢查有誤，顧客ID已停用"]}</t>
    <phoneticPr fontId="1" type="noConversion"/>
  </si>
  <si>
    <t xml:space="preserve"> -&gt;AC02687062
Y-&gt;A800042227</t>
    <phoneticPr fontId="1" type="noConversion"/>
  </si>
  <si>
    <t>N</t>
    <phoneticPr fontId="1" type="noConversion"/>
  </si>
  <si>
    <t>SC2021081700024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</si>
  <si>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</si>
  <si>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</si>
  <si>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</si>
  <si>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SC2021081700024</t>
    <phoneticPr fontId="1" type="noConversion"/>
  </si>
  <si>
    <t>done</t>
    <phoneticPr fontId="1" type="noConversion"/>
  </si>
  <si>
    <t>SC2021081700025</t>
    <phoneticPr fontId="1" type="noConversion"/>
  </si>
  <si>
    <t>SC2021081700028</t>
    <phoneticPr fontId="1" type="noConversion"/>
  </si>
  <si>
    <t>SC2021081700004</t>
    <phoneticPr fontId="1" type="noConversion"/>
  </si>
  <si>
    <t>SC2021081800041</t>
    <phoneticPr fontId="1" type="noConversion"/>
  </si>
  <si>
    <t>SC2021081700034</t>
    <phoneticPr fontId="1" type="noConversion"/>
  </si>
  <si>
    <t>{"requestModel":{"header":{"msgNo":"TS0116_00_20210817091937_35522","txnCode":"A12105","txnTime":"2021-08-16 16:14:27","senderCode":"TS0116_00","receiverCode":"UP0090_00","operatorCode":"14679","unitCode":"1403"},"requestBody":{"funcId":"01","criteria":{"circiKey":"Q12179702A","propertyTypeCode":"0","partyCertNo":"Q121797020","partyCertDate":"2021-08-12"},"option":{"isReplyOverWrite":false,"isRemoval":true,"isCustConfirmation":false,"isRelationRemoval":false}}},"resultCode":"UP0090_00_V401","resultDescription":"關聯檢核錯誤","resultBody":null,"errorMessages":["檢查有誤，查無符合顧客"]}</t>
    <phoneticPr fontId="1" type="noConversion"/>
  </si>
  <si>
    <t>SC2021060400049</t>
    <phoneticPr fontId="1" type="noConversion"/>
  </si>
  <si>
    <t>SC2021051400021</t>
    <phoneticPr fontId="1" type="noConversion"/>
  </si>
  <si>
    <t>EM11006157</t>
    <phoneticPr fontId="1" type="noConversion"/>
  </si>
  <si>
    <t xml:space="preserve">昨天進行CIP先前有信用卡批次的補覆蓋作業，
因補覆蓋的資料來源是2019-11-26的資料，故當時該名顧客應尚未改號，
所以才會覆蓋舊的ID資料給CIFX，
麻煩請協助將該戶資料的同步失敗註記清除，
謝謝
</t>
    <phoneticPr fontId="1" type="noConversion"/>
  </si>
  <si>
    <t>EM11006212</t>
    <phoneticPr fontId="1" type="noConversion"/>
  </si>
  <si>
    <t>SC2021081900037</t>
    <phoneticPr fontId="1" type="noConversion"/>
  </si>
  <si>
    <t>1629394495646300-8858372-95-01</t>
    <phoneticPr fontId="1" type="noConversion"/>
  </si>
  <si>
    <t>1629394495335414-8849015-62-02</t>
  </si>
  <si>
    <t>1629394495427708-8858291-81-01</t>
  </si>
  <si>
    <t>TS0116_00_20210819173455_45131</t>
  </si>
  <si>
    <t>{"requestModel":{"header":{"msgNo":"TS0116_00_20210819173455_45131","txnCode":"01","txnTime":"2021-08-19 17:34:55","senderCode":"TS0116_00","receiverCode":"UP0090_00","operatorCode":"ZZ","unitCode":"9004"},"requestBody":{"funcId":"01","criteria":{"circiKey":"AA30208915","propertyTypeCode":"0","partyCertNo":"AA30208915","partyCertDate":"1975-08-09"},"dataSet":[{"emailSaleFlag":"Y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</si>
  <si>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1629394408758046-8849067-55-02</t>
    <phoneticPr fontId="1" type="noConversion"/>
  </si>
  <si>
    <t>1629394408396704-8849015-22-02</t>
  </si>
  <si>
    <t>1629394408504307-8858269-39-01</t>
  </si>
  <si>
    <t>TS0116_00_20210819173328_33721</t>
  </si>
  <si>
    <t>{"requestModel":{"header":{"msgNo":"TS0116_00_20210819173328_33721","txnCode":"01","txnTime":"2021-08-19 17:33:28","senderCode":"TS0116_00","receiverCode":"UP0090_00","operatorCode":"ZZ","unitCode":"9004"},"requestBody":{"funcId":"01","criteria":{"circiKey":"EC30074088","propertyTypeCode":"0","partyCertNo":"EC30074088","partyCertDate":"1960-05-25"},"dataSet":[{"residencePermitCertStartDate":"2015-09-18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</si>
  <si>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1629394304112674-8858292-71-01</t>
    <phoneticPr fontId="1" type="noConversion"/>
  </si>
  <si>
    <t>1629394303736301-8848996-35-02</t>
  </si>
  <si>
    <t>1629394303819602-8858291-55-01</t>
  </si>
  <si>
    <t>TS0116_00_20210819173143_26711</t>
  </si>
  <si>
    <t>{"requestModel":{"header":{"msgNo":"TS0116_00_20210819173143_26711","txnCode":"01","txnTime":"2021-08-19 17:31:43","senderCode":"TS0116_00","receiverCode":"UP0090_00","operatorCode":"ZZ","unitCode":"9004"},"requestBody":{"funcId":"01","criteria":{"circiKey":"AC30170456","propertyTypeCode":"0","partyCertNo":"AC30170456","partyCertDate":"1970-12-23"},"dataSet":[{"dmSaleFlag":"Y","phoneSaleFlag":"Y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</si>
  <si>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1629394275616452-8858372-33-01</t>
    <phoneticPr fontId="1" type="noConversion"/>
  </si>
  <si>
    <t>1629394275149450-8849003-88-02</t>
  </si>
  <si>
    <t>1629394275250041-8858291-07-01</t>
  </si>
  <si>
    <t>TS0116_00_20210819173115_31731</t>
  </si>
  <si>
    <t>{"requestModel":{"header":{"msgNo":"TS0116_00_20210819173115_31731","txnCode":"01","txnTime":"2021-08-19 17:31:15","senderCode":"TS0116_00","receiverCode":"UP0090_00","operatorCode":"ZZ","unitCode":"9004"},"requestBody":{"funcId":"01","criteria":{"circiKey":"NB20031049","propertyTypeCode":"0","partyCertNo":"NB20031049","partyCertDate":"1980-04-25"},"dataSet":[{"email":"XULI3000@GMAIL.COM","residenceAddr":"溫州街６８巷６號２樓","residenceAddrAdminArea":"大安區","residenceAddrLocality":"臺北市","residenceAddrPostalCode":"106","residenceAddrCountryCode":"TW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</si>
  <si>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1629394230759923-8858291-90-01</t>
    <phoneticPr fontId="1" type="noConversion"/>
  </si>
  <si>
    <t>1629394230147719-8848996-52-02</t>
  </si>
  <si>
    <t>1629394230246896-8858269-66-01</t>
  </si>
  <si>
    <t>TS0116_00_20210819173030_20111</t>
  </si>
  <si>
    <t>{"requestModel":{"header":{"msgNo":"TS0116_00_20210819173030_20111","txnCode":"01","txnTime":"2021-08-19 17:30:30","senderCode":"TS0116_00","receiverCode":"UP0090_00","operatorCode":"ZZ","unitCode":"9004"},"requestBody":{"funcId":"01","criteria":{"circiKey":"XB00021106","propertyTypeCode":"0","partyCertNo":"XB00021106","partyCertDate":"1993-04-20"},"dataSet":[{"email":"YANMING420@GMAIL.COM","residenceAddr":"成功街３６號４樓","contactTel":"0222023115","residenceAddrAdminArea":"新莊區","residenceAddrLocality":"新北市","residenceAddrPostalCode":"242","residenceAddrCountryCode":"TW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</si>
  <si>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AA30208915</t>
    <phoneticPr fontId="1" type="noConversion"/>
  </si>
  <si>
    <t xml:space="preserve"> -&gt;AA30208915
Y-&gt;F88000206A</t>
    <phoneticPr fontId="1" type="noConversion"/>
  </si>
  <si>
    <t>EC30074088</t>
    <phoneticPr fontId="1" type="noConversion"/>
  </si>
  <si>
    <t xml:space="preserve"> -&gt;EC30074088
Y-&gt;S800091798</t>
    <phoneticPr fontId="1" type="noConversion"/>
  </si>
  <si>
    <t xml:space="preserve"> -&gt;AC30170456
Y-&gt;A800022314</t>
    <phoneticPr fontId="1" type="noConversion"/>
  </si>
  <si>
    <t xml:space="preserve"> -&gt;NB20031049
Y-&gt;A990020140</t>
    <phoneticPr fontId="1" type="noConversion"/>
  </si>
  <si>
    <t xml:space="preserve"> -&gt;XB00021106
Y-&gt;F980003678</t>
    <phoneticPr fontId="1" type="noConversion"/>
  </si>
  <si>
    <t>AC30170456</t>
    <phoneticPr fontId="1" type="noConversion"/>
  </si>
  <si>
    <t>NB20031049</t>
    <phoneticPr fontId="1" type="noConversion"/>
  </si>
  <si>
    <t>XB00021106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</si>
  <si>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</si>
  <si>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</si>
  <si>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</si>
  <si>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SC2021081700021(失敗)
SC2021081900030(搬檔)
SC2021081900034(清除同步失敗註記)</t>
    <phoneticPr fontId="1" type="noConversion"/>
  </si>
  <si>
    <t>春娥:清除同步註記</t>
    <phoneticPr fontId="1" type="noConversion"/>
  </si>
  <si>
    <t>EM11006234</t>
    <phoneticPr fontId="1" type="noConversion"/>
  </si>
  <si>
    <t>SC2021082000002</t>
    <phoneticPr fontId="1" type="noConversion"/>
  </si>
  <si>
    <t>SC2021082000002</t>
    <phoneticPr fontId="1" type="noConversion"/>
  </si>
  <si>
    <t>SC2021082000002</t>
    <phoneticPr fontId="1" type="noConversion"/>
  </si>
  <si>
    <t>1629143978582070-8302694-23-02</t>
    <phoneticPr fontId="1" type="noConversion"/>
  </si>
  <si>
    <t>1629480642835225-9054290-54-01</t>
    <phoneticPr fontId="1" type="noConversion"/>
  </si>
  <si>
    <t>1629480642261374-9054172-30-01</t>
  </si>
  <si>
    <t>1629480642407278-9054123-34-01</t>
  </si>
  <si>
    <t>TS0116_00_20210820173042_99021</t>
  </si>
  <si>
    <t>FC02888135</t>
  </si>
  <si>
    <t>{"requestModel":{"header":{"msgNo":"TS0116_00_20210820173042_99021","txnCode":"01","txnTime":"2021-08-20 17:30:42","senderCode":"TS0116_00","receiverCode":"UP0090_00","operatorCode":"ZZ","unitCode":"9004"},"requestBody":{"funcId":"01","criteria":{"circiKey":"FC02888135","propertyTypeCode":"0","partyCertNo":"FC02888135","partyCertDate":"1990-10-21"},"dataSet":[{"residencePermitCertStartDate":"2019-07-16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</si>
  <si>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1629480614249597-9054123-97-01</t>
    <phoneticPr fontId="1" type="noConversion"/>
  </si>
  <si>
    <t>1629480613925777-9054172-66-01</t>
  </si>
  <si>
    <t>1629480614024560-9054067-81-01</t>
  </si>
  <si>
    <t>TS0116_00_20210820173014_99711</t>
  </si>
  <si>
    <t>AB20286230</t>
  </si>
  <si>
    <t>{"requestModel":{"header":{"msgNo":"TS0116_00_20210820173014_99711","txnCode":"01","txnTime":"2021-08-20 17:30:13","senderCode":"TS0116_00","receiverCode":"UP0090_00","operatorCode":"ZZ","unitCode":"9004"},"requestBody":{"funcId":"01","criteria":{"circiKey":"AB20286230","propertyTypeCode":"0","partyCertNo":"AB20286230","partyCertDate":"1984-03-29"},"dataSet":[{"contactTel":"0228386452"}],"option":{"isReplyOverWrite":true,"isRemoval":false,"isCustConfirmation":false,"isRelationRemoval":false}}},"resultCode":"UP0090_00_V201","resultDescription":"必要性檢核錯誤","resultBody":null,"errorMessages":["檢查有誤，顧客ID已停用"]}</t>
  </si>
  <si>
    <t>1629627020723841-9367304-86-02</t>
    <phoneticPr fontId="1" type="noConversion"/>
  </si>
  <si>
    <t>1629627012791062-9366259-78-02</t>
  </si>
  <si>
    <t>1629627012793107-9366259-81-02</t>
  </si>
  <si>
    <t>TS0116_00_20210822101020_92421</t>
  </si>
  <si>
    <t>T123466594</t>
  </si>
  <si>
    <t>{"requestModel":{"header":{"msgNo":"TS0116_00_20210822101020_92421","txnCode":"DpA05Td002501B01","txnTime":"2021-08-22 10:10:12","senderCode":"TS0116_00","receiverCode":"UP0090_00","operatorCode":"TLR99","unitCode":"9004"},"requestBody":{"funcId":"01","criteria":{"circiKey":"T123466594","propertyTypeCode":"0","partyCertNo":"T123466594","partyCertDate":"1984-03-01"},"dataSet":[{"customerStatusCode":"54","customerKycTypeCode":["F2","Q3"]}]}},"resultCode":"UP0090_00_V201","resultDescription":"必要性檢核錯誤","resultBody":null,"errorMessages":["檢查有誤，顧客ID已停用"]}</t>
  </si>
  <si>
    <t>cip覆蓋時不會特別確認是否為舊號</t>
    <phoneticPr fontId="1" type="noConversion"/>
  </si>
  <si>
    <t>為edls批次觸發，非人為交易，故清除同步失敗註記。</t>
    <phoneticPr fontId="1" type="noConversion"/>
  </si>
  <si>
    <t>EM11006284</t>
    <phoneticPr fontId="1" type="noConversion"/>
  </si>
  <si>
    <t>EM11006266</t>
    <phoneticPr fontId="1" type="noConversion"/>
  </si>
  <si>
    <t>1629714645674484-9548628-72-02</t>
  </si>
  <si>
    <t>TS0116_00_20210823103045_43931</t>
  </si>
  <si>
    <t>{"requestModel":{"header":{"msgNo":"TS0116_00_20210823103045_43931","txnCode":"A123012","txnTime":"2021-08-23 10:30:45","senderCode":"TS0116_00","receiverCode":"UP0090_00","operatorCode":"91174","unitCode":"C180"},"requestBody":{"funcId":"01","criteria":{"circiKey":"A228587610","propertyTypeCode":"0","partyCertNo":"A228587610","partyCertDate":"1992-08-16"},"dataSet":[{"customerStatusCode":null}]}},"resultCode":"UP0090_00_V201","resultDescription":"必要性檢核錯誤","resultBody":null,"errorMessages":["檢查有誤，顧客ID已停用"]}</t>
  </si>
  <si>
    <t xml:space="preserve"> -&gt;A228587610
Y-&gt;A232891047</t>
    <phoneticPr fontId="1" type="noConversion"/>
  </si>
  <si>
    <t>N</t>
    <phoneticPr fontId="1" type="noConversion"/>
  </si>
  <si>
    <t>EM11006266</t>
    <phoneticPr fontId="1" type="noConversion"/>
  </si>
  <si>
    <t>SC2021082300032</t>
    <phoneticPr fontId="1" type="noConversion"/>
  </si>
  <si>
    <t>SC2021082000002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</si>
  <si>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</si>
  <si>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</si>
  <si>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</si>
  <si>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</si>
  <si>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1629729090435096-9577099-53-01</t>
  </si>
  <si>
    <t>TS0116_00_20210823143130_30511</t>
  </si>
  <si>
    <t>A223042661</t>
  </si>
  <si>
    <t>1629729365955769-9584993-06-02</t>
  </si>
  <si>
    <t>TS0116_00_20210823143606_19362</t>
  </si>
  <si>
    <t>E223807568</t>
  </si>
  <si>
    <t>1629729353931223-9578663-40-01</t>
    <phoneticPr fontId="1" type="noConversion"/>
  </si>
  <si>
    <t>1629729343646071-9585062-51-02</t>
  </si>
  <si>
    <t>TS0116_00_20210823143543_18762</t>
  </si>
  <si>
    <t>L221183097</t>
  </si>
  <si>
    <t>已通知CIP team</t>
    <phoneticPr fontId="1" type="noConversion"/>
  </si>
  <si>
    <t>e31217-19598@email.esunbank.com.tw</t>
    <phoneticPr fontId="1" type="noConversion"/>
  </si>
  <si>
    <t>e31217-19598@email.esunbank.com.tw</t>
    <phoneticPr fontId="1" type="noConversion"/>
  </si>
  <si>
    <t>e31217-19598@email.esunbank.com.tw</t>
    <phoneticPr fontId="1" type="noConversion"/>
  </si>
  <si>
    <t>許昱彥</t>
    <phoneticPr fontId="1" type="noConversion"/>
  </si>
  <si>
    <t>1629730579002851-9579772-76-01</t>
    <phoneticPr fontId="1" type="noConversion"/>
  </si>
  <si>
    <t>1629730568715597-9578570-05-01</t>
  </si>
  <si>
    <t>1629730568718376-9578570-07-01</t>
  </si>
  <si>
    <t>TS0116_00_20210823145608_38962</t>
  </si>
  <si>
    <t>H224481132</t>
  </si>
  <si>
    <t>1629730525749191-9586207-86-02</t>
    <phoneticPr fontId="1" type="noConversion"/>
  </si>
  <si>
    <t>1629730515426527-9586199-41-02</t>
  </si>
  <si>
    <t>1629730515510166-9579721-45-01</t>
  </si>
  <si>
    <t>TS0116_00_20210823145515_56121</t>
  </si>
  <si>
    <t>S222468415</t>
  </si>
  <si>
    <t>1629730403667662-9579611-93-01</t>
  </si>
  <si>
    <t>1629730403691310-9579611-07-01</t>
  </si>
  <si>
    <t>TS0116_00_20210823145323_72031</t>
  </si>
  <si>
    <t>O100316749</t>
  </si>
  <si>
    <t>1629729980823721-9586069-28-02</t>
  </si>
  <si>
    <t>L120266880</t>
  </si>
  <si>
    <t>EM11006312</t>
    <phoneticPr fontId="1" type="noConversion"/>
  </si>
  <si>
    <t>digiAccOpening</t>
  </si>
  <si>
    <t>txid</t>
    <phoneticPr fontId="1" type="noConversion"/>
  </si>
  <si>
    <t>1629729376093333-9579007-75-01</t>
    <phoneticPr fontId="1" type="noConversion"/>
  </si>
  <si>
    <t>NT1529</t>
  </si>
  <si>
    <t>A101012</t>
  </si>
  <si>
    <t>1629730413802862-9579632-83-01</t>
    <phoneticPr fontId="1" type="noConversion"/>
  </si>
  <si>
    <t>createOrUpdateCustomerForNBS</t>
  </si>
  <si>
    <t>1629730010933419-9586084-48-02</t>
    <phoneticPr fontId="1" type="noConversion"/>
  </si>
  <si>
    <t>NT1504</t>
  </si>
  <si>
    <t>1629731411811629-9580987-03-01</t>
  </si>
  <si>
    <t>1629731411842782-9580950-13-01</t>
  </si>
  <si>
    <t>TS0116_00_20210823151011_55662</t>
  </si>
  <si>
    <t>U221463918</t>
  </si>
  <si>
    <t>1629731394617569-9587666-67-02</t>
    <phoneticPr fontId="1" type="noConversion"/>
  </si>
  <si>
    <t>1629731384452492-9587725-94-02</t>
  </si>
  <si>
    <t>1629731384511548-9587499-01-02</t>
  </si>
  <si>
    <t>TS0116_00_20210823150944_69811</t>
  </si>
  <si>
    <t>A230764001</t>
  </si>
  <si>
    <t>1629731347738018-9580950-43-01</t>
    <phoneticPr fontId="1" type="noConversion"/>
  </si>
  <si>
    <t>1629731337554793-9586284-28-02</t>
  </si>
  <si>
    <t>1629731337557586-9586284-30-02</t>
  </si>
  <si>
    <t>TS0116_00_20210823150857_53762</t>
  </si>
  <si>
    <t>F128218837</t>
  </si>
  <si>
    <t>digiAccOperate</t>
  </si>
  <si>
    <t>1629730824010371-9586759-41-02</t>
    <phoneticPr fontId="1" type="noConversion"/>
  </si>
  <si>
    <t>1629730813663232-9580345-26-01</t>
  </si>
  <si>
    <t>1629730813901525-9580203-47-01</t>
  </si>
  <si>
    <t>TS0116_00_20210823150013_78631</t>
  </si>
  <si>
    <t>L123764178</t>
  </si>
  <si>
    <t>EM11006312</t>
    <phoneticPr fontId="1" type="noConversion"/>
  </si>
  <si>
    <t>cifx-controller-a-v1-103-t2h4d</t>
  </si>
  <si>
    <t>1629732421733538-9581995-44-01</t>
    <phoneticPr fontId="1" type="noConversion"/>
  </si>
  <si>
    <t>1629732408571262-9588283-41-02</t>
  </si>
  <si>
    <t>1629732408625386-9581950-48-01</t>
  </si>
  <si>
    <t>TS0116_00_20210823152648_70862</t>
  </si>
  <si>
    <t>1629732421512022-9581838-27-01</t>
    <phoneticPr fontId="1" type="noConversion"/>
  </si>
  <si>
    <t>1629732405322172-9581829-26-01</t>
  </si>
  <si>
    <t>1629732405405267-9581834-34-01</t>
  </si>
  <si>
    <t>TS0116_00_20210823152645_89821</t>
  </si>
  <si>
    <t>F124194489</t>
  </si>
  <si>
    <t>A12202</t>
  </si>
  <si>
    <t>1629731746702525-9587895-97-02</t>
    <phoneticPr fontId="1" type="noConversion"/>
  </si>
  <si>
    <t>1629731736555285-9587895-13-02</t>
  </si>
  <si>
    <t>1629731736600735-9587863-26-02</t>
  </si>
  <si>
    <t>TS0116_00_20210823151536_95331</t>
  </si>
  <si>
    <t>J222675691</t>
  </si>
  <si>
    <t>cifx-controller-a-v1-103-8x9dv</t>
  </si>
  <si>
    <t>1629729343610817-9578324-45-01</t>
    <phoneticPr fontId="1" type="noConversion"/>
  </si>
  <si>
    <t>order by to_exec_timestamp desc;</t>
  </si>
  <si>
    <t>select</t>
  </si>
  <si>
    <t>cli.FROM_SERVICE_INTERCHANGE_ID,</t>
  </si>
  <si>
    <t>sec.service_execution_control_id,</t>
  </si>
  <si>
    <t>CLI.MSG_NO,</t>
  </si>
  <si>
    <t>SEC.CIRCI_KEY,</t>
  </si>
  <si>
    <t>cli.RESP_CONTENT,</t>
  </si>
  <si>
    <t>CL.TX_ID,</t>
  </si>
  <si>
    <t>si.ap_server_to_process,</t>
  </si>
  <si>
    <t>case when si.service_interchange_id is null</t>
  </si>
  <si>
    <t>then 'from cip sync' else 'from si' end as "txnSourceFrom",</t>
  </si>
  <si>
    <t>case when CLL.SENT_TIMESTAMP is null</t>
  </si>
  <si>
    <t>then 'ok resync to cip ' else 'NOT ok to sync CIP' end as "isOkSync",</t>
  </si>
  <si>
    <t>case when cl.tx_id in (</t>
  </si>
  <si>
    <t>'A149041',</t>
  </si>
  <si>
    <t>'TQP03002',</t>
  </si>
  <si>
    <t>'NT1504',</t>
  </si>
  <si>
    <t>'A101011',</t>
  </si>
  <si>
    <t>'A101012'</t>
  </si>
  <si>
    <t>CLL.CIRCI_KEY,</t>
  </si>
  <si>
    <t>CL.CHANGE_LOG_ID,</t>
  </si>
  <si>
    <t>CL.SERVICE_INTERCHANGE_ID,</t>
  </si>
  <si>
    <t>CC.COLUMN_NAME,</t>
  </si>
  <si>
    <t>CC.COLUMN_DESC,</t>
  </si>
  <si>
    <t>CLL.BEFORE_VALUE,</t>
  </si>
  <si>
    <t>CLL.CHANGED_VALUE,</t>
  </si>
  <si>
    <t>CLL.CREATE_TIMESTAMP,</t>
  </si>
  <si>
    <t>cll.sent_timestamp</t>
  </si>
  <si>
    <t>--sec.execution_type,</t>
  </si>
  <si>
    <t>--sec.execution_state,</t>
  </si>
  <si>
    <t>--PEC.*,</t>
  </si>
  <si>
    <t>--PMN.*,</t>
  </si>
  <si>
    <t>--CL.*,</t>
  </si>
  <si>
    <t>--CLL.*,</t>
  </si>
  <si>
    <t>--CC.COLUMN_DESC,</t>
  </si>
  <si>
    <t>--CER.*</t>
  </si>
  <si>
    <t>from cifx.tb_oms_execution_control oec</t>
  </si>
  <si>
    <t>LEFT join cifx.tb_change_log_interchange cli on cli.service_interchange_id = oec.service_interchange_id</t>
  </si>
  <si>
    <t>LEFT JOIN CIFX.TB_CIP_EXCHANGE_RECORD CER ON CER.SERVICE_INTERCHANGE_ID = CLI.from_service_Interchange_id</t>
  </si>
  <si>
    <t>LEFT JOIN CIFX.TB_SERVICE_EXECUTION_CONTROL SEC ON SEC.SERVICE_INTERCHANGE_ID = CLI.from_service_Interchange_id</t>
  </si>
  <si>
    <t>LEFT join cifx.tb_service_interchange si on si.service_interchange_id = cli.from_service_Interchange_id</t>
  </si>
  <si>
    <t>-------------------- &lt;&lt; PUSH &gt;&gt;-------------------------------</t>
  </si>
  <si>
    <t>-------------------- &lt;&lt; CHANGE_LOG &gt;&gt;-------------------------------</t>
  </si>
  <si>
    <t>LEFT JOIN CIFX.TB_CHANGE_LOG CL ON CL.SERVICE_INTERCHANGE_ID = CLI.from_service_Interchange_id</t>
  </si>
  <si>
    <t>LEFT JOIN CIFX.TB_CHANGE_LOG_LINEITEM CLL ON CL.CHANGE_LOG_ID = CLL.CHANGE_LOG_ID</t>
  </si>
  <si>
    <t>LEFT JOIN CIFX.TB_COLUMN_CODE CC ON CC.COLUMN_CODE_ID = CLL.CHANGED_COLUMN_CODE_ID</t>
  </si>
  <si>
    <t>where oec.uuid in (</t>
  </si>
  <si>
    <t>and sec.execution_type = 'STAGE1_EXECUTION'</t>
  </si>
  <si>
    <t>;</t>
  </si>
  <si>
    <t>select * from cifx.tb_service_execution_control sec</t>
  </si>
  <si>
    <t>where sec.circi_key ='X120012087'</t>
  </si>
  <si>
    <t>order by req_timestamp desc</t>
  </si>
  <si>
    <t>select * from CIFX.TB_SERVICE_INTERCHANGE si</t>
  </si>
  <si>
    <t>where si.SERVICE_INTERCHANGE_ID = '1629729365890888-9585124-02-02';</t>
  </si>
  <si>
    <t>SELECT * FROM CIFX.TB_CHANGE_LOG_INTERCHANGE CLI</t>
  </si>
  <si>
    <t>and service_target = 'ESIP_CIP'</t>
  </si>
  <si>
    <t>order by cli.REQ_TIMESTAMP desc</t>
  </si>
  <si>
    <t>SELECT CL.CIRCI_KEY,CL.TX_ID,CL.TXN_OPERATION_DATE AS OP_DATE,CL.TXN_OPERATION_TIME AS OP_TIME,</t>
  </si>
  <si>
    <t>CC.NBS_COLUMN_NAME_FOR_CHANGE AS COL_NAME,BEFORE_VALUE,CHANGED_VALUE,</t>
  </si>
  <si>
    <t>CL.SERVICE_INTERCHANGE_ID</t>
  </si>
  <si>
    <t>FROM CIFX.TB_CHANGE_LOG CL</t>
  </si>
  <si>
    <t>JOIN CIFX.TB_CHANGE_LOG_LINEITEM CLL ON CL.CHANGE_LOG_ID = CLL.CHANGE_LOG_ID</t>
  </si>
  <si>
    <t>LEFT JOIN CIFX.TB_COLUMN_CODE CC ON CLL.CHANGED_COLUMN_CODE_ID = CC.COLUMN_CODE_ID</t>
  </si>
  <si>
    <t>ORDER BY CL.CIRCI_KEY,CL.TXN_OPERATION_DATE,CL.TXN_OPERATION_TIME DESC;</t>
  </si>
  <si>
    <t>SELECT * FROM CIFX.TB_HIS_CUSTOMER</t>
  </si>
  <si>
    <t>SELECT * FROM CIFX.TB_CHG_ID_LOG</t>
  </si>
  <si>
    <t>select EVER_CHANGED_CERT_NO,PRIOR_PERSON_IDENTIFITY_NO from cifx.tb_customer</t>
  </si>
  <si>
    <t>where cif_verified_Id = 'JC30061138'</t>
  </si>
  <si>
    <t>where cif_verified_Id = 'J800012174'</t>
  </si>
  <si>
    <t>1629733266123501-9593037-77-01</t>
    <phoneticPr fontId="1" type="noConversion"/>
  </si>
  <si>
    <t>1629733255961073-9593037-14-01</t>
  </si>
  <si>
    <t>1629733256021230-9593024-18-01</t>
  </si>
  <si>
    <t>TS0116_00_20210823154056_99811</t>
  </si>
  <si>
    <t>X120028905</t>
  </si>
  <si>
    <t>1629733199252201-9593263-40-01</t>
    <phoneticPr fontId="1" type="noConversion"/>
  </si>
  <si>
    <t>1629733189032107-9581944-98-01</t>
  </si>
  <si>
    <t>1629733189034299-9581944-01-01</t>
  </si>
  <si>
    <t>TS0116_00_20210823153949_83762</t>
  </si>
  <si>
    <t>H124459192</t>
  </si>
  <si>
    <t>1629732939458354-9592696-33-01</t>
    <phoneticPr fontId="1" type="noConversion"/>
  </si>
  <si>
    <t>1629732929271616-9592629-41-01</t>
  </si>
  <si>
    <t>1629732929339372-9588872-45-02</t>
  </si>
  <si>
    <t>TS0116_00_20210823153529_80662</t>
  </si>
  <si>
    <t>E225496081</t>
  </si>
  <si>
    <t>1629732637684789-9592667-48-01</t>
    <phoneticPr fontId="1" type="noConversion"/>
  </si>
  <si>
    <t>1629732624528932-9588900-40-02</t>
  </si>
  <si>
    <t>1629732624582418-9588989-46-02</t>
  </si>
  <si>
    <t>TS0116_00_20210823153024_89111</t>
  </si>
  <si>
    <t>FC00340141</t>
  </si>
  <si>
    <t>1629732634053262-9588506-39-02</t>
    <phoneticPr fontId="1" type="noConversion"/>
  </si>
  <si>
    <t>1629732623113270-9589562-69-02</t>
  </si>
  <si>
    <t>1629732623116464-9589562-72-02</t>
  </si>
  <si>
    <t>TS0116_00_20210823153024_94021</t>
  </si>
  <si>
    <t>P122880845</t>
  </si>
  <si>
    <t>BT$MAL31</t>
  </si>
  <si>
    <t>1629732581004416-9581950-96-01</t>
    <phoneticPr fontId="1" type="noConversion"/>
  </si>
  <si>
    <t>1629732564807962-9581939-78-01</t>
  </si>
  <si>
    <t>1629732564862151-9581912-84-01</t>
  </si>
  <si>
    <t>TS0116_00_20210823152924_74562</t>
  </si>
  <si>
    <t>A129429366</t>
  </si>
  <si>
    <t>EM11006312</t>
    <phoneticPr fontId="1" type="noConversion"/>
  </si>
  <si>
    <t>1629731421984359-9587409-62-02</t>
    <phoneticPr fontId="1" type="noConversion"/>
  </si>
  <si>
    <t>SC2021082300137</t>
    <phoneticPr fontId="1" type="noConversion"/>
  </si>
  <si>
    <t>1629729100734455-9585139-30-02</t>
    <phoneticPr fontId="1" type="noConversion"/>
  </si>
  <si>
    <t>1629729365890888-9585124-02-02</t>
    <phoneticPr fontId="1" type="noConversion"/>
  </si>
  <si>
    <t>10.230.196.131</t>
    <phoneticPr fontId="1" type="noConversion"/>
  </si>
  <si>
    <t>SC2021082300088</t>
    <phoneticPr fontId="1" type="noConversion"/>
  </si>
  <si>
    <t>SC2021082300088</t>
    <phoneticPr fontId="1" type="noConversion"/>
  </si>
  <si>
    <t>SC2021082300088</t>
    <phoneticPr fontId="1" type="noConversion"/>
  </si>
  <si>
    <t>done</t>
    <phoneticPr fontId="1" type="noConversion"/>
  </si>
  <si>
    <t>done</t>
    <phoneticPr fontId="1" type="noConversion"/>
  </si>
  <si>
    <t>SC2021082300029</t>
    <phoneticPr fontId="1" type="noConversion"/>
  </si>
  <si>
    <t>done</t>
    <phoneticPr fontId="1" type="noConversion"/>
  </si>
  <si>
    <t>SC2021082300032</t>
    <phoneticPr fontId="1" type="noConversion"/>
  </si>
  <si>
    <t>1629729980752722-9579496-18-01</t>
    <phoneticPr fontId="1" type="noConversion"/>
  </si>
  <si>
    <t>TS0116_00_20210823144620_64631</t>
    <phoneticPr fontId="1" type="noConversion"/>
  </si>
  <si>
    <t>DpA05Td002503B01</t>
  </si>
  <si>
    <t>1629934212831073-0037370-99-01</t>
  </si>
  <si>
    <t>1629934212834917-0037370-03-01</t>
  </si>
  <si>
    <t>TS0116_00_20210825233014_38721</t>
  </si>
  <si>
    <t>{"requestModel":{"header":{"msgNo":"TS0116_00_20210825233014_38721","txnCode":"DpA05Td002503B01","txnTime":"2021-08-25 23:30:12","senderCode":"TS0116_00","receiverCode":"UP0090_00","operatorCode":"TLR99","unitCode":"9004"},"requestBody":{"funcId":"01","criteria":{"circiKey":"T123466594","propertyTypeCode":"0","partyCertNo":"T123466594","partyCertDate":"1984-03-01"},"dataSet":[{"customerStatusCode":null,"customerKycTypeCode":["Q3"]}]}},"resultCode":"UP0090_00_V201","resultDescription":"必要性檢核錯誤","resultBody":null,"errorMessages":["檢查有誤，顧客ID已停用"]}</t>
    <phoneticPr fontId="1" type="noConversion"/>
  </si>
  <si>
    <t xml:space="preserve"> -&gt;T123466594
Y-&gt;A133847210</t>
    <phoneticPr fontId="1" type="noConversion"/>
  </si>
  <si>
    <t>T123466594</t>
    <phoneticPr fontId="1" type="noConversion"/>
  </si>
  <si>
    <t>EM11006383</t>
    <phoneticPr fontId="1" type="noConversion"/>
  </si>
  <si>
    <t>1629934215129758-0037429-94-01</t>
  </si>
  <si>
    <t>TS0116_00_20210826083208_73111</t>
  </si>
  <si>
    <t>{"requestModel":{"header":{"msgNo":"TS0116_00_20210826083208_73111","txnCode":"DpA05Td002503B01","txnTime":"2021-08-25 23:30:12","senderCode":"TS0116_00","receiverCode":"UP0090_00","operatorCode":"TLR99","unitCode":"9004"},"requestBody":{"funcId":"01","criteria":{"circiKey":"T123466594","propertyTypeCode":"0","partyCertNo":"T123466594","partyCertDate":"1984-03-01"},"dataSet":[{"customerStatusCode":null,"customerKycTypeCode":["Q3"]}]}},"resultCode":"UP0090_00_V201","resultDescription":"必要性檢核錯誤","resultBody":null,"errorMessages":["檢查有誤，顧客ID已停用"]}</t>
    <phoneticPr fontId="1" type="noConversion"/>
  </si>
  <si>
    <t>1629966728766586-0112645-86-01</t>
    <phoneticPr fontId="1" type="noConversion"/>
  </si>
  <si>
    <t>發送異動通知電文給CIP回傳錯誤碼:UP0090_00_V501,錯誤碼訊息:正確性檢核錯誤,錯誤訊息:[agreeCrossSellingFlag該系統無寫入權限]</t>
  </si>
  <si>
    <t>1629968841305329-0108590-47-02</t>
  </si>
  <si>
    <t>TS0116_00_20210826090721_83521</t>
  </si>
  <si>
    <t>changeVerifiedId</t>
  </si>
  <si>
    <t>{"requestModel":{"header":{"msgNo":"TS0116_00_20210826090721_83521","txnCode":"A149023","txnTime":"2021-08-26 09:07:21","senderCode":"TS0116_00","receiverCode":"UP0090_00","operatorCode":"TS0116_00","unitCode":"9004"},"requestBody":{"funcId":"01","criteria":{"circiKey":"S800097067","propertyTypeCode":"0","partyCertNo":"S800097067","partyCertDate":"1966-12-06"},"dataSet":[{"creationDptCode":"0668","customerName":"ＱＵＩＮＮ　ＫＥＶＩＮ　ＭＩＣＨＡＥＬ（耿文）","selfBankSpecialServiceFlag":"00000","industryPropsTypeCode":"02","industryTypeCode":"05","performanceDptCode":"0668","nationalityCode":"2","residenceTel":"075573805","regCountryCode":"US","incomeTaxTypeCode":"2","genderCode":"F","agreeCrossSellingFlag":"N","contactAddrPostalCode":"813","contactAddr":"明華一路２號４樓之１","contactAddrAdminArea":"左營區","contactAddrLocality":"高雄市","contactTel":"0935174533","dgbasIndustryCode":"130200","ncbIndustryCode":"130200","residenceAddrLocality":"高雄市","residenceAddr":"明華一路２號４樓之１","residenceAddrPostalCode":"813","residenceAddrAdminArea":"左營區","customerKycTypeCode":[],"customerBirthday":"1966-12-06","contactAddrCountryCode":"TW","residenceAddrCountryCode":"TW"}]}},"resultCode":"UP0090_00_V501","resultDescription":"正確性檢核錯誤","resultBody":null,"errorMessages":["agreeCrossSellingFlag該系統無寫入權限"]}</t>
    <phoneticPr fontId="1" type="noConversion"/>
  </si>
  <si>
    <t>changeVerifiedId</t>
    <phoneticPr fontId="1" type="noConversion"/>
  </si>
  <si>
    <t>1629970462976500-0110333-52-02</t>
  </si>
  <si>
    <t>1629970463054171-0110372-64-02</t>
  </si>
  <si>
    <t>TS0116_00_20210826093423_84562</t>
  </si>
  <si>
    <t>1629970430228117-0108740-46-02</t>
  </si>
  <si>
    <t>1629970430261177-0108740-19-02</t>
  </si>
  <si>
    <t>TS0116_00_20210826093350_84262</t>
  </si>
  <si>
    <t>J800063233</t>
  </si>
  <si>
    <t>1629969806038381-0114742-43-01</t>
  </si>
  <si>
    <t>1629969806060923-0114742-98-01</t>
  </si>
  <si>
    <t>TS0116_00_20210826092326_85711</t>
  </si>
  <si>
    <t>A990028539</t>
  </si>
  <si>
    <t>1629972145605960-0118404-01-01</t>
  </si>
  <si>
    <t>1629972145688496-0112281-08-02</t>
  </si>
  <si>
    <t>TS0116_00_20210826100225_2762</t>
  </si>
  <si>
    <t>F123583517</t>
  </si>
  <si>
    <t>1629971991124908-0116737-02-01</t>
  </si>
  <si>
    <t>1629971991150156-0116737-74-01</t>
  </si>
  <si>
    <t>TS0116_00_20210826095951_0462</t>
  </si>
  <si>
    <t>A800121590</t>
  </si>
  <si>
    <t>1629971562707603-0112147-01-02</t>
    <phoneticPr fontId="1" type="noConversion"/>
  </si>
  <si>
    <t>1629971562474324-0118267-74-01</t>
  </si>
  <si>
    <t>1629971562542327-0118259-81-01</t>
  </si>
  <si>
    <t>TS0116_00_20210826095242_95462</t>
  </si>
  <si>
    <t>L224148465</t>
  </si>
  <si>
    <t>1629934212912611-0037370-44-01</t>
  </si>
  <si>
    <t>1629934212914087-0037370-47-01</t>
  </si>
  <si>
    <t>TS0116_00_20210826095101_95431</t>
  </si>
  <si>
    <t>1629971072813896-0110643-72-02</t>
    <phoneticPr fontId="1" type="noConversion"/>
  </si>
  <si>
    <t>1629971072620485-0110604-88-02</t>
  </si>
  <si>
    <t>1629971072643038-0110604-62-02</t>
  </si>
  <si>
    <t>TS0116_00_20210826094432_98321</t>
  </si>
  <si>
    <t>F800173571</t>
  </si>
  <si>
    <t>1629970727320239-0110773-01-02</t>
  </si>
  <si>
    <t>1629970727392339-0110803-14-02</t>
  </si>
  <si>
    <t>TS0116_00_20210826093847_89631</t>
  </si>
  <si>
    <t>T124363949</t>
  </si>
  <si>
    <t>發送異動通知電文給CIP回傳錯誤碼:UP0090_00_V201,錯誤碼訊息:必要性檢核錯誤,錯誤訊息:[檢查有誤，顧客ID已停用]</t>
    <phoneticPr fontId="1" type="noConversion"/>
  </si>
  <si>
    <t>1629971461329140-0112197-73-02</t>
    <phoneticPr fontId="1" type="noConversion"/>
  </si>
  <si>
    <t>1629745237041126-9622579-58-02</t>
    <phoneticPr fontId="1" type="noConversion"/>
  </si>
  <si>
    <t>1629745220940457-9623551-58-02</t>
  </si>
  <si>
    <t>1629745220961658-9623551-69-02</t>
  </si>
  <si>
    <t>TS0116_00_20210823190036_88621</t>
  </si>
  <si>
    <t>BT$CIFIX</t>
  </si>
  <si>
    <t>S800097067</t>
    <phoneticPr fontId="1" type="noConversion"/>
  </si>
  <si>
    <t>EM11006324</t>
    <phoneticPr fontId="1" type="noConversion"/>
  </si>
  <si>
    <t>發送異動通知電文給CIP回傳錯誤碼:UP0090_00_V501,錯誤碼訊息:正確性檢核錯誤,錯誤訊息:[agreeCrossSellingFlag該系統無寫入權限]</t>
    <phoneticPr fontId="1" type="noConversion"/>
  </si>
  <si>
    <t>1629974981562343-0120957-59-01</t>
  </si>
  <si>
    <t>1629974981582627-0120957-28-01</t>
  </si>
  <si>
    <t>TS0116_00_20210826104941_53921</t>
  </si>
  <si>
    <t>E870000984</t>
  </si>
  <si>
    <t>1629974779181525-0120957-72-01</t>
  </si>
  <si>
    <t>1629974779209569-0120957-49-01</t>
  </si>
  <si>
    <t>TS0116_00_20210826104619_46062</t>
  </si>
  <si>
    <t>F900272786</t>
  </si>
  <si>
    <t>A149022</t>
  </si>
  <si>
    <t>1629974449484651-0124590-06-02</t>
    <phoneticPr fontId="1" type="noConversion"/>
  </si>
  <si>
    <t>1629974449246472-0120747-21-01</t>
  </si>
  <si>
    <t>1629974449363916-0124588-44-02</t>
  </si>
  <si>
    <t>TS0116_00_20210826104049_44911</t>
  </si>
  <si>
    <t>G122306651</t>
  </si>
  <si>
    <t>1629973988314053-0120672-47-01</t>
    <phoneticPr fontId="1" type="noConversion"/>
  </si>
  <si>
    <t>1629973988116952-0118958-64-01</t>
  </si>
  <si>
    <t>1629973988134884-0118958-19-01</t>
  </si>
  <si>
    <t>TS0116_00_20210826103308_39311</t>
  </si>
  <si>
    <t>F900239852</t>
  </si>
  <si>
    <t>1629973660719513-0120597-06-01</t>
    <phoneticPr fontId="1" type="noConversion"/>
  </si>
  <si>
    <t>1629973660540151-0118793-32-01</t>
  </si>
  <si>
    <t>1629973660558343-0118793-85-01</t>
  </si>
  <si>
    <t>TS0116_00_20210826102740_27531</t>
  </si>
  <si>
    <t>B800096039</t>
  </si>
  <si>
    <t>1629973082781697-0119655-96-01</t>
    <phoneticPr fontId="1" type="noConversion"/>
  </si>
  <si>
    <t>1629973082604730-0119655-82-01</t>
  </si>
  <si>
    <t>1629973082655964-0119848-91-01</t>
  </si>
  <si>
    <t>TS0116_00_20210826101802_27721</t>
  </si>
  <si>
    <t>A122250158</t>
  </si>
  <si>
    <t>1629972983010052-0119848-97-01</t>
    <phoneticPr fontId="1" type="noConversion"/>
  </si>
  <si>
    <t>1629972982856951-0118793-06-01</t>
  </si>
  <si>
    <t>1629972982879619-0118793-78-01</t>
  </si>
  <si>
    <t>TS0116_00_20210826101622_26221</t>
  </si>
  <si>
    <t>O900044011</t>
  </si>
  <si>
    <t>1629972895730351-0119102-38-01</t>
    <phoneticPr fontId="1" type="noConversion"/>
  </si>
  <si>
    <t>1629972895556986-0118790-53-01</t>
  </si>
  <si>
    <t>1629972895585993-0118790-34-01</t>
  </si>
  <si>
    <t>TS0116_00_20210826101455_25311</t>
  </si>
  <si>
    <t>A800141752</t>
  </si>
  <si>
    <t>A149022</t>
    <phoneticPr fontId="1" type="noConversion"/>
  </si>
  <si>
    <t>A12202</t>
    <phoneticPr fontId="1" type="noConversion"/>
  </si>
  <si>
    <t>{"requestModel":{"header":{"msgNo":"TS0116_00_20210826093423_84562","txnCode":"A12202","txnTime":"2021-08-26 09:34:22","senderCode":"TS0116_00","receiverCode":"UP0090_00","operatorCode":"15534","unitCode":"1001"},"requestBody":{"funcId":"01","criteria":{"circiKey":"R123941367","propertyTypeCode":"0","partyCertNo":"R123941367","partyCertDate":"1989-08-25"},"dataSet":[{"agreeCrossSellingFlag":"N"}]}},"resultCode":"UP0090_00_V501","resultDescription":"正確性檢核錯誤","resultBody":null,"errorMessages":["agreeCrossSellingFlag該系統無寫入權限"]}</t>
    <phoneticPr fontId="1" type="noConversion"/>
  </si>
  <si>
    <t>1629976147798815-0126443-12-02</t>
    <phoneticPr fontId="1" type="noConversion"/>
  </si>
  <si>
    <t>1629976147544717-0132914-27-01</t>
  </si>
  <si>
    <t>1629976147566865-0132914-90-01</t>
  </si>
  <si>
    <t>TS0116_00_20210826110907_61431</t>
  </si>
  <si>
    <t>F900205338</t>
  </si>
  <si>
    <t>1629975933535267-0126408-32-02</t>
    <phoneticPr fontId="1" type="noConversion"/>
  </si>
  <si>
    <t>1629975933155838-0132971-20-01</t>
  </si>
  <si>
    <t>1629975933179385-0132971-87-01</t>
  </si>
  <si>
    <t>TS0116_00_20210826110533_56831</t>
  </si>
  <si>
    <t>S800098028</t>
  </si>
  <si>
    <t>1629975876127559-0126347-90-02</t>
    <phoneticPr fontId="1" type="noConversion"/>
  </si>
  <si>
    <t>1629975875874572-0125408-13-02</t>
  </si>
  <si>
    <t>1629975875899850-0125408-74-02</t>
  </si>
  <si>
    <t>TS0116_00_20210826110436_62262</t>
  </si>
  <si>
    <t>F900230073</t>
  </si>
  <si>
    <t>1629975623268433-0132685-77-01</t>
    <phoneticPr fontId="1" type="noConversion"/>
  </si>
  <si>
    <t>1629975622173981-0124724-93-02</t>
  </si>
  <si>
    <t>1629975622200827-0124724-64-02</t>
  </si>
  <si>
    <t>TS0116_00_20210826110023_52531</t>
  </si>
  <si>
    <t>E800038772</t>
  </si>
  <si>
    <t>1629975497499958-0132594-57-01</t>
    <phoneticPr fontId="1" type="noConversion"/>
  </si>
  <si>
    <t>1629975497122638-0126360-80-02</t>
  </si>
  <si>
    <t>1629975497166354-0126355-89-02</t>
  </si>
  <si>
    <t>TS0116_00_20210826105817_58811</t>
  </si>
  <si>
    <t>R223770002</t>
  </si>
  <si>
    <t>1629975303853229-0122516-58-01</t>
    <phoneticPr fontId="1" type="noConversion"/>
  </si>
  <si>
    <t>1629975303651386-0124724-76-02</t>
  </si>
  <si>
    <t>1629975303678207-0124724-47-02</t>
  </si>
  <si>
    <t>TS0116_00_20210826105503_59121</t>
  </si>
  <si>
    <t>S800098037</t>
  </si>
  <si>
    <t>EM11006391</t>
    <phoneticPr fontId="1" type="noConversion"/>
  </si>
  <si>
    <t>發送異動通知電文給CIP回傳錯誤碼:UP0090_00_V501,錯誤碼訊息:正確性檢核錯誤,錯誤訊息:[agreeCrossSellingFlag該系統無寫入權限]</t>
    <phoneticPr fontId="1" type="noConversion"/>
  </si>
  <si>
    <t>1629976570253991-0133746-67-01</t>
    <phoneticPr fontId="1" type="noConversion"/>
  </si>
  <si>
    <t>1629976570007521-0126614-83-02</t>
  </si>
  <si>
    <t>1629976570033613-0126614-45-02</t>
  </si>
  <si>
    <t>TS0116_00_20210826111610_76211</t>
  </si>
  <si>
    <t>F890005968</t>
  </si>
  <si>
    <t>1629977758280532-0128627-17-02</t>
    <phoneticPr fontId="1" type="noConversion"/>
  </si>
  <si>
    <t>1629977758046951-0128605-96-02</t>
  </si>
  <si>
    <t>1629977758113664-0128609-04-02</t>
  </si>
  <si>
    <t>TS0116_00_20210826113558_94721</t>
  </si>
  <si>
    <t>A123569996</t>
  </si>
  <si>
    <t>1629977516435235-0134755-65-01</t>
    <phoneticPr fontId="1" type="noConversion"/>
  </si>
  <si>
    <t>1629977516277704-0133162-75-01</t>
  </si>
  <si>
    <t>1629977516299713-0133162-34-01</t>
  </si>
  <si>
    <t>TS0116_00_20210826113156_81831</t>
  </si>
  <si>
    <t>F990039564</t>
  </si>
  <si>
    <t>1629977457613573-0134853-74-01</t>
  </si>
  <si>
    <t>1629977457658178-0128500-81-02</t>
  </si>
  <si>
    <t>TS0116_00_20210826113057_89611</t>
  </si>
  <si>
    <t>H124526152</t>
  </si>
  <si>
    <t>1629968841483523-0108297-62-02</t>
    <phoneticPr fontId="1" type="noConversion"/>
  </si>
  <si>
    <t>1629970463176766-0116580-66-01</t>
    <phoneticPr fontId="1" type="noConversion"/>
  </si>
  <si>
    <t>1629970430480593-0116580-29-01</t>
    <phoneticPr fontId="1" type="noConversion"/>
  </si>
  <si>
    <t>1629969806255138-0116307-48-01</t>
    <phoneticPr fontId="1" type="noConversion"/>
  </si>
  <si>
    <t>1629972145799269-0118408-31-01</t>
    <phoneticPr fontId="1" type="noConversion"/>
  </si>
  <si>
    <t>1629971991313063-0118403-88-01</t>
    <phoneticPr fontId="1" type="noConversion"/>
  </si>
  <si>
    <t>1629970727515225-0110803-19-02</t>
    <phoneticPr fontId="1" type="noConversion"/>
  </si>
  <si>
    <t>1629974981793150-0126242-37-02</t>
    <phoneticPr fontId="1" type="noConversion"/>
  </si>
  <si>
    <t>1629974779370516-0122491-71-01</t>
    <phoneticPr fontId="1" type="noConversion"/>
  </si>
  <si>
    <t>1629968841264376-0108590-94-02</t>
    <phoneticPr fontId="1" type="noConversion"/>
  </si>
  <si>
    <t>R123941367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</si>
  <si>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</si>
  <si>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</si>
  <si>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</si>
  <si>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</si>
  <si>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T123466594</t>
    <phoneticPr fontId="1" type="noConversion"/>
  </si>
  <si>
    <t>EM11006383</t>
    <phoneticPr fontId="1" type="noConversion"/>
  </si>
  <si>
    <t>executing_timestamp</t>
    <phoneticPr fontId="1" type="noConversion"/>
  </si>
  <si>
    <t>OMS_TIMESTAMP</t>
    <phoneticPr fontId="1" type="noConversion"/>
  </si>
  <si>
    <t>1629977457773749-0128502-98-02</t>
    <phoneticPr fontId="1" type="noConversion"/>
  </si>
  <si>
    <t>IsOkToSyncCip</t>
    <phoneticPr fontId="1" type="noConversion"/>
  </si>
  <si>
    <t xml:space="preserve">ok resync to cip </t>
  </si>
  <si>
    <t>{"requestModel":{"header":{"msgNo":"TS0116_00_20210826095101_95431","txnCode":"DpA05Td002503B01","txnTime":"2021-08-25 23:30:12","senderCode":"TS0116_00","receiverCode":"UP0090_00","operatorCode":"TLR99","unitCode":"9004"},"requestBody":{"funcId":"01","criteria":{"circiKey":"T123466594","propertyTypeCode":"0","partyCertNo":"T123466594","partyCertDate":"1984-03-01"},"dataSet":[{"customerStatusCode":"54","customerKycTypeCode":["F2","Q3"]}]}},"resultCode":"UP0090_00_V201","resultDescription":"必要性檢核錯誤","resultBody":null,"errorMessages":["檢查有誤，顧客ID已停用"]}</t>
  </si>
  <si>
    <t>{"requestModel":{"header":{"msgNo":"TS0116_00_20210823190036_88621","txnCode":"BT$CIFIX","txnTime":"2021-08-23 19:00:20","senderCode":"TS0116_00","receiverCode":"UP0090_00","operatorCode":"TS0116_00","unitCode":"9004"},"requestBody":{"funcId":"01","criteria":{"circiKey":"LD30139492","propertyTypeCode":"0","partyCertNo":"LD30139492","partyCertDate":"1992-02-29"},"dataSet":[{"contactAddr":"中清路四段８５號","residenceAddr":"中清路四段８５號","contactAddrLocality":"臺中市","contactAddrPostalCode":"428","contactAddrAdminArea":"大雅區","residenceAddrLocality":"臺中市","residenceAddrPostalCode":"428","residenceAddrAdminArea":"大雅區","contactAddrCountryCode":"TW","residenceAddrCountryCode":"TW"}]}},"resultCode":"UP0090_00_V201","resultDescription":"必要性檢核錯誤","resultBody":null,"errorMessages":["檢查有誤，顧客ID已停用"]}</t>
  </si>
  <si>
    <t xml:space="preserve">ok resync to cip </t>
    <phoneticPr fontId="1" type="noConversion"/>
  </si>
  <si>
    <t>LD30139492</t>
    <phoneticPr fontId="1" type="noConversion"/>
  </si>
  <si>
    <t>SC2021082600023</t>
    <phoneticPr fontId="1" type="noConversion"/>
  </si>
  <si>
    <t>done</t>
    <phoneticPr fontId="1" type="noConversion"/>
  </si>
  <si>
    <t>27-8月 -21 09.46.22.232000000 上午</t>
  </si>
  <si>
    <t>1630057582141480-0313505-59-01</t>
    <phoneticPr fontId="1" type="noConversion"/>
  </si>
  <si>
    <t>1629972611500323-0118402-44-01</t>
  </si>
  <si>
    <t>1629972611503761-0118402-47-01</t>
  </si>
  <si>
    <t>TS0116_00_20210827094622_88011</t>
  </si>
  <si>
    <t>DpA05Td002501B01</t>
  </si>
  <si>
    <t>{"requestModel":{"header":{"msgNo":"TS0116_00_20210827094622_88011","txnCode":"DpA05Td002501B01","txnTime":"2021-08-26 10:10:11","senderCode":"TS0116_00","receiverCode":"UP0090_00","operatorCode":"TLR99","unitCode":"9004"},"requestBody":{"funcId":"01","criteria":{"circiKey":"T123466594","propertyTypeCode":"0","partyCertNo":"T123466594","partyCertDate":"1984-03-01"},"dataSet":[{"customerStatusCode":null,"customerKycTypeCode":["Q3"]}]}},"resultCode":"UP0090_00_V201","resultDescription":"必要性檢核錯誤","resultBody":null,"errorMessages":["檢查有誤，顧客ID已停用"]}</t>
  </si>
  <si>
    <t>EM11006430</t>
    <phoneticPr fontId="1" type="noConversion"/>
  </si>
  <si>
    <t>SC2021082600001</t>
    <phoneticPr fontId="1" type="noConversion"/>
  </si>
  <si>
    <t>DONE</t>
    <phoneticPr fontId="1" type="noConversion"/>
  </si>
  <si>
    <t>SC2021082300088</t>
    <phoneticPr fontId="1" type="noConversion"/>
  </si>
  <si>
    <t>SC2021082300088</t>
    <phoneticPr fontId="1" type="noConversion"/>
  </si>
  <si>
    <t>1629714645935589-9548628-06-02</t>
    <phoneticPr fontId="1" type="noConversion"/>
  </si>
  <si>
    <t>A123012</t>
  </si>
  <si>
    <t>A228587610</t>
    <phoneticPr fontId="1" type="noConversion"/>
  </si>
  <si>
    <t>done</t>
    <phoneticPr fontId="1" type="noConversion"/>
  </si>
  <si>
    <t>SC2021082700041</t>
    <phoneticPr fontId="1" type="noConversion"/>
  </si>
  <si>
    <t>done</t>
    <phoneticPr fontId="1" type="noConversion"/>
  </si>
  <si>
    <t>SC2021082700004</t>
    <phoneticPr fontId="1" type="noConversion"/>
  </si>
  <si>
    <t>SC2021082600006</t>
    <phoneticPr fontId="1" type="noConversion"/>
  </si>
  <si>
    <t>EM11006383</t>
    <phoneticPr fontId="1" type="noConversion"/>
  </si>
  <si>
    <t>done</t>
    <phoneticPr fontId="1" type="noConversion"/>
  </si>
  <si>
    <t>done</t>
    <phoneticPr fontId="1" type="noConversion"/>
  </si>
  <si>
    <t>SC2021082700010</t>
    <phoneticPr fontId="1" type="noConversion"/>
  </si>
  <si>
    <t>發送異動通知電文給CIP回傳錯誤碼:UP0090_00_V501,錯誤碼訊息:正確性檢核錯誤,錯誤訊息:[agreeCrossSellingFlag該系統無寫入權限]</t>
    <phoneticPr fontId="1" type="noConversion"/>
  </si>
  <si>
    <t>1630580282471019-1452662-35-01</t>
    <phoneticPr fontId="1" type="noConversion"/>
  </si>
  <si>
    <t>1630580252331897-1447929-48-02</t>
  </si>
  <si>
    <t>1630580252344574-1447929-55-02</t>
  </si>
  <si>
    <t>A122065640</t>
  </si>
  <si>
    <t>NT1536</t>
  </si>
  <si>
    <t>NOT ok to sync CIP</t>
  </si>
  <si>
    <t>done</t>
    <phoneticPr fontId="1" type="noConversion"/>
  </si>
  <si>
    <t>昱彥</t>
    <phoneticPr fontId="1" type="noConversion"/>
  </si>
  <si>
    <t>昱彥已完成</t>
    <phoneticPr fontId="1" type="noConversion"/>
  </si>
  <si>
    <t>TS0116_00_20210902105732_8711</t>
    <phoneticPr fontId="1" type="noConversion"/>
  </si>
  <si>
    <t>清除CIFX同步異常註記</t>
    <phoneticPr fontId="1" type="noConversion"/>
  </si>
  <si>
    <t>EM11006298</t>
    <phoneticPr fontId="1" type="noConversion"/>
  </si>
  <si>
    <t>1629714645766135-9548566-87-02</t>
    <phoneticPr fontId="1" type="noConversion"/>
  </si>
  <si>
    <t>SC2021090700022</t>
    <phoneticPr fontId="1" type="noConversion"/>
  </si>
  <si>
    <t>DONE</t>
    <phoneticPr fontId="1" type="noConversion"/>
  </si>
  <si>
    <t>EM11006586</t>
    <phoneticPr fontId="1" type="noConversion"/>
  </si>
  <si>
    <t>錯誤碼訊息:必要性檢核錯誤</t>
  </si>
  <si>
    <t>錯誤碼訊息:正確性檢核錯誤</t>
  </si>
  <si>
    <t>1631188988667918-2789898-49-02</t>
  </si>
  <si>
    <t>TS0116_00_20210909120308_32321</t>
  </si>
  <si>
    <t>{"requestModel":{"header":{"msgNo":"TS0116_00_20210909120308_32321","txnCode":"NT1529","txnTime":"2021-09-09 12:03:08","senderCode":"TS0116_00","receiverCode":"UP0090_00","operatorCode":"TS0116_00","unitCode":"9004"},"requestBody":{"funcId":"01","criteria":{"circiKey":"AC30197902","propertyTypeCode":"0","partyCertNo":"AC30197902","partyCertDate":"1988-05-27"},"dataSet":[{"email":"SEANCHAI@OUTLOOK.COM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</si>
  <si>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done</t>
    <phoneticPr fontId="1" type="noConversion"/>
  </si>
  <si>
    <t xml:space="preserve"> -&gt;AC30197902
Y-&gt;A800129112</t>
    <phoneticPr fontId="1" type="noConversion"/>
  </si>
  <si>
    <t>N</t>
    <phoneticPr fontId="1" type="noConversion"/>
  </si>
  <si>
    <t>(補上改號資訊) ~~發送異動通知電文給CIP回傳錯誤碼:UP0090_00_V201</t>
    <phoneticPr fontId="1" type="noConversion"/>
  </si>
  <si>
    <t>1631188988989076-2789899-86-02</t>
    <phoneticPr fontId="1" type="noConversion"/>
  </si>
  <si>
    <t>AC30197902</t>
    <phoneticPr fontId="1" type="noConversion"/>
  </si>
  <si>
    <t>EM11006768</t>
    <phoneticPr fontId="1" type="noConversion"/>
  </si>
  <si>
    <t>1631188988751575-2789838-59-02</t>
    <phoneticPr fontId="1" type="noConversion"/>
  </si>
  <si>
    <t>SC2021090900036</t>
    <phoneticPr fontId="1" type="noConversion"/>
  </si>
  <si>
    <t>CIFX</t>
  </si>
  <si>
    <t>hus-11092@email.esunbank.com.tw</t>
  </si>
  <si>
    <t>done</t>
    <phoneticPr fontId="1" type="noConversion"/>
  </si>
  <si>
    <t>DONE</t>
    <phoneticPr fontId="1" type="noConversion"/>
  </si>
  <si>
    <t>發送異動通知電文給CIP回傳錯誤碼:UP0090_00_E301</t>
  </si>
  <si>
    <t>錯誤碼訊息:服務執行期錯誤</t>
  </si>
  <si>
    <t xml:space="preserve"> serviceName=CATEGORY_002</t>
  </si>
  <si>
    <t xml:space="preserve"> operationName=writeCustomerInfo</t>
  </si>
  <si>
    <t xml:space="preserve"> senderCode=TS0116_00</t>
  </si>
  <si>
    <t xml:space="preserve"> receiverCode=UP0090_00</t>
  </si>
  <si>
    <t xml:space="preserve"> authorizerCode=null</t>
  </si>
  <si>
    <t xml:space="preserve"> serviceResponse=null</t>
  </si>
  <si>
    <t xml:space="preserve"> queryResponseLineitems=[]]</t>
  </si>
  <si>
    <t xml:space="preserve"> funcId=01</t>
  </si>
  <si>
    <t xml:space="preserve"> companyEstablishDate=null</t>
  </si>
  <si>
    <t xml:space="preserve"> creditCardKey=null</t>
  </si>
  <si>
    <t xml:space="preserve"> exCirciKey=null</t>
  </si>
  <si>
    <t xml:space="preserve"> exCreditCardKey=null</t>
  </si>
  <si>
    <t xml:space="preserve"> propertyTypeCode=0</t>
  </si>
  <si>
    <t xml:space="preserve"> system=ConnectivitySystem [systemCode=TS0116_00</t>
  </si>
  <si>
    <t xml:space="preserve"> systemName=CIFX</t>
  </si>
  <si>
    <t xml:space="preserve"> changePriority=2</t>
  </si>
  <si>
    <t xml:space="preserve"> businessOrganization=個金處</t>
  </si>
  <si>
    <t xml:space="preserve"> custAccessMode=A]</t>
  </si>
  <si>
    <t xml:space="preserve"> changeRequestLineitems=[ChangeRequestLineitem [crLineitemId=null</t>
  </si>
  <si>
    <t xml:space="preserve"> rowIndex=1</t>
  </si>
  <si>
    <t xml:space="preserve"> goldenRecordItem=GoldenRecordItem [goldenRecordItemNo=F021</t>
  </si>
  <si>
    <t xml:space="preserve"> grecItemDescription=建檔單位代碼</t>
  </si>
  <si>
    <t xml:space="preserve"> serviceParameter=creationDptCode</t>
  </si>
  <si>
    <t xml:space="preserve"> groupRecordItemGroup=GoldenRecordItemGroup [goldenRecordItemGroupId=6</t>
  </si>
  <si>
    <t xml:space="preserve"> itemGroupCode=F</t>
  </si>
  <si>
    <t xml:space="preserve"> itemGroupName=顧客往來資訊]]</t>
  </si>
  <si>
    <t xml:space="preserve"> ChangeRequestLineitem [crLineitemId=null</t>
  </si>
  <si>
    <t xml:space="preserve"> goldenRecordItem=GoldenRecordItem [goldenRecordItemNo=A016</t>
  </si>
  <si>
    <t xml:space="preserve"> grecItemDescription=顧客姓名</t>
  </si>
  <si>
    <t xml:space="preserve"> serviceParameter=customerName</t>
  </si>
  <si>
    <t xml:space="preserve"> groupRecordItemGroup=GoldenRecordItemGroup [goldenRecordItemGroupId=1</t>
  </si>
  <si>
    <t xml:space="preserve"> itemGroupCode=A</t>
  </si>
  <si>
    <t xml:space="preserve"> itemGroupName=顧客基本資訊]]</t>
  </si>
  <si>
    <t xml:space="preserve"> goldenRecordItem=GoldenRecordItem [goldenRecordItemNo=F017</t>
  </si>
  <si>
    <t xml:space="preserve"> grecItemDescription=電子銀行特約服務項目（語音＆傳真）</t>
  </si>
  <si>
    <t xml:space="preserve"> serviceParameter=selfBankSpecialServiceFlag</t>
  </si>
  <si>
    <t xml:space="preserve"> goldenRecordItemContent=00000]</t>
  </si>
  <si>
    <t xml:space="preserve"> goldenRecordItem=GoldenRecordItem [goldenRecordItemNo=A060</t>
  </si>
  <si>
    <t xml:space="preserve"> grecItemDescription=成年監護(輔助)代碼</t>
  </si>
  <si>
    <t xml:space="preserve"> serviceParameter=grownUpGuardianshipCode</t>
  </si>
  <si>
    <t xml:space="preserve"> goldenRecordItemContent=0]</t>
  </si>
  <si>
    <t xml:space="preserve"> goldenRecordItem=GoldenRecordItem [goldenRecordItemNo=A036</t>
  </si>
  <si>
    <t xml:space="preserve"> grecItemDescription=行業屬性類別代碼</t>
  </si>
  <si>
    <t xml:space="preserve"> serviceParameter=industryPropsTypeCode</t>
  </si>
  <si>
    <t xml:space="preserve"> goldenRecordItemContent=02]</t>
  </si>
  <si>
    <t xml:space="preserve"> goldenRecordItem=GoldenRecordItem [goldenRecordItemNo=F020</t>
  </si>
  <si>
    <t xml:space="preserve"> grecItemDescription=主經營行代碼</t>
  </si>
  <si>
    <t xml:space="preserve"> serviceParameter=performanceDptCode</t>
  </si>
  <si>
    <t xml:space="preserve"> goldenRecordItem=GoldenRecordItem [goldenRecordItemNo=A023</t>
  </si>
  <si>
    <t xml:space="preserve"> grecItemDescription=國籍分類代碼</t>
  </si>
  <si>
    <t xml:space="preserve"> serviceParameter=nationalityCode</t>
  </si>
  <si>
    <t xml:space="preserve"> goldenRecordItem=GoldenRecordItem [goldenRecordItemNo=H005</t>
  </si>
  <si>
    <t xml:space="preserve"> grecItemDescription=拒絕貸放理由代碼</t>
  </si>
  <si>
    <t xml:space="preserve"> serviceParameter=refuseLoanReasonCode</t>
  </si>
  <si>
    <t xml:space="preserve"> groupRecordItemGroup=GoldenRecordItemGroup [goldenRecordItemGroupId=8</t>
  </si>
  <si>
    <t xml:space="preserve"> itemGroupCode=H</t>
  </si>
  <si>
    <t xml:space="preserve"> itemGroupName=顧客風險資訊]]</t>
  </si>
  <si>
    <t xml:space="preserve"> goldenRecordItem=GoldenRecordItem [goldenRecordItemNo=A021</t>
  </si>
  <si>
    <t xml:space="preserve"> grecItemDescription=註冊國別代碼</t>
  </si>
  <si>
    <t xml:space="preserve"> serviceParameter=regCountryCode</t>
  </si>
  <si>
    <t xml:space="preserve"> goldenRecordItemContent=TW]</t>
  </si>
  <si>
    <t xml:space="preserve"> goldenRecordItem=GoldenRecordItem [goldenRecordItemNo=A057</t>
  </si>
  <si>
    <t xml:space="preserve"> grecItemDescription=利息所得稅代碼</t>
  </si>
  <si>
    <t xml:space="preserve"> serviceParameter=incomeTaxTypeCode</t>
  </si>
  <si>
    <t xml:space="preserve"> goldenRecordItemContent=1]</t>
  </si>
  <si>
    <t xml:space="preserve"> goldenRecordItem=GoldenRecordItem [goldenRecordItemNo=A029</t>
  </si>
  <si>
    <t xml:space="preserve"> grecItemDescription=性別代碼</t>
  </si>
  <si>
    <t xml:space="preserve"> serviceParameter=genderCode</t>
  </si>
  <si>
    <t xml:space="preserve"> goldenRecordItemContent=M]</t>
  </si>
  <si>
    <t xml:space="preserve"> goldenRecordItem=GoldenRecordItem [goldenRecordItemNo=C002</t>
  </si>
  <si>
    <t xml:space="preserve"> grecItemDescription=停止蒐集利用個人資料註記</t>
  </si>
  <si>
    <t xml:space="preserve"> serviceParameter=stopUseCustomerDataFlag</t>
  </si>
  <si>
    <t xml:space="preserve"> groupRecordItemGroup=GoldenRecordItemGroup [goldenRecordItemGroupId=3</t>
  </si>
  <si>
    <t xml:space="preserve"> itemGroupCode=C</t>
  </si>
  <si>
    <t xml:space="preserve"> itemGroupName=顧客偏好資訊]]</t>
  </si>
  <si>
    <t xml:space="preserve"> goldenRecordItemContent= ]</t>
  </si>
  <si>
    <t xml:space="preserve"> goldenRecordItem=GoldenRecordItem [goldenRecordItemNo=B025</t>
  </si>
  <si>
    <t xml:space="preserve"> grecItemDescription=公司電話分機</t>
  </si>
  <si>
    <t xml:space="preserve"> serviceParameter=companyTelExtension</t>
  </si>
  <si>
    <t xml:space="preserve"> groupRecordItemGroup=GoldenRecordItemGroup [goldenRecordItemGroupId=2</t>
  </si>
  <si>
    <t xml:space="preserve"> itemGroupCode=B</t>
  </si>
  <si>
    <t xml:space="preserve"> itemGroupName=顧客聯絡資訊]]</t>
  </si>
  <si>
    <t xml:space="preserve"> goldenRecordItemContent=null]</t>
  </si>
  <si>
    <t xml:space="preserve"> goldenRecordItem=GoldenRecordItem [goldenRecordItemNo=B024</t>
  </si>
  <si>
    <t xml:space="preserve"> grecItemDescription=公司電話</t>
  </si>
  <si>
    <t xml:space="preserve"> serviceParameter=companyTel</t>
  </si>
  <si>
    <t xml:space="preserve"> goldenRecordItem=GoldenRecordItem [goldenRecordItemNo=B006</t>
  </si>
  <si>
    <t xml:space="preserve"> grecItemDescription=通訊地址郵遞區號</t>
  </si>
  <si>
    <t xml:space="preserve"> serviceParameter=contactAddrPostalCode</t>
  </si>
  <si>
    <t xml:space="preserve"> goldenRecordItem=GoldenRecordItem [goldenRecordItemNo=B010</t>
  </si>
  <si>
    <t xml:space="preserve"> grecItemDescription=通訊地址</t>
  </si>
  <si>
    <t xml:space="preserve"> serviceParameter=contactAddr</t>
  </si>
  <si>
    <t xml:space="preserve"> goldenRecordItem=GoldenRecordItem [goldenRecordItemNo=B009</t>
  </si>
  <si>
    <t xml:space="preserve"> grecItemDescription=通訊地址所在地(區鄉鎮)</t>
  </si>
  <si>
    <t xml:space="preserve"> serviceParameter=contactAddrAdminArea</t>
  </si>
  <si>
    <t xml:space="preserve"> goldenRecordItem=GoldenRecordItem [goldenRecordItemNo=B008</t>
  </si>
  <si>
    <t xml:space="preserve"> grecItemDescription=通訊地址所在地(縣市)</t>
  </si>
  <si>
    <t xml:space="preserve"> serviceParameter=contactAddrLocality</t>
  </si>
  <si>
    <t xml:space="preserve"> goldenRecordItem=GoldenRecordItem [goldenRecordItemNo=A034</t>
  </si>
  <si>
    <t xml:space="preserve"> grecItemDescription=行業編號（主計處代碼）</t>
  </si>
  <si>
    <t xml:space="preserve"> serviceParameter=dgbasIndustryCode</t>
  </si>
  <si>
    <t xml:space="preserve"> goldenRecordItem=GoldenRecordItem [goldenRecordItemNo=A035</t>
  </si>
  <si>
    <t xml:space="preserve"> grecItemDescription=行業編號（新央行代碼）</t>
  </si>
  <si>
    <t xml:space="preserve"> serviceParameter=ncbIndustryCode</t>
  </si>
  <si>
    <t xml:space="preserve"> goldenRecordItemContent=060000]</t>
  </si>
  <si>
    <t xml:space="preserve"> goldenRecordItem=GoldenRecordItem [goldenRecordItemNo=B022</t>
  </si>
  <si>
    <t xml:space="preserve"> grecItemDescription=聯繫用手機</t>
  </si>
  <si>
    <t xml:space="preserve"> serviceParameter=contactPhone</t>
  </si>
  <si>
    <t xml:space="preserve"> goldenRecordItem=GoldenRecordItem [goldenRecordItemNo=B003</t>
  </si>
  <si>
    <t xml:space="preserve"> grecItemDescription=戶籍/註冊地址所在地(縣市)</t>
  </si>
  <si>
    <t xml:space="preserve"> serviceParameter=residenceAddrLocality</t>
  </si>
  <si>
    <t xml:space="preserve"> goldenRecordItem=GoldenRecordItem [goldenRecordItemNo=B005</t>
  </si>
  <si>
    <t xml:space="preserve"> grecItemDescription=戶籍/註冊地址</t>
  </si>
  <si>
    <t xml:space="preserve"> serviceParameter=residenceAddr</t>
  </si>
  <si>
    <t xml:space="preserve"> goldenRecordItem=GoldenRecordItem [goldenRecordItemNo=B001</t>
  </si>
  <si>
    <t xml:space="preserve"> grecItemDescription=戶籍/註冊地址郵遞區號</t>
  </si>
  <si>
    <t xml:space="preserve"> serviceParameter=residenceAddrPostalCode</t>
  </si>
  <si>
    <t xml:space="preserve"> goldenRecordItem=GoldenRecordItem [goldenRecordItemNo=B004</t>
  </si>
  <si>
    <t xml:space="preserve"> grecItemDescription=戶籍/註冊地址所在地(區鄉鎮)</t>
  </si>
  <si>
    <t xml:space="preserve"> serviceParameter=residenceAddrAdminArea</t>
  </si>
  <si>
    <t xml:space="preserve"> goldenRecordItem=GoldenRecordItem [goldenRecordItemNo=B007</t>
  </si>
  <si>
    <t xml:space="preserve"> grecItemDescription=通訊地址國別</t>
  </si>
  <si>
    <t xml:space="preserve"> serviceParameter=contactAddrCountryCode</t>
  </si>
  <si>
    <t xml:space="preserve"> goldenRecordItem=GoldenRecordItem [goldenRecordItemNo=A019</t>
  </si>
  <si>
    <t xml:space="preserve"> grecItemDescription=自然人出生日期</t>
  </si>
  <si>
    <t xml:space="preserve"> serviceParameter=customerBirthday</t>
  </si>
  <si>
    <t xml:space="preserve"> goldenRecordItem=GoldenRecordItem [goldenRecordItemNo=B002</t>
  </si>
  <si>
    <t xml:space="preserve"> grecItemDescription=戶籍/註冊地址國別</t>
  </si>
  <si>
    <t xml:space="preserve"> serviceParameter=residenceAddrCountryCode</t>
  </si>
  <si>
    <t xml:space="preserve"> goldenRecordItemContent=TW]]</t>
  </si>
  <si>
    <t xml:space="preserve"> custType=P</t>
  </si>
  <si>
    <t xml:space="preserve"> certTypeCode=00</t>
  </si>
  <si>
    <t xml:space="preserve"> partyKind=P</t>
  </si>
  <si>
    <t xml:space="preserve"> oldRestart=false</t>
  </si>
  <si>
    <t xml:space="preserve"> customerTag=null</t>
  </si>
  <si>
    <t xml:space="preserve"> idChangeState=null</t>
  </si>
  <si>
    <t xml:space="preserve"> circiKey=null</t>
  </si>
  <si>
    <t xml:space="preserve"> serviceInterchangeTime=Fri Sep 10 11:51:03 GMT+08:00 2021</t>
  </si>
  <si>
    <t xml:space="preserve"> msgNo=TS0116_00_20210910115103_83611</t>
  </si>
  <si>
    <t xml:space="preserve"> txnCode=A101011</t>
  </si>
  <si>
    <t xml:space="preserve"> txnTime=Fri Sep 10 11:51:03 GMT+08:00 2021</t>
  </si>
  <si>
    <t xml:space="preserve"> operatorCode=10423</t>
  </si>
  <si>
    <t xml:space="preserve"> unitCode=0864</t>
  </si>
  <si>
    <t xml:space="preserve"> custName=張永松</t>
  </si>
  <si>
    <t xml:space="preserve"> circiKey=Y120344594</t>
  </si>
  <si>
    <t xml:space="preserve"> certNo=Y120344594</t>
  </si>
  <si>
    <t xml:space="preserve"> certDate=Thu Sep 07 00:00:00 GMT+08:00 1961</t>
  </si>
  <si>
    <t xml:space="preserve"> replyOverWrite=false</t>
  </si>
  <si>
    <t xml:space="preserve"> removal=false</t>
  </si>
  <si>
    <t xml:space="preserve"> custConfirmation=true</t>
  </si>
  <si>
    <t xml:space="preserve"> goldenRecordItemContent=0864]</t>
  </si>
  <si>
    <t xml:space="preserve"> goldenRecordItemContent=張永松]</t>
  </si>
  <si>
    <t xml:space="preserve"> goldenRecordItem=GoldenRecordItem [goldenRecordItemNo=A030</t>
  </si>
  <si>
    <t xml:space="preserve"> grecItemDescription=自然人行業類別代碼</t>
  </si>
  <si>
    <t xml:space="preserve"> serviceParameter=industryTypeCode</t>
  </si>
  <si>
    <t xml:space="preserve"> goldenRecordItemContent=15]</t>
  </si>
  <si>
    <t xml:space="preserve"> goldenRecordItem=GoldenRecordItem [goldenRecordItemNo=B023</t>
  </si>
  <si>
    <t xml:space="preserve"> grecItemDescription=OTP約定手機</t>
  </si>
  <si>
    <t xml:space="preserve"> serviceParameter=txnPhone</t>
  </si>
  <si>
    <t xml:space="preserve"> goldenRecordItemContent=0916317217]</t>
  </si>
  <si>
    <t xml:space="preserve"> goldenRecordItemContent=203]</t>
  </si>
  <si>
    <t xml:space="preserve"> goldenRecordItemContent=中華路１０５巷６４之１號]</t>
  </si>
  <si>
    <t xml:space="preserve"> goldenRecordItemContent=中山區]</t>
  </si>
  <si>
    <t xml:space="preserve"> goldenRecordItemContent=基隆市]</t>
  </si>
  <si>
    <t xml:space="preserve"> goldenRecordItem=GoldenRecordItem [goldenRecordItemNo=B026</t>
  </si>
  <si>
    <t xml:space="preserve"> grecItemDescription=通訊電話</t>
  </si>
  <si>
    <t xml:space="preserve"> serviceParameter=contactTel</t>
  </si>
  <si>
    <t xml:space="preserve"> goldenRecordItemContent=0935513105]</t>
  </si>
  <si>
    <t xml:space="preserve"> goldenRecordItemContent=061700]</t>
  </si>
  <si>
    <t xml:space="preserve"> goldenRecordItem=GoldenRecordItem [goldenRecordItemNo=B029</t>
  </si>
  <si>
    <t xml:space="preserve"> grecItemDescription=EMAIL</t>
  </si>
  <si>
    <t xml:space="preserve"> serviceParameter=email</t>
  </si>
  <si>
    <t xml:space="preserve"> goldenRecordItemContent=通明里１９鄰中華路１０５巷６４之１號]</t>
  </si>
  <si>
    <t xml:space="preserve"> goldenRecordItem=GoldenRecordItem [goldenRecordItemNo=A032</t>
  </si>
  <si>
    <t xml:space="preserve"> grecItemDescription=顧客服務公司統編</t>
  </si>
  <si>
    <t xml:space="preserve"> serviceParameter=serveCompanyCertNo</t>
  </si>
  <si>
    <t xml:space="preserve"> goldenRecordItem=GoldenRecordItem [goldenRecordItemNo=A033</t>
  </si>
  <si>
    <t xml:space="preserve"> grecItemDescription=顧客服務公司名稱</t>
  </si>
  <si>
    <t xml:space="preserve"> serviceParameter=serveCompanyName</t>
  </si>
  <si>
    <t xml:space="preserve"> goldenRecordItemContent=自營－資源回收]</t>
  </si>
  <si>
    <t xml:space="preserve"> goldenRecordItem=GoldenRecordItem [goldenRecordItemNo=A031</t>
  </si>
  <si>
    <t xml:space="preserve"> grecItemDescription=職稱</t>
  </si>
  <si>
    <t xml:space="preserve"> serviceParameter=jobTitle</t>
  </si>
  <si>
    <t xml:space="preserve"> goldenRecordItemContent=雇主]</t>
  </si>
  <si>
    <t xml:space="preserve"> goldenRecordItemContent=1961-09-07]</t>
  </si>
  <si>
    <t xml:space="preserve"> relationRemoval=false]；CustCipIdentity:CustCipIdentity [custId=8890628</t>
  </si>
  <si>
    <t xml:space="preserve"> birthDay=Thu Sep 07 00:00:00 GMT+08:00 1961]；ServiceInterchange:ServiceInterchange [serviceInterchangeId=1631274663631016191</t>
  </si>
  <si>
    <t>S124476271</t>
  </si>
  <si>
    <t>AQF0308</t>
  </si>
  <si>
    <t>1631282359972060-2998842-39-01</t>
    <phoneticPr fontId="1" type="noConversion"/>
  </si>
  <si>
    <t>1631274664247386-2980763-81-01</t>
    <phoneticPr fontId="1" type="noConversion"/>
  </si>
  <si>
    <t>TS0116_00_20210910115103_83611</t>
  </si>
  <si>
    <t>Y120344594</t>
  </si>
  <si>
    <t>A101011</t>
  </si>
  <si>
    <t>txnCode:"A101011"</t>
  </si>
  <si>
    <t>txnTime:"2021-09-10 11:51:03"</t>
  </si>
  <si>
    <t>senderCode:"TS0116_00"</t>
  </si>
  <si>
    <t>receiverCode:"UP0090_00"</t>
  </si>
  <si>
    <t>operatorCode:"10423"</t>
  </si>
  <si>
    <t>unitCode:"0864"}</t>
  </si>
  <si>
    <t>requestBody:{"funcId":"01"</t>
  </si>
  <si>
    <t>criteria:{"circiKey":"Y120344594"</t>
  </si>
  <si>
    <t>propertyTypeCode:"0"</t>
  </si>
  <si>
    <t>partyCertNo:"Y120344594"</t>
  </si>
  <si>
    <t>partyCertDate:"1961-09-07"}</t>
  </si>
  <si>
    <t>dataSet:[{"creationDptCode":"0864"</t>
  </si>
  <si>
    <t>serveCompanyCertNo:null</t>
  </si>
  <si>
    <t>jobTitle:"雇主"</t>
  </si>
  <si>
    <t>grownUpGuardianshipCode:"0"</t>
  </si>
  <si>
    <t>performanceDptCode:"0864"</t>
  </si>
  <si>
    <t>residenceAddrAdminArea:"中山區"</t>
  </si>
  <si>
    <t>contactTel:"0935513105"</t>
  </si>
  <si>
    <t>industryPropsTypeCode:"02"</t>
  </si>
  <si>
    <t>nationalityCode:"0"</t>
  </si>
  <si>
    <t>companyTelExtension:null</t>
  </si>
  <si>
    <t>contactAddr:"中華路１０５巷６４之１號"</t>
  </si>
  <si>
    <t>customerBirthday:"1961-09-07"</t>
  </si>
  <si>
    <t>incomeTaxTypeCode:"1"</t>
  </si>
  <si>
    <t>industryTypeCode:"15"</t>
  </si>
  <si>
    <t>email:null</t>
  </si>
  <si>
    <t>selfBankSpecialServiceFlag:"00000"</t>
  </si>
  <si>
    <t>stopUseCustomerDataFlag:" "</t>
  </si>
  <si>
    <t>regCountryCode:"TW"</t>
  </si>
  <si>
    <t>dgbasIndustryCode:"061700"</t>
  </si>
  <si>
    <t>circiKey:"Y120344594"</t>
  </si>
  <si>
    <t>txnPhone:"0916317217"</t>
  </si>
  <si>
    <t>residenceAddrLocality:"基隆市"</t>
  </si>
  <si>
    <t>companyTel:"0916317217"</t>
  </si>
  <si>
    <t>refuseLoanReasonCode:"0"</t>
  </si>
  <si>
    <t>contactAddrPostalCode:"203"</t>
  </si>
  <si>
    <t>contactAddrAdminArea:"中山區"</t>
  </si>
  <si>
    <t>customerName:"張永松"</t>
  </si>
  <si>
    <t>genderCode:"M"</t>
  </si>
  <si>
    <t>personCertNo:"Y120344594"</t>
  </si>
  <si>
    <t>contactAddrLocality:"基隆市"</t>
  </si>
  <si>
    <t>serveCompanyName:"自營－資源回收"</t>
  </si>
  <si>
    <t>ncbIndustryCode:"060000"</t>
  </si>
  <si>
    <t>contactPhone:"0916317217"</t>
  </si>
  <si>
    <t>residenceAddrCountryCode:"TW"</t>
  </si>
  <si>
    <t>residenceAddr:"通明里１９鄰中華路１０５巷６４之１號"</t>
  </si>
  <si>
    <t>residenceAddrPostalCode:"203"}]</t>
  </si>
  <si>
    <t>option:{"isReplyOverWrite":false</t>
  </si>
  <si>
    <t>isRemoval:false</t>
  </si>
  <si>
    <t>isCustConfirmation:true</t>
  </si>
  <si>
    <t>isRelationRemoval:false}}}</t>
  </si>
  <si>
    <t>resultCode:"UP0090_00_E301"</t>
  </si>
  <si>
    <t>resultDescription:"服務執行期錯誤"</t>
  </si>
  <si>
    <t>errorMessages:["顧客識別寫入CI發生錯誤。ChangeRequest:ChangeRequest [serviceInterchange=ServiceInterchange [serviceInterchangeId=1631274663631016191</t>
  </si>
  <si>
    <t xml:space="preserve"> Exception : "]}</t>
  </si>
  <si>
    <t>{"requestModel":{"header":{"msgNo":"TS0116_00_20210910115103_83611","txnCode":"A101011","txnTime":"2021-09-10 11:51:03","senderCode":"TS0116_00","receiverCode":"UP0090_00","operatorCode":"10423","unitCode":"0864"},"requestBody":{"funcId":"01","criteria":{"circiKey":"Y120344594","propertyTypeCode":"0","partyCertNo":"Y120344594","partyCertDate":"1961-09-07"},"dataSet":[{"creationDptCode":"0864","serveCompanyCertNo":null,"jobTitle":"雇主","grownUpGuardianshipCode":"0","performanceDptCode":"0864","residenceAddrAdminArea":"中山區","contactTel":"0935513105","industryPropsTypeCode":"02","nationalityCode":"0","companyTelExtension":null,"contactAddr":"中華路１０５巷６４之１號","customerBirthday":"1961-09-07","incomeTaxTypeCode":"1","industryTypeCode":"15","email":null,"selfBankSpecialServiceFlag":"00000","stopUseCustomerDataFlag":" ","regCountryCode":"TW","dgbasIndustryCode":"061700","circiKey":"Y120344594","txnPhone":"0916317217","residenceAddrLocality":"基隆市","companyTel":"0916317217","refuseLoanReasonCode":"0","contactAddrPostalCode":"203","contactAddrCountryCode":"TW","propertyTypeCode":"0","contactAddrAdminArea":"中山區","customerName":"張永松","genderCode":"M","personCertNo":"Y120344594","contactAddrLocality":"基隆市","serveCompanyName":"自營－資源回收","ncbIndustryCode":"060000","contactPhone":"0916317217","residenceAddrCountryCode":"TW","residenceAddr":"通明里１９鄰中華路１０５巷６４之１號","residenceAddrPostalCode":"203"}],"option":{"isReplyOverWrite":false,"isRemoval":false,"isCustConfirmation":true,"isRelationRemoval":false}}},"resultCode":"UP0090_00_E301","resultDescription":"服務執行期錯誤","resultBody":null,"errorMessages":["顧客識別寫入CI發生錯誤。ChangeRequest:ChangeRequest [serviceInterchange=ServiceInterchange [serviceInterchangeId=1631274663631016191, serviceInterchangeTime=Fri Sep 10 11:51:03 GMT+08:00 2021, msgNo=TS0116_00_20210910115103_83611, serviceName=CATEGORY_002, operationName=writeCustomerInfo, txnCode=A101011, txnTime=Fri Sep 10 11:51:03 GMT+08:00 2021, senderCode=TS0116_00, receiverCode=UP0090_00, operatorCode=10423, unitCode=0864, authorizerCode=null, serviceResponse=null, queryResponseLineitems=[]], funcId=01, custName=張永松, companyEstablishDate=null, circiKey=Y120344594, creditCardKey=null, certNo=Y120344594, certDate=Thu Sep 07 00:00:00 GMT+08:00 1961,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goldenRecordItemContent=0864],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goldenRecordItemContent=張永松],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goldenRecordItemContent=0864],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goldenRecordItemContent=0916317217],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goldenRecordItemContent=0916317217],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goldenRecordItemContent=203],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goldenRecordItemContent=中華路１０５巷６４之１號],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goldenRecordItemContent=中山區],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goldenRecordItemContent=基隆市],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goldenRecordItemContent=0935513105],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goldenRecordItemContent=0916317217],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goldenRecordItemContent=null],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goldenRecordItemContent=基隆市],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goldenRecordItemContent=通明里１９鄰中華路１０５巷６４之１號],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goldenRecordItemContent=203],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goldenRecordItemContent=中山區],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goldenRecordItemContent=自營－資源回收],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goldenRecordItemContent=雇主],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goldenRecordItemContent=1961-09-07],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[custId=8890628, custType=P, certTypeCode=00, partyKind=P, oldRestart=false, customerTag=null, idChangeState=null, creditCardKey=null, circiKey=null, birthDay=Thu Sep 07 00:00:00 GMT+08:00 1961]；ServiceInterchange:ServiceInterchange [serviceInterchangeId=1631274663631016191, serviceInterchangeTime=Fri Sep 10 11:51:03 GMT+08:00 2021, msgNo=TS0116_00_20210910115103_83611, serviceName=CATEGORY_002, operationName=writeCustomerInfo, txnCode=A101011, txnTime=Fri Sep 10 11:51:03 GMT+08:00 2021, senderCode=TS0116_00, receiverCode=UP0090_00, operatorCode=10423, unitCode=0864, authorizerCode=null, serviceResponse=null, queryResponseLineitems=[]], Exception : "]}</t>
    <phoneticPr fontId="1" type="noConversion"/>
  </si>
  <si>
    <t>{"requestModel":{"header":{"msgNo":"TS0116_00_20210910135919_54121","txnCode":"AQF0308","txnTime":"2021-09-10 13:59:19","senderCode":"TS0116_00","receiverCode":"UP0090_00","operatorCode":"LA","unitCode":"9008"},"requestBody":{"funcId":"01","criteria":{"circiKey":"S124476271","propertyTypeCode":"0","partyCertNo":"S124476271","partyCertDate":"1994-05-16"},"dataSet":[{"creationDptCode":"9008","grownUpGuardianshipCode":"0","performanceDptCode":"9008","residenceAddrAdminArea":"鳳山區","industryPropsTypeCode":"02","nationalityCode":"0","companyTelExtension":null,"contactAddr":"國光路９１巷４弄４之４號","customerBirthday":"1994-05-16","incomeTaxTypeCode":"1","selfBankSpecialServiceFlag":"00000","stopUseCustomerDataFlag":" ","regCountryCode":"TW","dgbasIndustryCode":"061610","circiKey":"S124476271","residenceAddrLocality":"高雄市","companyTel":"00","refuseLoanReasonCode":"0","contactAddrPostalCode":"830","contactAddrCountryCode":"TW","propertyTypeCode":"0","contactAddrAdminArea":"鳳山區","customerName":"孟繁榮","genderCode":"M","personCertNo":"S124476271","contactAddrLocality":"高雄市","ncbIndustryCode":"060000","contactPhone":"0968556377","residenceAddrCountryCode":"TW","residenceAddr":"國光路９１巷４弄４之４號","residenceAddrPostalCode":"830"}]}},"resultCode":"UP0090_00_E301","resultDescription":"服務執行期錯誤","resultBody":null,"errorMessages":["顧客識別寫入CI發生錯誤。ChangeRequest:ChangeRequest [serviceInterchange=ServiceInterchange [serviceInterchangeId=1631282359448507471, serviceInterchangeTime=Fri Sep 10 13:59:19 GMT+08:00 2021, msgNo=TS0116_00_20210910135919_54121, serviceName=CATEGORY_002, operationName=writeCustomerInfo, txnCode=AQF0308, txnTime=Fri Sep 10 13:59:19 GMT+08:00 2021, senderCode=TS0116_00, receiverCode=UP0090_00, operatorCode=LA, unitCode=9008, authorizerCode=null, serviceResponse=null, queryResponseLineitems=[]], funcId=01, custName=孟繁榮, companyEstablishDate=null, circiKey=S124476271, creditCardKey=null, certNo=S124476271, certDate=Mon May 16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goldenRecordItemContent=孟繁榮],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goldenRecordItemContent=830],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goldenRecordItemContent=國光路９１巷４弄４之４號],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goldenRecordItemContent=鳳山區],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goldenRecordItemContent=0968556377],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goldenRecordItemContent=國光路９１巷４弄４之４號],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goldenRecordItemContent=830],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goldenRecordItemContent=鳳山區],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goldenRecordItemContent=1994-05-16],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[custId=10146150, custType=P, certTypeCode=00, partyKind=P, oldRestart=false, customerTag=null, idChangeState=null, creditCardKey=null, circiKey=null, birthDay=null]；ServiceInterchange:ServiceInterchange [serviceInterchangeId=1631282359448507471, serviceInterchangeTime=Fri Sep 10 13:59:19 GMT+08:00 2021, msgNo=TS0116_00_20210910135919_54121, serviceName=CATEGORY_002, operationName=writeCustomerInfo, txnCode=AQF0308, txnTime=Fri Sep 10 13:59:19 GMT+08:00 2021, senderCode=TS0116_00, receiverCode=UP0090_00, operatorCode=LA, unitCode=9008, authorizerCode=null, serviceResponse=null, queryResponseLineitems=[]], Exception : "]}</t>
    <phoneticPr fontId="1" type="noConversion"/>
  </si>
  <si>
    <t>1631274663265688-2984995-40-02</t>
    <phoneticPr fontId="1" type="noConversion"/>
  </si>
  <si>
    <t>1631282359201801-3003350-27-02</t>
    <phoneticPr fontId="1" type="noConversion"/>
  </si>
  <si>
    <t>1631274663226272-2984995-87-02</t>
    <phoneticPr fontId="1" type="noConversion"/>
  </si>
  <si>
    <t>TS0116_00_20210910135919_54121</t>
    <phoneticPr fontId="1" type="noConversion"/>
  </si>
  <si>
    <t>1631282359227805-3003350-70-02</t>
    <phoneticPr fontId="1" type="noConversion"/>
  </si>
  <si>
    <t>SC2021091300063</t>
    <phoneticPr fontId="1" type="noConversion"/>
  </si>
  <si>
    <t>SC2021091300063</t>
    <phoneticPr fontId="1" type="noConversion"/>
  </si>
  <si>
    <t>因OMS發送失敗, 沒有事件單</t>
    <phoneticPr fontId="1" type="noConversion"/>
  </si>
  <si>
    <t>DONE</t>
    <phoneticPr fontId="1" type="noConversion"/>
  </si>
  <si>
    <t>DONE</t>
    <phoneticPr fontId="1" type="noConversion"/>
  </si>
  <si>
    <t>1631710814564659-3946360-65-01</t>
  </si>
  <si>
    <t>1631710814574737-3946360-69-01</t>
  </si>
  <si>
    <t>TS0116_00_20210915130022_52831</t>
  </si>
  <si>
    <t>JB20026625</t>
  </si>
  <si>
    <t>1631710814405868-3946360-98-01</t>
  </si>
  <si>
    <t>1631710814420346-3946360-04-01</t>
  </si>
  <si>
    <t>TS0116_00_20210915130022_84162</t>
  </si>
  <si>
    <t>BD30050416</t>
  </si>
  <si>
    <t>{"requestModel":{"header":{"msgNo":"TS0116_00_20210915130022_52831","txnCode":"BT$CIFIX","txnTime":"2021-09-15 13:00:14","senderCode":"TS0116_00","receiverCode":"UP0090_00","operatorCode":"TS0116_00","unitCode":"9004"},"requestBody":{"funcId":"01","criteria":{"circiKey":"JB20026625","propertyTypeCode":"0","partyCertNo":"JB20026625","partyCertDate":"1981-02-20"},"dataSet":[{"regCountryCode":"CN"}]}},"resultCode":"UP0090_00_V201","resultDescription":"必要性檢核錯誤","resultBody":null,"errorMessages":["檢查有誤，顧客ID已停用"]}</t>
  </si>
  <si>
    <t>{"requestModel":{"header":{"msgNo":"TS0116_00_20210915130022_84162","txnCode":"BT$CIFIX","txnTime":"2021-09-15 13:00:14","senderCode":"TS0116_00","receiverCode":"UP0090_00","operatorCode":"TS0116_00","unitCode":"9004"},"requestBody":{"funcId":"01","criteria":{"circiKey":"BD30050416","propertyTypeCode":"0","partyCertNo":"BD30050416","partyCertDate":"1984-06-24"},"dataSet":[{"regCountryCode":"PH"}]}},"resultCode":"UP0090_00_V201","resultDescription":"必要性檢核錯誤","resultBody":null,"errorMessages":["檢查有誤，顧客ID已停用"]}</t>
  </si>
  <si>
    <t>1631710822708388-3945600-05-01</t>
    <phoneticPr fontId="1" type="noConversion"/>
  </si>
  <si>
    <t xml:space="preserve"> -&gt;JB20026625
Y-&gt;C990003276</t>
    <phoneticPr fontId="1" type="noConversion"/>
  </si>
  <si>
    <t>1631710822205013-3945622-60-01</t>
    <phoneticPr fontId="1" type="noConversion"/>
  </si>
  <si>
    <t xml:space="preserve"> -&gt;BD30050416
Y-&gt;B900066588</t>
    <phoneticPr fontId="1" type="noConversion"/>
  </si>
  <si>
    <t>1631710821636173-3945568-99-01</t>
    <phoneticPr fontId="1" type="noConversion"/>
  </si>
  <si>
    <t>1631710814217158-3946360-38-01</t>
  </si>
  <si>
    <t>1631710814229054-3946360-42-01</t>
  </si>
  <si>
    <t>TS0116_00_20210915130021_12321</t>
  </si>
  <si>
    <t>{"requestModel":{"header":{"msgNo":"TS0116_00_20210915130021_12321","txnCode":"BT$CIFIX","txnTime":"2021-09-15 13:00:14","senderCode":"TS0116_00","receiverCode":"UP0090_00","operatorCode":"TS0116_00","unitCode":"9004"},"requestBody":{"funcId":"01","criteria":{"circiKey":"AD02301229","propertyTypeCode":"0","partyCertNo":"AD02301229","partyCertDate":"1969-08-08"},"dataSet":[{"regCountryCode":"JP"}]}},"resultCode":"UP0090_00_V201","resultDescription":"必要性檢核錯誤","resultBody":null,"errorMessages":["檢查有誤，顧客ID已停用"]}</t>
  </si>
  <si>
    <t>AD02301229</t>
    <phoneticPr fontId="1" type="noConversion"/>
  </si>
  <si>
    <t xml:space="preserve"> -&gt;AD02301229
Y-&gt;A900168148</t>
    <phoneticPr fontId="1" type="noConversion"/>
  </si>
  <si>
    <t>1631710817515176-3945559-05-01</t>
    <phoneticPr fontId="1" type="noConversion"/>
  </si>
  <si>
    <t>1631710812921819-3946360-83-01</t>
  </si>
  <si>
    <t>1631710812933075-3946360-87-01</t>
  </si>
  <si>
    <t>TS0116_00_20210915130017_17311</t>
  </si>
  <si>
    <t>FC30049586</t>
  </si>
  <si>
    <t>{"requestModel":{"header":{"msgNo":"TS0116_00_20210915130017_17311","txnCode":"BT$CIFIX","txnTime":"2021-09-15 13:00:12","senderCode":"TS0116_00","receiverCode":"UP0090_00","operatorCode":"TS0116_00","unitCode":"9004"},"requestBody":{"funcId":"01","criteria":{"circiKey":"FC30049586","propertyTypeCode":"0","partyCertNo":"FC30049586","partyCertDate":"1986-01-14"},"dataSet":[{"regCountryCode":"KR"}]}},"resultCode":"UP0090_00_V201","resultDescription":"必要性檢核錯誤","resultBody":null,"errorMessages":["檢查有誤，顧客ID已停用"]}</t>
  </si>
  <si>
    <t>1631710814413066-3945585-01-01</t>
    <phoneticPr fontId="1" type="noConversion"/>
  </si>
  <si>
    <t>1631710811798608-3946360-70-01</t>
  </si>
  <si>
    <t>1631710811808422-3946360-74-01</t>
  </si>
  <si>
    <t>TS0116_00_20210915130014_48431</t>
  </si>
  <si>
    <t>SC00389442</t>
  </si>
  <si>
    <t>{"requestModel":{"header":{"msgNo":"TS0116_00_20210915130014_48431","txnCode":"BT$CIFIX","txnTime":"2021-09-15 13:00:11","senderCode":"TS0116_00","receiverCode":"UP0090_00","operatorCode":"TS0116_00","unitCode":"9004"},"requestBody":{"funcId":"01","criteria":{"circiKey":"SC00389442","propertyTypeCode":"0","partyCertNo":"SC00389442","partyCertDate":"1974-02-25"},"dataSet":[{"regCountryCode":"MY"}]}},"resultCode":"UP0090_00_V201","resultDescription":"必要性檢核錯誤","resultBody":null,"errorMessages":["檢查有誤，顧客ID已停用"]}</t>
  </si>
  <si>
    <t>EM11006891</t>
    <phoneticPr fontId="1" type="noConversion"/>
  </si>
  <si>
    <t>SC2021091500056</t>
    <phoneticPr fontId="1" type="noConversion"/>
  </si>
  <si>
    <t>1631894531068583-4361089-17-02</t>
    <phoneticPr fontId="1" type="noConversion"/>
  </si>
  <si>
    <t>1631894432352930-4361422-82-02</t>
  </si>
  <si>
    <t>1631894432364444-4361422-87-02</t>
  </si>
  <si>
    <t>TS0116_00_20210917160210_92061</t>
  </si>
  <si>
    <t>NC01132649</t>
  </si>
  <si>
    <t>1632494701503268-5647538-42-02</t>
  </si>
  <si>
    <t>1632494701573449-5638997-51-01</t>
  </si>
  <si>
    <t>P223441960</t>
  </si>
  <si>
    <t>1632494731681672-5639113-34-01</t>
    <phoneticPr fontId="1" type="noConversion"/>
  </si>
  <si>
    <t>A121013</t>
  </si>
  <si>
    <t>TS0116_00_20210924144501_86511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</si>
  <si>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</si>
  <si>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</si>
  <si>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</si>
  <si>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</si>
  <si>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</si>
  <si>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EM11007091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</si>
  <si>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</si>
  <si>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</si>
  <si>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</si>
  <si>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SC2021092400079</t>
    <phoneticPr fontId="1" type="noConversion"/>
  </si>
  <si>
    <t>01-10月-21 04.20.43.194000000 下午</t>
  </si>
  <si>
    <t>24-9月 -21 02.45.31.777000000 下午</t>
  </si>
  <si>
    <t>1633105243147531-6986609-84-01</t>
    <phoneticPr fontId="1" type="noConversion"/>
  </si>
  <si>
    <t>1633105242827701-6977357-62-02</t>
  </si>
  <si>
    <t>TS0116_00_20211001162042_96321</t>
  </si>
  <si>
    <t>{"requestModel":{"header":{"msgNo":"TS0116_00_20211001162042_96321","txnCode":"A123012","txnTime":"2021-10-01 16:20:42","senderCode":"TS0116_00","receiverCode":"UP0090_00","operatorCode":"15405","unitCode":"0277"},"requestBody":{"funcId":"01","criteria":{"circiKey":"BD00815267","propertyTypeCode":"0","partyCertNo":"BD00815267","partyCertDate":"1990-05-15"},"dataSet":[{"customerStatusCode":"99"}]}},"resultCode":"UP0090_00_V201","resultDescription":"必要性檢核錯誤","resultBody":null,"errorMessages":["檢查有誤，顧客ID已停用"]}</t>
  </si>
  <si>
    <t xml:space="preserve"> -&gt;BD00815267
Y-&gt;F900306929</t>
    <phoneticPr fontId="1" type="noConversion"/>
  </si>
  <si>
    <t>BD00815267</t>
    <phoneticPr fontId="1" type="noConversion"/>
  </si>
  <si>
    <t>A123012</t>
    <phoneticPr fontId="1" type="noConversion"/>
  </si>
  <si>
    <t>N</t>
    <phoneticPr fontId="1" type="noConversion"/>
  </si>
  <si>
    <t>EM11007341</t>
    <phoneticPr fontId="1" type="noConversion"/>
  </si>
  <si>
    <t>done</t>
    <phoneticPr fontId="1" type="noConversion"/>
  </si>
  <si>
    <t>done</t>
    <phoneticPr fontId="1" type="noConversion"/>
  </si>
  <si>
    <t>麻煩請協助清除CIFX同步CIP失敗註記，</t>
    <phoneticPr fontId="1" type="noConversion"/>
  </si>
  <si>
    <t>發送異動通知電文給CIP回傳錯誤碼:UP0090_00_V201,錯誤碼訊息:必要性檢核錯誤,錯誤訊息:[檢查有誤，AC30060491 顧客曾經執行過ID改號]</t>
  </si>
  <si>
    <t>1633434864053842-7688245-32-02</t>
    <phoneticPr fontId="1" type="noConversion"/>
  </si>
  <si>
    <t>1633434863735491-7682334-94-01</t>
  </si>
  <si>
    <t>TS0116_00_20211005115423_56511</t>
  </si>
  <si>
    <t>{"requestModel":{"header":{"msgNo":"TS0116_00_20211005115423_56511","txnCode":"01","txnTime":"2021-10-05 11:54:23","senderCode":"TS0116_00","receiverCode":"UP0090_00","operatorCode":"ZZ","unitCode":"9004"},"requestBody":{"funcId":"01","criteria":{"circiKey":"AC30060491","propertyTypeCode":"0","partyCertNo":"AC30060491","partyCertDate":"1986-12-28"},"dataSet":[{"residenceAddrLocality":"新北市","residenceAddrAdminArea":"板橋區","residenceAddr":"永安里縣民大道三段１０１號１０樓","residenceAddrPostalCode":"220","residenceAddrCountryCode":"TW"}],"option":{"isReplyOverWrite":true,"isRemoval":false,"isCustConfirmation":false,"isRelationRemoval":false}}},"resultCode":"UP0090_00_V201","resultDescription":"必要性檢核錯誤","resultBody":null,"errorMessages":["檢查有誤，AC30060491 顧客曾經執行過ID改號"]}</t>
  </si>
  <si>
    <t>AC30060491</t>
    <phoneticPr fontId="1" type="noConversion"/>
  </si>
  <si>
    <t xml:space="preserve"> -&gt;AC30060491
Y-&gt;F800227574</t>
    <phoneticPr fontId="1" type="noConversion"/>
  </si>
  <si>
    <t>EM11007446</t>
    <phoneticPr fontId="1" type="noConversion"/>
  </si>
  <si>
    <t>1633105242917176-6977363-71-02</t>
    <phoneticPr fontId="1" type="noConversion"/>
  </si>
  <si>
    <t>1633540217250905-7927841-45-02</t>
    <phoneticPr fontId="1" type="noConversion"/>
  </si>
  <si>
    <t>1633540212496397-7921555-04-01</t>
  </si>
  <si>
    <t>TS0116_00_20211006171017_69662</t>
  </si>
  <si>
    <t>AB20053106</t>
  </si>
  <si>
    <t>DpA05Td002502B01</t>
  </si>
  <si>
    <t>{"requestModel":{"header":{"msgNo":"TS0116_00_20211006171017_69662","txnCode":"DpA05Td002502B01","txnTime":"2021-10-06 17:10:12","senderCode":"TS0116_00","receiverCode":"UP0090_00","operatorCode":"TLR99","unitCode":"9004"},"requestBody":{"funcId":"01","criteria":{"circiKey":"AB20053106","propertyTypeCode":"0","partyCertNo":"AB20053106","partyCertDate":"1970-01-22"},"dataSet":[{"customerStatusCode":null,"customerKycTypeCode":[]}]}},"resultCode":"UP0090_00_V201","resultDescription":"必要性檢核錯誤","resultBody":null,"errorMessages":["檢查有誤，顧客ID已停用"]}</t>
  </si>
  <si>
    <t xml:space="preserve"> -&gt;AB20053106
Y-&gt;A290184136</t>
    <phoneticPr fontId="1" type="noConversion"/>
  </si>
  <si>
    <t>EM11007499</t>
    <phoneticPr fontId="1" type="noConversion"/>
  </si>
  <si>
    <t>done</t>
    <phoneticPr fontId="1" type="noConversion"/>
  </si>
  <si>
    <t>SC2021100500106</t>
    <phoneticPr fontId="1" type="noConversion"/>
  </si>
  <si>
    <t>done</t>
    <phoneticPr fontId="1" type="noConversion"/>
  </si>
  <si>
    <t>1634123316508503-9188989-76-01</t>
    <phoneticPr fontId="1" type="noConversion"/>
  </si>
  <si>
    <t>TS0116_00_20211013110836_29711</t>
  </si>
  <si>
    <t>{"requestModel":{"header":{"msgNo":"TS0116_00_20211013110836_29711","txnCode":"A101011","txnTime":"2021-10-13 11:08:36","senderCode":"TS0116_00","receiverCode":"UP0090_00","operatorCode":"08935","unitCode":"0082"},"requestBody":{"funcId":"01","criteria":{"circiKey":"T223221686","propertyTypeCode":"0","partyCertNo":"T223221686","partyCertDate":"1982-01-14"},"dataSet":[{"foreignExchangeRoleCode":"03","txnPhone":"0976018951","contactPhone":"0976018951","email":"CANDYLOVEAKIRA@GMAIL.COM","companyTelExtension":null,"companyTel":"073222186","contactAddrPostalCode":"802","contactAddr":"廣澤里文橫二路８９號３樓","contactAddrAdminArea":"苓雅區","contactAddrLocality":"高雄市","contactTel":"073330231","residenceAddrLocality":"高雄市","residenceAddr":"廣澤里２２鄰文橫二路８９號","residenceAddrPostalCode":"802","residenceAddrAdminArea":"苓雅區","serveCompanyCertNo":"54190793","serveCompanyName":"香草家居","jobTitle":"清潔員","contactAddrCountryCode":"TW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</si>
  <si>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 xml:space="preserve"> -&gt;T223221686
Y-&gt;T22322168A</t>
    <phoneticPr fontId="1" type="noConversion"/>
  </si>
  <si>
    <t>EM11007656</t>
    <phoneticPr fontId="1" type="noConversion"/>
  </si>
  <si>
    <t>經確認流程及此案情境後，此案不需同步舊號資料至CIFX CI，</t>
    <phoneticPr fontId="1" type="noConversion"/>
  </si>
  <si>
    <t>1633434863888895-7682334-09-01</t>
    <phoneticPr fontId="1" type="noConversion"/>
  </si>
  <si>
    <t>SC2021101400027</t>
    <phoneticPr fontId="1" type="noConversion"/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</si>
  <si>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</si>
  <si>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funcId=01, custName=李忠潔, companyEstablishDate=null, circiKey=A120870929, creditCardKey=null, certNo=A120870929, certDate=Sat Apr 19 00:00:00 GMT+08:00 1980,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goldenRecordItemContent=李忠潔],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goldenRecordItemContent=039322017],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goldenRecordItemContent=039325192],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goldenRecordItemContent=039322017],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goldenRecordItemContent=0966873937],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goldenRecordItemContent=sun012929@yahoo.com.tw],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goldenRecordItemContent=1980-04-19],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[custId=380431, custType=P, certTypeCode=00, partyKind=P, oldRestart=false, customerTag=null, idChangeState=null, creditCardKey=null, circiKey=null, birthDay=null]；ServiceInterchange:ServiceInterchange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Exception : ]</t>
  </si>
  <si>
    <t>1634211500187244-9388519-17-01</t>
    <phoneticPr fontId="1" type="noConversion"/>
  </si>
  <si>
    <t>1634211498458210-9381310-51-02</t>
  </si>
  <si>
    <t>TS0116_00_20211014113818_18611</t>
  </si>
  <si>
    <t>A120870929</t>
  </si>
  <si>
    <t>{"requestModel":{"header":{"msgNo":"TS0116_00_20211014113818_18611","txnCode":"AQF0308","txnTime":"2021-10-14 11:38:18","senderCode":"TS0116_00","receiverCode":"UP0090_00","operatorCode":"LA","unitCode":"9008"},"requestBody":{"funcId":"01","criteria":{"circiKey":"A120870929","propertyTypeCode":"0","partyCertNo":"A120870929","partyCertDate":"1980-04-19"},"dataSet":[{"creationDptCode":"9008","grownUpGuardianshipCode":"0","performanceDptCode":"9008","residenceAddrAdminArea":"宜蘭市","contactTel":"039322017","industryPropsTypeCode":"02","nationalityCode":"0","companyTelExtension":null,"contactAddr":"新民路１５２號ｆ棟５樓","customerBirthday":"1980-04-19","incomeTaxTypeCode":"1","email":"sun012929@yahoo.com.tw","selfBankSpecialServiceFlag":"00000","stopUseCustomerDataFlag":" ","regCountryCode":"TW","dgbasIndustryCode":"061610","circiKey":"A120870929","residenceAddrLocality":"宜蘭縣","companyTel":"039325192","refuseLoanReasonCode":"0","contactAddrPostalCode":"260","contactAddrCountryCode":"TW","propertyTypeCode":"0","contactAddrAdminArea":"宜蘭市","customerName":"李忠潔","residenceTel":"039322017","genderCode":"M","personCertNo":"A120870929","contactAddrLocality":"宜蘭縣","ncbIndustryCode":"060000","contactPhone":"0966873937","residenceAddrCountryCode":"TW","residenceAddr":"新民路１５２號ｆ棟５樓","residenceAddrPostalCode":"260"}]}},"resultCode":"UP0090_00_E301","resultDescription":"服務執行期錯誤","resultBody":null,"errorMessages":["顧客識別寫入CI發生錯誤。ChangeRequest:ChangeRequest [serviceInterchange=ServiceInterchange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funcId=01, custName=李忠潔, companyEstablishDate=null, circiKey=A120870929, creditCardKey=null, certNo=A120870929, certDate=Sat Apr 19 00:00:00 GMT+08:00 1980,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goldenRecordItemContent=李忠潔],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goldenRecordItemContent=039322017],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goldenRecordItemContent=039325192],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goldenRecordItemContent=039322017],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goldenRecordItemContent=0966873937],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goldenRecordItemContent=sun012929@yahoo.com.tw],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goldenRecordItemContent=1980-04-19],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[custId=380431, custType=P, certTypeCode=00, partyKind=P, oldRestart=false, customerTag=null, idChangeState=null, creditCardKey=null, circiKey=null, birthDay=null]；ServiceInterchange:ServiceInterchange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Exception : "]}</t>
  </si>
  <si>
    <t>EM11007752</t>
    <phoneticPr fontId="1" type="noConversion"/>
  </si>
  <si>
    <t>1634211498498361-9381310-98-02</t>
    <phoneticPr fontId="1" type="noConversion"/>
  </si>
  <si>
    <t>DONE</t>
    <phoneticPr fontId="1" type="noConversion"/>
  </si>
  <si>
    <t>SC2021101500052</t>
    <phoneticPr fontId="1" type="noConversion"/>
  </si>
  <si>
    <t>done</t>
    <phoneticPr fontId="1" type="noConversion"/>
  </si>
  <si>
    <t>done</t>
    <phoneticPr fontId="1" type="noConversion"/>
  </si>
  <si>
    <t>AB20053106 &gt;&gt;這個可以</t>
    <phoneticPr fontId="1" type="noConversion"/>
  </si>
  <si>
    <t>1633540212500307-7921555-07-01</t>
    <phoneticPr fontId="1" type="noConversion"/>
  </si>
  <si>
    <t>SC2021101800069</t>
    <phoneticPr fontId="1" type="noConversion"/>
  </si>
  <si>
    <t>1634816203114035-0729979-41-02</t>
  </si>
  <si>
    <t>發送異動通知電文給CIP回傳錯誤碼:UP0090_00_V201,錯誤碼訊息:必要性檢核錯誤,錯誤訊息:[DEL00000000000001007 顧客 TS0116_00 已刪除，但全行未刪除，無法進行異動建檔]</t>
  </si>
  <si>
    <t>TS0116_00_20211021113643_22632</t>
  </si>
  <si>
    <t>{"requestModel":{"header":{"msgNo":"TS0116_00_20211021113643_22632","txnCode":"A101011","txnTime":"2021-10-21 11:36:42","senderCode":"TS0116_00","receiverCode":"UP0090_00","operatorCode":"15981","unitCode":"0163"},"requestBody":{"funcId":"01","criteria":{"circiKey":"H120227201","propertyTypeCode":"0","partyCertNo":"H120227201","partyCertDate":"1973-06-29"},"dataSet":[{"creationDptCode":"0163","customerName":"邱楷勛","selfBankSpecialServiceFlag":"00000","foreignExchangeRoleCode":"03","grownUpGuardianshipCode":"0","industryPropsTypeCode":"02","industryTypeCode":"05","performanceDptCode":"0163","txnPhone":"0938759905","nationalityCode":"0","refuseLoanReasonCode":"0","regCountryCode":"TW","incomeTaxTypeCode":"1","genderCode":"M","stopUseCustomerDataFlag":" ","companyTelExtension":null,"companyTel":"0228356530","contactAddrPostalCode":"247","contactAddr":"光明里１５鄰光華路１８６巷３５號６樓","contactAddrAdminArea":"蘆洲區","contactAddrLocality":"新北市","contactTel":"0222890138","dgbasIndustryCode":"0615F0","ncbIndustryCode":"060000","contactPhone":"0938759905","email":"CHIOU771@YAHOO.COM.TW","residenceAddrLocality":"新北市","residenceAddr":"光明里１５鄰光華路１８６巷３５號６樓","residenceAddrPostalCode":"247","residenceAddrAdminArea":"蘆洲區","serveCompanyCertNo":"27978683","serveCompanyName":"上野百貨有限公司","jobTitle":"業務經理","contactAddrCountryCode":"TW","customerBirthday":"1973-06-29","residenceAddrCountryCode":"TW"}],"option":{"isReplyOverWrite":false,"isRemoval":false,"isCustConfirmation":true,"isRelationRemoval":false}}},"resultCode":"UP0090_00_V201","resultDescription":"必要性檢核錯誤","resultBody":null,"errorMessages":["DEL00000000000001007 顧客 TS0116_00 已刪除，但全行未刪除，無法進行異動建檔"]}</t>
    <phoneticPr fontId="1" type="noConversion"/>
  </si>
  <si>
    <t>CIFX已刪除</t>
    <phoneticPr fontId="1" type="noConversion"/>
  </si>
  <si>
    <t>無</t>
    <phoneticPr fontId="1" type="noConversion"/>
  </si>
  <si>
    <t>1634891004858324-0892329-33-02</t>
    <phoneticPr fontId="1" type="noConversion"/>
  </si>
  <si>
    <t>K221474753</t>
  </si>
  <si>
    <t>1634860636100936-0829182-69-02</t>
    <phoneticPr fontId="1" type="noConversion"/>
  </si>
  <si>
    <t>1634860635799657-0829179-63-02</t>
  </si>
  <si>
    <t>TS0116_00_20211021235715_75912</t>
  </si>
  <si>
    <t>{"requestModel":{"header":{"msgNo":"TS0116_00_20211021235715_75912","txnCode":"NT1529","txnTime":"2021-10-21 23:57:15","senderCode":"TS0116_00","receiverCode":"UP0090_00","operatorCode":"TS0116_00","unitCode":"9004"},"requestBody":{"funcId":"01","criteria":{"circiKey":"MD00376504","propertyTypeCode":"0","partyCertNo":"MD00376504","partyCertDate":"1992-03-08"},"dataSet":[{"email":"jiashin92@gmail.com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</si>
  <si>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>1634890974482415-0897334-42-01</t>
    <phoneticPr fontId="1" type="noConversion"/>
  </si>
  <si>
    <t>A121013</t>
    <phoneticPr fontId="1" type="noConversion"/>
  </si>
  <si>
    <t>1629729090413057-9577099-02-01</t>
    <phoneticPr fontId="1" type="noConversion"/>
  </si>
  <si>
    <t>N</t>
    <phoneticPr fontId="1" type="noConversion"/>
  </si>
  <si>
    <t>EM11007934</t>
    <phoneticPr fontId="1" type="noConversion"/>
  </si>
  <si>
    <t>TS0116_00_20211022082254_0261</t>
    <phoneticPr fontId="1" type="noConversion"/>
  </si>
  <si>
    <t>已確認CIP未收到</t>
    <phoneticPr fontId="1" type="noConversion"/>
  </si>
  <si>
    <t>EM11007963</t>
    <phoneticPr fontId="1" type="noConversion"/>
  </si>
  <si>
    <t>1634890974632765-0897334-52-01</t>
    <phoneticPr fontId="1" type="noConversion"/>
  </si>
  <si>
    <t>1634903412946658-0926404-16-02</t>
    <phoneticPr fontId="1" type="noConversion"/>
  </si>
  <si>
    <t>1634816206131124-0722841-74-01</t>
  </si>
  <si>
    <t>{"requestModel":{"header":{"msgNo":"TS0116_00_20211022115012_45461","txnCode":"A101012","txnTime":"2021-10-21 11:36:46","senderCode":"TS0116_00","receiverCode":"UP0090_00","operatorCode":"15981","unitCode":"0163"},"requestBody":{"funcId":"01","criteria":{"circiKey":"H120227201","propertyTypeCode":"0","partyCertNo":"H120227201","partyCertDate":"1973-06-29"},"dataSet":[{"otpServiceFlag":"1"}]}},"resultCode":"UP0090_00_V201","resultDescription":"必要性檢核錯誤","resultBody":null,"errorMessages":["CIP顧客識別取號:當系統為TS0116_00時顧客姓名不可為空值"]}</t>
  </si>
  <si>
    <t>MD00376504</t>
    <phoneticPr fontId="1" type="noConversion"/>
  </si>
  <si>
    <t>NT1529</t>
    <phoneticPr fontId="1" type="noConversion"/>
  </si>
  <si>
    <t>清除單筆同步失敗註記</t>
  </si>
  <si>
    <t>清除單筆同步失敗註記</t>
    <phoneticPr fontId="1" type="noConversion"/>
  </si>
  <si>
    <t>重送單筆CIP電文</t>
  </si>
  <si>
    <t>重送單筆CIP電文</t>
    <phoneticPr fontId="1" type="noConversion"/>
  </si>
  <si>
    <t>清除顧客下同步任務</t>
    <phoneticPr fontId="1" type="noConversion"/>
  </si>
  <si>
    <t>待CIP通知歸戶完成</t>
    <phoneticPr fontId="1" type="noConversion"/>
  </si>
  <si>
    <t>清除同步失敗註記</t>
    <phoneticPr fontId="1" type="noConversion"/>
  </si>
  <si>
    <t>1634860635869316-0829180-67-02</t>
    <phoneticPr fontId="1" type="noConversion"/>
  </si>
  <si>
    <t>done</t>
    <phoneticPr fontId="1" type="noConversion"/>
  </si>
  <si>
    <t>SC2021102200014</t>
    <phoneticPr fontId="1" type="noConversion"/>
  </si>
  <si>
    <t>done</t>
    <phoneticPr fontId="1" type="noConversion"/>
  </si>
  <si>
    <t>DONE</t>
    <phoneticPr fontId="1" type="noConversion"/>
  </si>
  <si>
    <t>回傳代碼描述:</t>
  </si>
  <si>
    <t>1634919260014218-0964289-08-02</t>
    <phoneticPr fontId="1" type="noConversion"/>
  </si>
  <si>
    <t>1634860639427904-0829179-92-02</t>
  </si>
  <si>
    <t>TS0116_00_20211022161419_64361</t>
  </si>
  <si>
    <t>{"requestModel":{"header":{"msgNo":"TS0116_00_20211022161419_64361","txnCode":"NT1536","txnTime":"2021-10-21 23:57:19","senderCode":"TS0116_00","receiverCode":"UP0090_00","operatorCode":"99","unitCode":"9004"},"requestBody":{"funcId":"01","criteria":{"circiKey":"MD00376504","propertyTypeCode":"0","partyCertNo":"MD00376504","partyCertDate":"1992-03-08"},"dataSet":[{"emailSaleFlag":"Y"}]}},"resultCode":"UP0090_00_V201","resultDescription":"必要性檢核錯誤","resultBody":null,"errorMessages":["檢查有誤，顧客ID已停用"]}</t>
    <phoneticPr fontId="1" type="noConversion"/>
  </si>
  <si>
    <t xml:space="preserve"> -&gt;MD00376504
Y-&gt;B900001774</t>
    <phoneticPr fontId="1" type="noConversion"/>
  </si>
  <si>
    <t>NT1536</t>
    <phoneticPr fontId="1" type="noConversion"/>
  </si>
  <si>
    <t>待亮維問BA後續如何處理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</si>
  <si>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funcId=01, custName=江欣芷, companyEstablishDate=null, circiKey=F226787573, creditCardKey=null, certNo=F226787573, certDate=Sun Nov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goldenRecordItemContent=D131],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goldenRecordItemContent=江欣芷],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goldenRecordItemContent=D131],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goldenRecordItemContent=0953051101],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goldenRecordItemContent=0953051101],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[custId=10183842, custType=P, certTypeCode=00, partyKind=P, oldRestart=false, customerTag=null, idChangeState=null, creditCardKey=null, circiKey=null, birthDay=null]；ServiceInterchange:ServiceInterchange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Exception : ]</t>
  </si>
  <si>
    <t>1635162462700959-1469852-90-02</t>
    <phoneticPr fontId="1" type="noConversion"/>
  </si>
  <si>
    <t>TS0116_00_20211025114741_3812</t>
  </si>
  <si>
    <t>{"requestModel":{"header":{"msgNo":"TS0116_00_20211025114741_3812","txnCode":"AQF0308","txnTime":"2021-10-25 11:47:41","senderCode":"TS0116_00","receiverCode":"UP0090_00","operatorCode":"LA","unitCode":"D131"},"requestBody":{"funcId":"01","criteria":{"circiKey":"F226787573","propertyTypeCode":"0","partyCertNo":"F226787573","partyCertDate":"1987-11-01"},"dataSet":[{"creationDptCode":"D131","grownUpGuardianshipCode":"0","performanceDptCode":"D131","residenceAddrAdminArea":"中和區","contactTel":"0953051101","industryPropsTypeCode":"02","nationalityCode":"0","contactAddr":"自強路６２巷６號７樓","customerBirthday":"1987-11-01","incomeTaxTypeCode":"1","selfBankSpecialServiceFlag":"00000","stopUseCustomerDataFlag":" ","regCountryCode":"TW","dgbasIndustryCode":"061610","circiKey":"F226787573","residenceAddrLocality":"新北市","refuseLoanReasonCode":"0","contactAddrPostalCode":"235","contactAddrCountryCode":"TW","propertyTypeCode":"0","contactAddrAdminArea":"中和區","customerName":"江欣芷","genderCode":"F","personCertNo":"F226787573","contactAddrLocality":"新北市","ncbIndustryCode":"060000","contactPhone":"0953051101","residenceAddrCountryCode":"TW","residenceAddr":"自強路６２巷６號７樓","residenceAddrPostalCode":"235"}]}},"resultCode":"UP0090_00_E301","resultDescription":"服務執行期錯誤","resultBody":null,"errorMessages":["顧客識別寫入CI發生錯誤。ChangeRequest:ChangeRequest [serviceInterchange=ServiceInterchange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funcId=01, custName=江欣芷, companyEstablishDate=null, circiKey=F226787573, creditCardKey=null, certNo=F226787573, certDate=Sun Nov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goldenRecordItemContent=D131],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goldenRecordItemContent=江欣芷],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goldenRecordItemContent=D131],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goldenRecordItemContent=0953051101],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goldenRecordItemContent=0953051101],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[custId=10183842, custType=P, certTypeCode=00, partyKind=P, oldRestart=false, customerTag=null, idChangeState=null, creditCardKey=null, circiKey=null, birthDay=null]；ServiceInterchange:ServiceInterchange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Exception : "]}</t>
  </si>
  <si>
    <t>AQF0308</t>
    <phoneticPr fontId="1" type="noConversion"/>
  </si>
  <si>
    <t>F226787573</t>
    <phoneticPr fontId="1" type="noConversion"/>
  </si>
  <si>
    <t>重覆發送2筆，已確認第一筆成功，擬刪除第2筆</t>
    <phoneticPr fontId="1" type="noConversion"/>
  </si>
  <si>
    <t>1635267258703843-1715676-26-02</t>
    <phoneticPr fontId="1" type="noConversion"/>
  </si>
  <si>
    <t>1635267258496271-1715759-02-02</t>
  </si>
  <si>
    <t>TS0116_00_20211026165418_26632</t>
  </si>
  <si>
    <t>{"requestModel":{"header":{"msgNo":"TS0116_00_20211026165418_26632","txnCode":"createOrUpdateCustomerForNBS","txnTime":"2021-10-26 16:54:18","senderCode":"TS0116_00","receiverCode":"UP0090_00","operatorCode":"20424","unitCode":"0808","authorizerCode":"05471"},"requestBody":{"funcId":"01","criteria":{"circiKey":"FD03255061","propertyTypeCode":"0","partyCertNo":"FD03255061","partyCertDate":"1989-06-18"},"dataSet":[{"nationalityCode":"1","contactPhone":null,"email":null,"dgbasIndustryCode":"0615C0","ncbIndustryCode":"060000","residenceAddrLocality":"新北市","residenceAddr":"中山路二段５４４巷１４號５樓","residenceAddrPostalCode":"235","residenceAddrAdminArea":"中和區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</si>
  <si>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>FD03255061</t>
    <phoneticPr fontId="1" type="noConversion"/>
  </si>
  <si>
    <t xml:space="preserve"> -&gt;FD03255061
Y-&gt;F900206746</t>
    <phoneticPr fontId="1" type="noConversion"/>
  </si>
  <si>
    <t>N</t>
    <phoneticPr fontId="1" type="noConversion"/>
  </si>
  <si>
    <t>1635268213702674-1715981-98-02</t>
  </si>
  <si>
    <t>TS0116_00_20211026171020_6522</t>
  </si>
  <si>
    <t>{"requestModel":{"header":{"msgNo":"TS0116_00_20211026171020_6522","txnCode":"DpA05Td002502B01","txnTime":"2021-10-26 17:10:13","senderCode":"TS0116_00","receiverCode":"UP0090_00","operatorCode":"TLR99","unitCode":"9004"},"requestBody":{"funcId":"01","criteria":{"circiKey":"V220428998","propertyTypeCode":"0","partyCertNo":"V220428998","partyCertDate":"1985-07-30"},"dataSet":[{"customerStatusCode":"54","customerKycTypeCode":["F2","F6"]}]}},"resultCode":"UP0090_00_V201","resultDescription":"必要性檢核錯誤","resultBody":null,"errorMessages":["檢查有誤，顧客ID已停用"]}</t>
  </si>
  <si>
    <t xml:space="preserve"> -&gt;V220428998
Y-&gt;T226620378</t>
    <phoneticPr fontId="1" type="noConversion"/>
  </si>
  <si>
    <t>DpA05Td002502B01</t>
    <phoneticPr fontId="1" type="noConversion"/>
  </si>
  <si>
    <t>V220428998</t>
    <phoneticPr fontId="1" type="noConversion"/>
  </si>
  <si>
    <t>1635268220859426-1716577-23-02</t>
    <phoneticPr fontId="1" type="noConversion"/>
  </si>
  <si>
    <t>1635162461802361-1469849-05-02</t>
    <phoneticPr fontId="1" type="noConversion"/>
  </si>
  <si>
    <t>1635162461838884-1469849-46-02</t>
    <phoneticPr fontId="1" type="noConversion"/>
  </si>
  <si>
    <t>T223221686</t>
    <phoneticPr fontId="1" type="noConversion"/>
  </si>
  <si>
    <t>DONE</t>
    <phoneticPr fontId="1" type="noConversion"/>
  </si>
  <si>
    <t>DONE</t>
    <phoneticPr fontId="1" type="noConversion"/>
  </si>
  <si>
    <t>SC2021102200065</t>
    <phoneticPr fontId="1" type="noConversion"/>
  </si>
  <si>
    <t>done</t>
    <phoneticPr fontId="1" type="noConversion"/>
  </si>
  <si>
    <t>發送異動通知電文給CIP回傳錯誤碼:UP0090_00_V201,錯誤碼訊息:必要性檢核錯誤,錯誤訊息:[檢查有誤，AC00018256 顧客曾經執行過ID改號]</t>
  </si>
  <si>
    <t>1635429437834779-2074948-62-02</t>
    <phoneticPr fontId="1" type="noConversion"/>
  </si>
  <si>
    <t>1635429437340581-2074951-26-02</t>
  </si>
  <si>
    <t>TS0116_00_20211028135717_67061</t>
  </si>
  <si>
    <t>{"requestModel":{"header":{"msgNo":"TS0116_00_20211028135717_67061","txnCode":"01","txnTime":"2021-10-28 13:57:17","senderCode":"TS0116_00","receiverCode":"UP0090_00","operatorCode":"ZZ","unitCode":"9004"},"requestBody":{"funcId":"01","criteria":{"circiKey":"AC00018256","propertyTypeCode":"0","partyCertNo":"AC00018256","partyCertDate":"1949-12-24"},"dataSet":[{"residenceAddrAdminArea":"中山區","residenceAddr":"中山北路一段１１５號５樓","residenceAddrPostalCode":"104","residenceAddrLocality":"臺北市","residenceAddrCountryCode":"TW"}],"option":{"isReplyOverWrite":true,"isRemoval":false,"isCustConfirmation":false,"isRelationRemoval":false}}},"resultCode":"UP0090_00_V201","resultDescription":"必要性檢核錯誤","resultBody":null,"errorMessages":["檢查有誤，AC00018256 顧客曾經執行過ID改號"]}</t>
  </si>
  <si>
    <t xml:space="preserve"> -&gt;AC00018256
Y-&gt;A800167210</t>
    <phoneticPr fontId="1" type="noConversion"/>
  </si>
  <si>
    <t>SC2021102700005</t>
    <phoneticPr fontId="1" type="noConversion"/>
  </si>
  <si>
    <t>done</t>
    <phoneticPr fontId="1" type="noConversion"/>
  </si>
  <si>
    <t>done</t>
    <phoneticPr fontId="1" type="noConversion"/>
  </si>
  <si>
    <t>EM11008074(共用）</t>
    <phoneticPr fontId="1" type="noConversion"/>
  </si>
  <si>
    <t>1635530214488685-2289635-79-01</t>
  </si>
  <si>
    <t>1635530212400534-2297038-77-02</t>
  </si>
  <si>
    <t>1635530208433509-2297038-21-02</t>
  </si>
  <si>
    <t>1635530206806696-2297005-93-02</t>
  </si>
  <si>
    <t>1635530204318294-2289440-93-01</t>
  </si>
  <si>
    <t>1635530201230881-2297038-81-02</t>
  </si>
  <si>
    <t>1635530200204000-2296900-86-02</t>
  </si>
  <si>
    <t>1635530195281959-2296960-48-02</t>
  </si>
  <si>
    <t>1635530190710644-2296960-58-02</t>
  </si>
  <si>
    <t>1635530187080266-2289707-87-01</t>
  </si>
  <si>
    <t>1635530186918369-2296900-77-02</t>
  </si>
  <si>
    <t>1635530185195920-2296959-67-02</t>
  </si>
  <si>
    <t>1635530185134695-2289767-65-01</t>
  </si>
  <si>
    <t>1635530184969434-2289436-43-01</t>
  </si>
  <si>
    <t>1635530184622428-2289440-37-01</t>
  </si>
  <si>
    <t>1635530183536156-2289458-86-01</t>
  </si>
  <si>
    <t>1635530172921411-2289721-69-01</t>
  </si>
  <si>
    <t>29-10月-21 05.56.54.589000000 下午</t>
  </si>
  <si>
    <t>29-10月-21 05.56.52.501000000 下午</t>
  </si>
  <si>
    <t>29-10月-21 05.56.48.533000000 下午</t>
  </si>
  <si>
    <t>29-10月-21 05.56.46.908000000 下午</t>
  </si>
  <si>
    <t>29-10月-21 05.56.44.418000000 下午</t>
  </si>
  <si>
    <t>29-10月-21 05.56.41.330000000 下午</t>
  </si>
  <si>
    <t>29-10月-21 05.56.40.304000000 下午</t>
  </si>
  <si>
    <t>29-10月-21 05.56.35.401000000 下午</t>
  </si>
  <si>
    <t>29-10月-21 05.56.30.819000000 下午</t>
  </si>
  <si>
    <t>29-10月-21 05.56.27.175000000 下午</t>
  </si>
  <si>
    <t>29-10月-21 05.56.27.020000000 下午</t>
  </si>
  <si>
    <t>29-10月-21 05.56.25.225000000 下午</t>
  </si>
  <si>
    <t>29-10月-21 05.56.25.190000000 下午</t>
  </si>
  <si>
    <t>29-10月-21 05.56.25.069000000 下午</t>
  </si>
  <si>
    <t>29-10月-21 05.56.24.723000000 下午</t>
  </si>
  <si>
    <t>29-10月-21 05.56.23.635000000 下午</t>
  </si>
  <si>
    <t>29-10月-21 05.56.12.960000000 下午</t>
  </si>
  <si>
    <t>T223221686 &gt;&gt; 這戶要等CIP刪掉
他們有送單來</t>
    <phoneticPr fontId="1" type="noConversion"/>
  </si>
  <si>
    <t>done</t>
    <phoneticPr fontId="1" type="noConversion"/>
  </si>
  <si>
    <t>1635530180955802-2290392-03-01</t>
  </si>
  <si>
    <t>1635530180965038-2290392-07-01</t>
  </si>
  <si>
    <t>TS0116_00_20211029175654_8712</t>
  </si>
  <si>
    <t>A880015046</t>
  </si>
  <si>
    <t>{"requestModel":{"header":{"msgNo":"TS0116_00_20211029175654_8712","txnCode":"BT$CIFIX","txnTime":"2021-10-29 17:56:20","senderCode":"TS0116_00","receiverCode":"UP0090_00","operatorCode":"TS0116_00","unitCode":"9004"},"requestBody":{"funcId":"01","criteria":{"circiKey":"A880015046","propertyTypeCode":"0","partyCertNo":"A880015046","partyCertDate":"1989-11-21"},"dataSet":[{"genderCode":"M"}]}},"resultCode":"UP0090_00_V201","resultDescription":"必要性檢核錯誤","resultBody":null,"errorMessages":["檢查有誤，顧客ID已停用"]}</t>
  </si>
  <si>
    <t>1635530180283326-2290392-40-01</t>
  </si>
  <si>
    <t>1635530180292369-2290392-44-01</t>
  </si>
  <si>
    <t>TS0116_00_20211029175652_40022</t>
  </si>
  <si>
    <t>A880007017</t>
  </si>
  <si>
    <t>{"requestModel":{"header":{"msgNo":"TS0116_00_20211029175652_40022","txnCode":"BT$CIFIX","txnTime":"2021-10-29 17:56:20","senderCode":"TS0116_00","receiverCode":"UP0090_00","operatorCode":"TS0116_00","unitCode":"9004"},"requestBody":{"funcId":"01","criteria":{"circiKey":"A880007017","propertyTypeCode":"0","partyCertNo":"A880007017","partyCertDate":"1966-10-09"},"dataSet":[{"genderCode":"M"}]}},"resultCode":"UP0090_00_V201","resultDescription":"必要性檢核錯誤","resultBody":null,"errorMessages":["檢查有誤，顧客ID已停用"]}</t>
  </si>
  <si>
    <t>1635530179258095-2290392-98-01</t>
  </si>
  <si>
    <t>1635530179267426-2290392-03-01</t>
  </si>
  <si>
    <t>TS0116_00_20211029175648_37922</t>
  </si>
  <si>
    <t>F870003520</t>
  </si>
  <si>
    <t>{"requestModel":{"header":{"msgNo":"TS0116_00_20211029175648_37922","txnCode":"BT$CIFIX","txnTime":"2021-10-29 17:56:19","senderCode":"TS0116_00","receiverCode":"UP0090_00","operatorCode":"TS0116_00","unitCode":"9004"},"requestBody":{"funcId":"01","criteria":{"circiKey":"F870003520","propertyTypeCode":"0","partyCertNo":"F870003520","partyCertDate":"1976-10-31"},"dataSet":[{"genderCode":"M"}]}},"resultCode":"UP0090_00_V201","resultDescription":"必要性檢核錯誤","resultBody":null,"errorMessages":["檢查有誤，顧客ID已停用"]}</t>
  </si>
  <si>
    <t>1635530178778999-2290392-91-01</t>
  </si>
  <si>
    <t>1635530178788727-2290392-95-01</t>
  </si>
  <si>
    <t>TS0116_00_20211029175646_5212</t>
  </si>
  <si>
    <t>F880000184</t>
  </si>
  <si>
    <t>{"requestModel":{"header":{"msgNo":"TS0116_00_20211029175646_5212","txnCode":"BT$CIFIX","txnTime":"2021-10-29 17:56:18","senderCode":"TS0116_00","receiverCode":"UP0090_00","operatorCode":"TS0116_00","unitCode":"9004"},"requestBody":{"funcId":"01","criteria":{"circiKey":"F880000184","propertyTypeCode":"0","partyCertNo":"F880000184","partyCertDate":"1984-07-05"},"dataSet":[{"genderCode":"M"}]}},"resultCode":"UP0090_00_V201","resultDescription":"必要性檢核錯誤","resultBody":null,"errorMessages":["檢查有誤，顧客ID已停用"]}</t>
  </si>
  <si>
    <t>1635530178210626-2290392-47-01</t>
  </si>
  <si>
    <t>1635530178220102-2290392-51-01</t>
  </si>
  <si>
    <t>TS0116_00_20211029175644_36822</t>
  </si>
  <si>
    <t>A870007247</t>
  </si>
  <si>
    <t>{"requestModel":{"header":{"msgNo":"TS0116_00_20211029175644_36822","txnCode":"BT$CIFIX","txnTime":"2021-10-29 17:56:18","senderCode":"TS0116_00","receiverCode":"UP0090_00","operatorCode":"TS0116_00","unitCode":"9004"},"requestBody":{"funcId":"01","criteria":{"circiKey":"A870007247","propertyTypeCode":"0","partyCertNo":"A870007247","partyCertDate":"1981-12-14"},"dataSet":[{"genderCode":"M"}]}},"resultCode":"UP0090_00_V201","resultDescription":"必要性檢核錯誤","resultBody":null,"errorMessages":["檢查有誤，顧客ID已停用"]}</t>
  </si>
  <si>
    <t>1635530177662961-2290392-20-01</t>
  </si>
  <si>
    <t>1635530177672335-2290392-24-01</t>
  </si>
  <si>
    <t>TS0116_00_20211029175641_36422</t>
  </si>
  <si>
    <t>A870003310</t>
  </si>
  <si>
    <t>{"requestModel":{"header":{"msgNo":"TS0116_00_20211029175641_36422","txnCode":"BT$CIFIX","txnTime":"2021-10-29 17:56:17","senderCode":"TS0116_00","receiverCode":"UP0090_00","operatorCode":"TS0116_00","unitCode":"9004"},"requestBody":{"funcId":"01","criteria":{"circiKey":"A870003310","propertyTypeCode":"0","partyCertNo":"A870003310","partyCertDate":"1984-10-17"},"dataSet":[{"genderCode":"M"}]}},"resultCode":"UP0090_00_V201","resultDescription":"必要性檢核錯誤","resultBody":null,"errorMessages":["檢查有誤，顧客ID已停用"]}</t>
  </si>
  <si>
    <t>1635530177390731-2290392-10-01</t>
  </si>
  <si>
    <t>1635530177401355-2290392-14-01</t>
  </si>
  <si>
    <t>TS0116_00_20211029175640_35822</t>
  </si>
  <si>
    <t>E800008489</t>
  </si>
  <si>
    <t>{"requestModel":{"header":{"msgNo":"TS0116_00_20211029175640_35822","txnCode":"BT$CIFIX","txnTime":"2021-10-29 17:56:17","senderCode":"TS0116_00","receiverCode":"UP0090_00","operatorCode":"TS0116_00","unitCode":"9004"},"requestBody":{"funcId":"01","criteria":{"circiKey":"E800008489","propertyTypeCode":"0","partyCertNo":"E800008489","partyCertDate":"2001-07-10"},"dataSet":[{"genderCode":"M"}]}},"resultCode":"UP0090_00_V201","resultDescription":"必要性檢核錯誤","resultBody":null,"errorMessages":["檢查有誤，顧客ID已停用"]}</t>
  </si>
  <si>
    <t>1635530176016074-2290392-70-01</t>
  </si>
  <si>
    <t>1635530176025031-2290392-76-01</t>
  </si>
  <si>
    <t>TS0116_00_20211029175635_99112</t>
  </si>
  <si>
    <t>I880000065</t>
  </si>
  <si>
    <t>{"requestModel":{"header":{"msgNo":"TS0116_00_20211029175635_99112","txnCode":"BT$CIFIX","txnTime":"2021-10-29 17:56:16","senderCode":"TS0116_00","receiverCode":"UP0090_00","operatorCode":"TS0116_00","unitCode":"9004"},"requestBody":{"funcId":"01","criteria":{"circiKey":"I880000065","propertyTypeCode":"0","partyCertNo":"I880000065","partyCertDate":"1984-06-08"},"dataSet":[{"genderCode":"M"}]}},"resultCode":"UP0090_00_V201","resultDescription":"必要性檢核錯誤","resultBody":null,"errorMessages":["檢查有誤，顧客ID已停用"]}</t>
  </si>
  <si>
    <t>1635530175077176-2290392-67-01</t>
  </si>
  <si>
    <t>1635530175087202-2290392-75-01</t>
  </si>
  <si>
    <t>TS0116_00_20211029175630_97812</t>
  </si>
  <si>
    <t>H870001206</t>
  </si>
  <si>
    <t>{"requestModel":{"header":{"msgNo":"TS0116_00_20211029175630_97812","txnCode":"BT$CIFIX","txnTime":"2021-10-29 17:56:15","senderCode":"TS0116_00","receiverCode":"UP0090_00","operatorCode":"TS0116_00","unitCode":"9004"},"requestBody":{"funcId":"01","criteria":{"circiKey":"H870001206","propertyTypeCode":"0","partyCertNo":"H870001206","partyCertDate":"1982-06-01"},"dataSet":[{"genderCode":"M"}]}},"resultCode":"UP0090_00_V201","resultDescription":"必要性檢核錯誤","resultBody":null,"errorMessages":["檢查有誤，顧客ID已停用"]}</t>
  </si>
  <si>
    <t>1635530173936707-2290392-84-01</t>
  </si>
  <si>
    <t>1635530173946422-2290392-88-01</t>
  </si>
  <si>
    <t>TS0116_00_20211029175626_61061</t>
  </si>
  <si>
    <t>F870004045</t>
  </si>
  <si>
    <t>{"requestModel":{"header":{"msgNo":"TS0116_00_20211029175626_61061","txnCode":"BT$CIFIX","txnTime":"2021-10-29 17:56:13","senderCode":"TS0116_00","receiverCode":"UP0090_00","operatorCode":"TS0116_00","unitCode":"9004"},"requestBody":{"funcId":"01","criteria":{"circiKey":"F870004045","propertyTypeCode":"0","partyCertNo":"F870004045","partyCertDate":"1985-07-07"},"dataSet":[{"genderCode":"M"}]}},"resultCode":"UP0090_00_V201","resultDescription":"必要性檢核錯誤","resultBody":null,"errorMessages":["檢查有誤，顧客ID已停用"]}</t>
  </si>
  <si>
    <t>1635530173922594-2290392-79-01</t>
  </si>
  <si>
    <t>1635530173932189-2290392-83-01</t>
  </si>
  <si>
    <t>TS0116_00_20211029175626_30022</t>
  </si>
  <si>
    <t>C880000467</t>
  </si>
  <si>
    <t>{"requestModel":{"header":{"msgNo":"TS0116_00_20211029175626_30022","txnCode":"BT$CIFIX","txnTime":"2021-10-29 17:56:13","senderCode":"TS0116_00","receiverCode":"UP0090_00","operatorCode":"TS0116_00","unitCode":"9004"},"requestBody":{"funcId":"01","criteria":{"circiKey":"C880000467","propertyTypeCode":"0","partyCertNo":"C880000467","partyCertDate":"1985-04-02"},"dataSet":[{"genderCode":"M"}]}},"resultCode":"UP0090_00_V201","resultDescription":"必要性檢核錯誤","resultBody":null,"errorMessages":["檢查有誤，顧客ID已停用"]}</t>
  </si>
  <si>
    <t>1635530173357661-2290392-50-01</t>
  </si>
  <si>
    <t>1635530173368049-2290392-55-01</t>
  </si>
  <si>
    <t>TS0116_00_20211029175625_94512</t>
  </si>
  <si>
    <t>A890003058</t>
  </si>
  <si>
    <t>{"requestModel":{"header":{"msgNo":"TS0116_00_20211029175625_94512","txnCode":"BT$CIFIX","txnTime":"2021-10-29 17:56:13","senderCode":"TS0116_00","receiverCode":"UP0090_00","operatorCode":"TS0116_00","unitCode":"9004"},"requestBody":{"funcId":"01","criteria":{"circiKey":"A890003058","propertyTypeCode":"0","partyCertNo":"A890003058","partyCertDate":"1982-11-19"},"dataSet":[{"genderCode":"M"}]}},"resultCode":"UP0090_00_V201","resultDescription":"必要性檢核錯誤","resultBody":null,"errorMessages":["檢查有誤，顧客ID已停用"]}</t>
  </si>
  <si>
    <t>1635530173316472-2290392-34-01</t>
  </si>
  <si>
    <t>1635530173325334-2290392-38-01</t>
  </si>
  <si>
    <t>TS0116_00_20211029175625_59961</t>
  </si>
  <si>
    <t>H870000825</t>
  </si>
  <si>
    <t>{"requestModel":{"header":{"msgNo":"TS0116_00_20211029175625_59961","txnCode":"BT$CIFIX","txnTime":"2021-10-29 17:56:13","senderCode":"TS0116_00","receiverCode":"UP0090_00","operatorCode":"TS0116_00","unitCode":"9004"},"requestBody":{"funcId":"01","criteria":{"circiKey":"H870000825","propertyTypeCode":"0","partyCertNo":"H870000825","partyCertDate":"1984-04-03"},"dataSet":[{"genderCode":"M"}]}},"resultCode":"UP0090_00_V201","resultDescription":"必要性檢核錯誤","resultBody":null,"errorMessages":["檢查有誤，顧客ID已停用"]}</t>
  </si>
  <si>
    <t>1635530173301687-2290392-29-01</t>
  </si>
  <si>
    <t>1635530173312251-2290392-33-01</t>
  </si>
  <si>
    <t>TS0116_00_20211029175624_28822</t>
  </si>
  <si>
    <t>H870000843</t>
  </si>
  <si>
    <t>{"requestModel":{"header":{"msgNo":"TS0116_00_20211029175624_28822","txnCode":"BT$CIFIX","txnTime":"2021-10-29 17:56:13","senderCode":"TS0116_00","receiverCode":"UP0090_00","operatorCode":"TS0116_00","unitCode":"9004"},"requestBody":{"funcId":"01","criteria":{"circiKey":"H870000843","propertyTypeCode":"0","partyCertNo":"H870000843","partyCertDate":"1976-07-15"},"dataSet":[{"genderCode":"M"}]}},"resultCode":"UP0090_00_V201","resultDescription":"必要性檢核錯誤","resultBody":null,"errorMessages":["檢查有誤，顧客ID已停用"]}</t>
  </si>
  <si>
    <t>1635530173214268-2290392-91-01</t>
  </si>
  <si>
    <t>1635530173225127-2290392-95-01</t>
  </si>
  <si>
    <t>TS0116_00_20211029175624_28622</t>
  </si>
  <si>
    <t>W890000084</t>
  </si>
  <si>
    <t>{"requestModel":{"header":{"msgNo":"TS0116_00_20211029175624_28622","txnCode":"BT$CIFIX","txnTime":"2021-10-29 17:56:13","senderCode":"TS0116_00","receiverCode":"UP0090_00","operatorCode":"TS0116_00","unitCode":"9004"},"requestBody":{"funcId":"01","criteria":{"circiKey":"W890000084","propertyTypeCode":"0","partyCertNo":"W890000084","partyCertDate":"1987-10-29"},"dataSet":[{"genderCode":"M"}]}},"resultCode":"UP0090_00_V201","resultDescription":"必要性檢核錯誤","resultBody":null,"errorMessages":["檢查有誤，顧客ID已停用"]}</t>
  </si>
  <si>
    <t>1635530172967101-2290392-84-01</t>
  </si>
  <si>
    <t>1635530172977667-2290392-88-01</t>
  </si>
  <si>
    <t>TS0116_00_20211029175623_28022</t>
  </si>
  <si>
    <t>O880000226</t>
  </si>
  <si>
    <t>{"requestModel":{"header":{"msgNo":"TS0116_00_20211029175623_28022","txnCode":"BT$CIFIX","txnTime":"2021-10-29 17:56:12","senderCode":"TS0116_00","receiverCode":"UP0090_00","operatorCode":"TS0116_00","unitCode":"9004"},"requestBody":{"funcId":"01","criteria":{"circiKey":"O880000226","propertyTypeCode":"0","partyCertNo":"O880000226","partyCertDate":"1984-01-31"},"dataSet":[{"genderCode":"M"}]}},"resultCode":"UP0090_00_V201","resultDescription":"必要性檢核錯誤","resultBody":null,"errorMessages":["檢查有誤，顧客ID已停用"]}</t>
  </si>
  <si>
    <t>1635530170681473-2290392-75-01</t>
  </si>
  <si>
    <t>1635530170691469-2290392-80-01</t>
  </si>
  <si>
    <t>TS0116_00_20211029175612_55161</t>
  </si>
  <si>
    <t>A870003463</t>
  </si>
  <si>
    <t>{"requestModel":{"header":{"msgNo":"TS0116_00_20211029175612_55161","txnCode":"BT$CIFIX","txnTime":"2021-10-29 17:56:10","senderCode":"TS0116_00","receiverCode":"UP0090_00","operatorCode":"TS0116_00","unitCode":"9004"},"requestBody":{"funcId":"01","criteria":{"circiKey":"A870003463","propertyTypeCode":"0","partyCertNo":"A870003463","partyCertDate":"1983-02-22"},"dataSet":[{"genderCode":"M"}]}},"resultCode":"UP0090_00_V201","resultDescription":"必要性檢核錯誤","resultBody":null,"errorMessages":["檢查有誤，顧客ID已停用"]}</t>
  </si>
  <si>
    <t>Y</t>
    <phoneticPr fontId="1" type="noConversion"/>
  </si>
  <si>
    <t>TS0116_00_20211022115012_45461</t>
    <phoneticPr fontId="1" type="noConversion"/>
  </si>
  <si>
    <t>H120227201</t>
    <phoneticPr fontId="1" type="noConversion"/>
  </si>
  <si>
    <t>SC2021102200008</t>
    <phoneticPr fontId="1" type="noConversion"/>
  </si>
  <si>
    <t>基中</t>
    <phoneticPr fontId="1" type="noConversion"/>
  </si>
  <si>
    <t>基中</t>
    <phoneticPr fontId="1" type="noConversion"/>
  </si>
  <si>
    <t>1634816206134521-0722841-76-01</t>
    <phoneticPr fontId="1" type="noConversion"/>
  </si>
  <si>
    <t>SC2021110100095</t>
    <phoneticPr fontId="1" type="noConversion"/>
  </si>
  <si>
    <t>done</t>
    <phoneticPr fontId="1" type="noConversion"/>
  </si>
  <si>
    <t>done</t>
    <phoneticPr fontId="1" type="noConversion"/>
  </si>
  <si>
    <t>1634816202904730-0729976-57-02</t>
    <phoneticPr fontId="1" type="noConversion"/>
  </si>
  <si>
    <t>1634816202944760-0729976-09-02</t>
    <phoneticPr fontId="1" type="noConversion"/>
  </si>
  <si>
    <t>1634123316319364-9188985-42-01</t>
    <phoneticPr fontId="1" type="noConversion"/>
  </si>
  <si>
    <t>1634123316340822-9188985-66-01</t>
    <phoneticPr fontId="1" type="noConversion"/>
  </si>
  <si>
    <t>done</t>
    <phoneticPr fontId="1" type="noConversion"/>
  </si>
  <si>
    <t>done</t>
    <phoneticPr fontId="1" type="noConversion"/>
  </si>
  <si>
    <t>SC2021110300036</t>
    <phoneticPr fontId="1" type="noConversion"/>
  </si>
  <si>
    <t>DONE</t>
    <phoneticPr fontId="1" type="noConversion"/>
  </si>
  <si>
    <t>不用同步</t>
    <phoneticPr fontId="1" type="noConversion"/>
  </si>
  <si>
    <t>亮維</t>
    <phoneticPr fontId="1" type="noConversion"/>
  </si>
  <si>
    <t>EM11008074(共用）</t>
    <phoneticPr fontId="1" type="noConversion"/>
  </si>
  <si>
    <t>1635268213705085-1715981-02-02</t>
    <phoneticPr fontId="1" type="noConversion"/>
  </si>
  <si>
    <t>1635267258523049-1715759-24-02</t>
    <phoneticPr fontId="1" type="noConversion"/>
  </si>
  <si>
    <t>SC2021110400002</t>
    <phoneticPr fontId="1" type="noConversion"/>
  </si>
  <si>
    <t>S121001290</t>
    <phoneticPr fontId="1" type="noConversion"/>
  </si>
  <si>
    <t>1635793966409094-2858393-86-02</t>
    <phoneticPr fontId="1" type="noConversion"/>
  </si>
  <si>
    <t>轉HOTFIX維運</t>
    <phoneticPr fontId="1" type="noConversion"/>
  </si>
  <si>
    <t>SC2021110500003</t>
    <phoneticPr fontId="1" type="noConversion"/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</si>
  <si>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</si>
  <si>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funcId=01, custName=鄭孟芳, companyEstablishDate=null, circiKey=R224329956, creditCardKey=null, certNo=R224329956, certDate=Fri Mar 28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goldenRecordItemContent=0680],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goldenRecordItemContent=鄭孟芳],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goldenRecordItemContent=0680],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goldenRecordItemContent=0933403406],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MENG 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goldenRecordItemContent=0424719884],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goldenRecordItemContent=179],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goldenRecordItemContent=0224228881],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goldenRecordItemContent=0424719884],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goldenRecordItemContent=0933403406],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goldenRecordItemContent=MOLLY328603@GMAIL.COM],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goldenRecordItemContent=陽明海運],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goldenRecordItemContent=1997-03-28],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[custId=7473267, custType=P, certTypeCode=00, partyKind=P, oldRestart=false, customerTag=CustomerTag [custId=7473267, custType=P, removalPredicate=null, removalSystemCode=null, refToCustId=0, refDatetime=null, disabledDatetime=null, identityCertTypeCode=00, disabled=null, disabledSystemCode=null], idChangeState=null, creditCardKey=R224329956, circiKey=null, birthDay=1997-03-28 00:00:00.0]；ServiceInterchange:ServiceInterchange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</si>
  <si>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funcId=01, custName=曾偉銓, companyEstablishDate=null, circiKey=N125660620, creditCardKey=null, certNo=N125660620, certDate=Wed Jul 26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goldenRecordItemContent=0392],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goldenRecordItemContent=曾偉銓],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goldenRecordItemContent=13],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goldenRecordItemContent=0392],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goldenRecordItemContent=0975010136],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goldenRecordItemContent=TSENG, WEI-CHUAN],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goldenRecordItemContent=048950569],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goldenRecordItemContent=0224313131],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goldenRecordItemContent=048950569],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goldenRecordItemContent=0975010136],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goldenRecordItemContent=CONNECT199507@GMAIL.COM],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goldenRecordItemContent=長庚醫療財團法人],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goldenRecordItemContent=專業人員（具專業執],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goldenRecordItemContent=1995-07-26],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[custId=10168477, custType=P, certTypeCode=00, partyKind=P, oldRestart=false, customerTag=CustomerTag [custId=10168477, custType=P, removalPredicate=null, removalSystemCode=null, refToCustId=0, refDatetime=null, disabledDatetime=null, identityCertTypeCode=00, disabled=null, disabledSystemCode=null], idChangeState=null, creditCardKey=N125660620, circiKey=null, birthDay=1995-07-26 00:00:00.0]；ServiceInterchange:ServiceInterchange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</si>
  <si>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funcId=01, custName=陳熙寰, companyEstablishDate=null, circiKey=M122615328, creditCardKey=null, certNo=M122615328, certDate=Sun Nov 14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goldenRecordItemContent=1285],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goldenRecordItemContent=陳熙寰],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goldenRecordItemContent=1285],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goldenRecordItemContent=0911311367],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XI 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goldenRecordItemContent=0425223787],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goldenRecordItemContent=207],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goldenRecordItemContent=0422545333],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goldenRecordItemContent=0425223787],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goldenRecordItemContent=0911311367],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goldenRecordItemContent=a25223787@gmail.com],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goldenRecordItemContent=中國信託],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goldenRecordItemContent=1993-11-14],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[custId=5553029, custType=P, certTypeCode=00, partyKind=P, oldRestart=false, customerTag=null, idChangeState=null, creditCardKey=null, circiKey=null, birthDay=Sun Nov 14 00:00:00 GMT+08:00 1993]；ServiceInterchange:ServiceInterchange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</si>
  <si>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funcId=01, custName=紀凱倫, companyEstablishDate=null, circiKey=P222439957, creditCardKey=null, certNo=P222439957, certDate=Sun Jul 01 00:00:00 GMT+08:00 1979,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goldenRecordItemContent=0174],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goldenRecordItemContent=紀凱倫],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goldenRecordItemContent=0174],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goldenRecordItemContent=0921854032],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goldenRecordItemContent=CHIKAILUN],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goldenRecordItemContent=0921854032],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goldenRecordItemContent=808],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goldenRecordItemContent=0227996558],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goldenRecordItemContent=三民路二段１８１巷２號４樓],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goldenRecordItemContent=板橋區],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goldenRecordItemContent=0921854032],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goldenRecordItemContent=0921854032],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goldenRecordItemContent=KAREN71969@YAHOO.COM],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goldenRecordItemContent=雲林縣],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goldenRecordItemContent=水南村１９鄰新興南路２８號],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goldenRecordItemContent=652],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goldenRecordItemContent=水林鄉],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goldenRecordItemContent=台灣艾富克股份有限公司],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goldenRecordItemContent=1979-07-01],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[custId=9685106, custType=P, certTypeCode=00, partyKind=P, oldRestart=false, customerTag=null, idChangeState=null, creditCardKey=null, circiKey=null, birthDay=Sun Jul 01 00:00:00 GMT+08:00 1979]；ServiceInterchange:ServiceInterchange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</si>
  <si>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funcId=01, custName=蕭婷雲, companyEstablishDate=null, circiKey=N225948256, creditCardKey=null, certNo=N225948256, certDate=Sun Feb 01 00:00:00 GMT+08:00 1998,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goldenRecordItemContent=0925090817],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goldenRecordItemContent=蕭婷雲],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goldenRecordItemContent=0925090817],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goldenRecordItemContent=HSIAO,TING YUN],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goldenRecordItemContent=0925090817],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goldenRecordItemContent=111],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goldenRecordItemContent=0426933685],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goldenRecordItemContent=沙田路一段９２５號],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goldenRecordItemContent=0925090817],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goldenRecordItemContent=betty8220378@gmail.com],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goldenRecordItemContent=陸豐村５鄰漢光巷６４號],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goldenRecordItemContent=田尾鄉],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goldenRecordItemContent=宥興企業有限公司],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goldenRecordItemContent=1998-02-01],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[custId=10066171, custType=P, certTypeCode=00, partyKind=P, oldRestart=false, customerTag=null, idChangeState=null, creditCardKey=null, circiKey=null, birthDay=Sun Feb 01 00:00:00 GMT+08:00 1998]；ServiceInterchange:ServiceInterchange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</si>
  <si>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funcId=01, custName=劉軒伶, companyEstablishDate=null, circiKey=H225227123, creditCardKey=null, certNo=H225227123, certDate=Wed Apr 14 00:00:00 GMT+08:00 1999,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goldenRecordItemContent=北興村１５鄰中興路２２８巷２９號],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goldenRecordItemContent=龍潭區],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goldenRecordItemContent=川岳國際室內裝修設計有限公司],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goldenRecordItemContent=0473],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goldenRecordItemContent=劉軒伶],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goldenRecordItemContent=0473],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goldenRecordItemContent=0909190696],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goldenRecordItemContent=LIU,HSUAN LING],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goldenRecordItemContent=0909190696],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goldenRecordItemContent=0233229637],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goldenRecordItemContent=環西路二段３００巷６－２號７樓],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goldenRecordItemContent=0909190696],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goldenRecordItemContent=0909190696],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goldenRecordItemContent=shang7230@gmail.com],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goldenRecordItemContent=1999-04-14]], custType=P, relationRemoval=null]；CustCipIdentity:CustCipIdentity [custId=9080010, custType=P, certTypeCode=00, partyKind=P, oldRestart=false, customerTag=null, idChangeState=null, creditCardKey=null, circiKey=null, birthDay=Wed Apr 14 00:00:00 GMT+08:00 1999]；ServiceInterchange:ServiceInterchange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Exception : ]</t>
  </si>
  <si>
    <t>發送異動通知電文給CIP回傳錯誤碼:UP0090_00_E301,錯誤碼訊息:服務執行期錯誤,錯誤訊息:[顧客識別寫入CI發生錯誤。ChangeRequest:ChangeRequest [serviceInterchange=ServiceInterchange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funcId=01, custName=李佩諭, companyEstablishDate=null, circiKey=F228283210, creditCardKey=null, certNo=F228283210, certDate=Wed Oct 05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goldenRecordItemContent=1045],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goldenRecordItemContent=李佩諭],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goldenRecordItemContent=1045],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goldenRecordItemContent=0932160489],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goldenRecordItemContent=LI,PEI-YU],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goldenRecordItemContent=0226727243],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goldenRecordItemContent=033188515],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goldenRecordItemContent=安坑里１５鄰安坑１３－７號],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goldenRecordItemContent=三峽區],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goldenRecordItemContent=0226727243],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goldenRecordItemContent=0932160489],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goldenRecordItemContent=T15677@YAHOO.COM.TW],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goldenRecordItemContent=興仁里３３鄰中正路１５０號六樓],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goldenRecordItemContent=八德區],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goldenRecordItemContent=法務部矯正署],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goldenRecordItemContent=1994-10-05],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[custId=3540818, custType=P, certTypeCode=00, partyKind=P, oldRestart=false, customerTag=null, idChangeState=null, creditCardKey=null, circiKey=null, birthDay=Wed Oct 05 00:00:00 GMT+08:00 1994]；ServiceInterchange:ServiceInterchange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Exception : ]</t>
  </si>
  <si>
    <t>02-11月-21 02.10.51.167000000 上午</t>
  </si>
  <si>
    <t>02-11月-21 02.02.47.237000000 上午</t>
  </si>
  <si>
    <t>02-11月-21 02.02.30.788000000 上午</t>
  </si>
  <si>
    <t>02-11月-21 02.01.12.045000000 上午</t>
  </si>
  <si>
    <t>02-11月-21 01.56.47.140000000 上午</t>
  </si>
  <si>
    <t>02-11月-21 01.55.42.491000000 上午</t>
  </si>
  <si>
    <t>02-11月-21 01.54.47.969000000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</si>
  <si>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funcId=01, custName=孫爰晴, companyEstablishDate=null, circiKey=E224731821, creditCardKey=null, certNo=E224731821, certDate=Thu Aug 01 00:00:00 GMT+08:00 1996,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goldenRecordItemContent=0908903082],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goldenRecordItemContent=jkh850801@gmail.com],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goldenRecordItemContent=0908903082],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goldenRecordItemContent=0381],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goldenRecordItemContent=孫爰晴],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goldenRecordItemContent=0908903082],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goldenRecordItemContent=SUN YUAN CHING],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goldenRecordItemContent=0908903082],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goldenRecordItemContent=1996-08-01]], custType=P, relationRemoval=null]；CustCipIdentity:CustCipIdentity [custId=9453884, custType=P, certTypeCode=00, partyKind=P, oldRestart=false, customerTag=null, idChangeState=null, creditCardKey=null, circiKey=null, birthDay=Thu Aug 01 00:00:00 GMT+08:00 1996]；ServiceInterchange:ServiceInterchange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Exception : ]</t>
  </si>
  <si>
    <t>02-11月-21 01.47.17.172000000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</si>
  <si>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funcId=01, custName=張竣翔, companyEstablishDate=null, circiKey=F129438726, creditCardKey=null, certNo=F129438726, certDate=Fri Apr 11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goldenRecordItemContent=公勝保險經紀人股份有限公司],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goldenRecordItemContent=0901],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goldenRecordItemContent=張竣翔],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goldenRecordItemContent=0901],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goldenRecordItemContent=0987784478],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goldenRecordItemContent=CHANG,CHUN-HSIANG],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goldenRecordItemContent=0987784478],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goldenRecordItemContent=0225551600],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goldenRecordItemContent=0987784478],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goldenRecordItemContent=0987784478],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goldenRecordItemContent=calvin95123@gmail.com],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goldenRecordItemContent=1997-04-11]], custType=P, relationRemoval=null]；CustCipIdentity:CustCipIdentity [custId=3028614, custType=P, certTypeCode=00, partyKind=P, oldRestart=false, customerTag=CustomerTag [custId=3028614, custType=P, removalPredicate=null, removalSystemCode=null, refToCustId=0, refDatetime=null, disabledDatetime=null, identityCertTypeCode=00, disabled=null, disabledSystemCode=null], idChangeState=null, creditCardKey=F129438726, circiKey=null, birthDay=1997-04-11 00:00:00.0]；ServiceInterchange:ServiceInterchange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Exception : ]</t>
  </si>
  <si>
    <t>02-11月-21 01.46.34.566000000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</si>
  <si>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funcId=01, custName=陳柏均, companyEstablishDate=null, circiKey=M122458770, creditCardKey=null, certNo=M122458770, certDate=Tue Jul 24 00:00:00 GMT+08:00 1990,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goldenRecordItemContent=0990],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goldenRecordItemContent=陳柏均],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goldenRecordItemContent=0990],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goldenRecordItemContent=0937798268],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PO CHUN],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goldenRecordItemContent=0937798268],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goldenRecordItemContent=0492270569],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goldenRecordItemContent=0937798268],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goldenRecordItemContent=0937798268],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goldenRecordItemContent=s1001850@gmail.com],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goldenRecordItemContent=調前鳳梨果園],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goldenRecordItemContent=高階管理人員],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goldenRecordItemContent=1990-07-24],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[custId=5549112, custType=P, certTypeCode=00, partyKind=P, oldRestart=false, customerTag=CustomerTag [custId=5549112, custType=P, removalPredicate=null, removalSystemCode=null, refToCustId=0, refDatetime=null, disabledDatetime=null, identityCertTypeCode=00, disabled=null, disabledSystemCode=null], idChangeState=null, creditCardKey=M122458770, circiKey=null, birthDay=1990-07-24 00:00:00.0]；ServiceInterchange:ServiceInterchange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Exception : ]</t>
  </si>
  <si>
    <t>02-11月-21 01.46.03.584000000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</si>
  <si>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funcId=01, custName=許雅筑, companyEstablishDate=null, circiKey=I200336993, creditCardKey=null, certNo=I200336993, certDate=Fri Oct 08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goldenRecordItemContent=0509],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goldenRecordItemContent=許雅筑],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goldenRecordItemContent=0509],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goldenRecordItemContent=0910595189],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goldenRecordItemContent=HSU YA CHU],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goldenRecordItemContent=0910595189],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goldenRecordItemContent=1691],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goldenRecordItemContent=27208889],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goldenRecordItemContent=0910595189],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goldenRecordItemContent=0910595189],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goldenRecordItemContent=wuwo1008@gmail.com],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goldenRecordItemContent=台北市政府],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goldenRecordItemContent=1993-10-08],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[custId=4405666, custType=P, certTypeCode=00, partyKind=P, oldRestart=false, customerTag=null, idChangeState=null, creditCardKey=null, circiKey=null, birthDay=Fri Oct 08 00:00:00 GMT+08:00 1993]；ServiceInterchange:ServiceInterchange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Exception : ]</t>
  </si>
  <si>
    <t>02-11月-21 01.45.05.717000000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</si>
  <si>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funcId=01, custName=林彥成, companyEstablishDate=null, circiKey=J122539698, creditCardKey=null, certNo=J122539698, certDate=Wed Feb 15 00:00:00 GMT+08:00 1989,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goldenRecordItemContent=035958171],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goldenRecordItemContent=0928222823],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goldenRecordItemContent=BREAKING0215@HOTMAIL.COM],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goldenRecordItemContent=三竹資訊],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goldenRecordItemContent=專業技術人員],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goldenRecordItemContent=1344],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goldenRecordItemContent=林彥成],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goldenRecordItemContent=1344],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goldenRecordItemContent=0928222823],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goldenRecordItemContent=LIN YEN-CHENG],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goldenRecordItemContent=035958171],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goldenRecordItemContent=1563],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goldenRecordItemContent=0225639999],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goldenRecordItemContent=1989-02-15],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[custId=9592967, custType=P, certTypeCode=00, partyKind=P, oldRestart=false, customerTag=CustomerTag [custId=9592967, custType=P, removalPredicate=null, removalSystemCode=null, refToCustId=0, refDatetime=null, disabledDatetime=null, identityCertTypeCode=00, disabled=null, disabledSystemCode=null], idChangeState=null, creditCardKey=J122539698, circiKey=null, birthDay=1989-02-15 00:00:00.0]；ServiceInterchange:ServiceInterchange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Exception : ]</t>
  </si>
  <si>
    <t>02-11月-21 01.35.02.011000000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</si>
  <si>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funcId=01, custName=施宏璋, companyEstablishDate=null, circiKey=A129099715, creditCardKey=null, certNo=A129099715, certDate=Fri Jun 28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goldenRecordItemContent=0864],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goldenRecordItemContent=施宏璋],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goldenRecordItemContent=0864],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goldenRecordItemContent=0988083628],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goldenRecordItemContent=SZU HUNG CHANG],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goldenRecordItemContent=0228919205],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goldenRecordItemContent=0228919205],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goldenRecordItemContent=0988083628],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goldenRecordItemContent=johnny_shih@msn.com],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goldenRecordItemContent=1991-06-28],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[custId=9069347, custType=P, certTypeCode=00, partyKind=P, oldRestart=false, customerTag=null, idChangeState=null, creditCardKey=null, circiKey=null, birthDay=null]；ServiceInterchange:ServiceInterchange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Exception : ]</t>
  </si>
  <si>
    <t>02-11月-21 01.30.06.321000000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</si>
  <si>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funcId=01, custName=邱秀雅, companyEstablishDate=null, circiKey=R221489311, creditCardKey=null, certNo=R221489311, certDate=Mon May 24 00:00:00 GMT+08:00 1971,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goldenRecordItemContent=1252],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goldenRecordItemContent=邱秀雅],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goldenRecordItemContent=1252],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goldenRecordItemContent=0983438440],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goldenRecordItemContent=CHIU HSIU YA],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goldenRecordItemContent=0426918520],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goldenRecordItemContent=0426918520],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goldenRecordItemContent=0426918520],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goldenRecordItemContent=0983438440],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goldenRecordItemContent=mama998861@yahoo.com.tw],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goldenRecordItemContent=沒有],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goldenRecordItemContent=1971-05-24],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[custId=7345682, custType=P, certTypeCode=00, partyKind=P, oldRestart=false, customerTag=CustomerTag [custId=7345682, custType=P, removalPredicate=null, removalSystemCode=null, refToCustId=0, refDatetime=null, disabledDatetime=null, identityCertTypeCode=00, disabled=null, disabledSystemCode=null], idChangeState=null, creditCardKey=R221489311, circiKey=null, birthDay=1971-05-24 00:00:00.0]；ServiceInterchange:ServiceInterchange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Exception : ]</t>
  </si>
  <si>
    <t>02-11月-21 01.27.44.513000000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</si>
  <si>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funcId=01, custName=呂欣芳, companyEstablishDate=null, circiKey=S224579215, creditCardKey=null, certNo=S224579215, certDate=Fri Sep 16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goldenRecordItemContent=0794],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goldenRecordItemContent=呂欣芳],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goldenRecordItemContent=0794],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goldenRecordItemContent=0976430837],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goldenRecordItemContent=LU SHINFANG],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goldenRecordItemContent=0976430837],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goldenRecordItemContent=6932222],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goldenRecordItemContent=0976430837],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goldenRecordItemContent=0976430837],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goldenRecordItemContent=b0233066@ems.niu.edu.tw],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goldenRecordItemContent=善統工業股份有限公司],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[custId=8002092, custType=P, certTypeCode=00, partyKind=P, oldRestart=false, customerTag=CustomerTag [custId=8002092, custType=P, removalPredicate=null, removalSystemCode=null, refToCustId=0, refDatetime=null, disabledDatetime=null, identityCertTypeCode=00, disabled=null, disabledSystemCode=null], idChangeState=null, creditCardKey=null, circiKey=null, birthDay=1994-09-16 00:00:00.0]；ServiceInterchange:ServiceInterchange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Exception : ]</t>
  </si>
  <si>
    <t>02-11月-21 01.22.56.367000000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</si>
  <si>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funcId=01, custName=蔡孟哲, companyEstablishDate=null, circiKey=L123919324, creditCardKey=null, certNo=L123919324, certDate=Thu Nov 09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goldenRecordItemContent=1425],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goldenRecordItemContent=蔡孟哲],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goldenRecordItemContent=1425],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goldenRecordItemContent=0970622231],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goldenRecordItemContent=TSAI,MENG CHE],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goldenRecordItemContent=0970622231],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goldenRecordItemContent=3353],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goldenRecordItemContent=23590096],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goldenRecordItemContent=0970622231],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goldenRecordItemContent=0970622231],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goldenRecordItemContent=MARK015163@GMAIL.COM],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goldenRecordItemContent=環隆科技],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goldenRecordItemContent=1995-11-09],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[custId=9896935, custType=P, certTypeCode=00, partyKind=P, oldRestart=false, customerTag=null, idChangeState=null, creditCardKey=null, circiKey=null, birthDay=Thu Nov 09 00:00:00 GMT+08:00 1995]；ServiceInterchange:ServiceInterchange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Exception : ]</t>
  </si>
  <si>
    <t>02-11月-21 01.20.22.412000000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</si>
  <si>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funcId=01, custName=劉淑綿, companyEstablishDate=null, circiKey=N221973879, creditCardKey=null, certNo=N221973879, certDate=Tue Jun 10 00:00:00 GMT+08:00 1969,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goldenRecordItemContent=1104],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goldenRecordItemContent=劉淑綿],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goldenRecordItemContent=1104],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goldenRecordItemContent=0972324208],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goldenRecordItemContent=LIU,SHU MIEN],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goldenRecordItemContent=048312592],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goldenRecordItemContent=8332466],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goldenRecordItemContent=048312592],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goldenRecordItemContent=0972324208],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goldenRecordItemContent=emily799619@icloud.com],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goldenRecordItemContent=寶島藥品],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goldenRecordItemContent=1969-06-10],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[custId=6016956, custType=P, certTypeCode=00, partyKind=P, oldRestart=false, customerTag=CustomerTag [custId=6016956, custType=P, removalPredicate=null, removalSystemCode=null, refToCustId=0, refDatetime=null, disabledDatetime=null, identityCertTypeCode=00, disabled=null, disabledSystemCode=null], idChangeState=null, creditCardKey=N221973879, circiKey=null, birthDay=1969-06-10 00:00:00.0]；ServiceInterchange:ServiceInterchange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Exception : ]</t>
  </si>
  <si>
    <t>02-11月-21 01.17.32.767000000 上午</t>
  </si>
  <si>
    <t>發送異動通知電文給CIP回傳錯誤碼:UP0090_00_E301,錯誤碼訊息:服務執行期錯誤,錯誤訊息:[顧客識別寫入CI發生錯誤。ChangeRequest:ChangeRequest [serviceInterchange=ServiceInterchange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funcId=01, custName=鄭智恬, companyEstablishDate=null, circiKey=E223499922, creditCardKey=null, certNo=E223499922, certDate=Tue Sep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goldenRecordItemContent=0299],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goldenRecordItemContent=鄭智恬],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goldenRecordItemContent=0299],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goldenRecordItemContent=0912713903],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CHIH TIEN],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goldenRecordItemContent=072216571],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goldenRecordItemContent=8874],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goldenRecordItemContent=076413701],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goldenRecordItemContent=072216571],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goldenRecordItemContent=0912713903],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goldenRecordItemContent=WONDERFUL78999@GMAIL.COM],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goldenRecordItemContent=台灣中油股份有限公司],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goldenRecordItemContent=1987-09-01],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[custId=9252153, custType=P, certTypeCode=00, partyKind=P, oldRestart=false, customerTag=null, idChangeState=null, creditCardKey=null, circiKey=null, birthDay=Tue Sep 01 00:00:00 GMT+08:00 1987]；ServiceInterchange:ServiceInterchange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Exception : ]</t>
  </si>
  <si>
    <t>01-11月-21 11.33.59.428000000 下午</t>
  </si>
  <si>
    <t>發送異動通知電文給CIP回傳錯誤碼:UP0090_00_E301,錯誤碼訊息:服務執行期錯誤,錯誤訊息:[顧客識別寫入CI發生錯誤。ChangeRequest:ChangeRequest [serviceInterchange=ServiceInterchange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funcId=01, custName=陳昌佑, companyEstablishDate=null, circiKey=N125287729, creditCardKey=null, certNo=N125287729, certDate=Thu Jan 30 00:00:00 GMT+08:00 1992,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goldenRecordItemContent=陳昌佑],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goldenRecordItemContent=0905591388],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CHANG YOU],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goldenRecordItemContent=0905591388],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goldenRecordItemContent=047227806],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goldenRecordItemContent=0905591388],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goldenRecordItemContent=0905591388],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goldenRecordItemContent=dora69858@yahoo.com.tw],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goldenRecordItemContent=玉華珍餅行],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goldenRecordItemContent=專業服務人員],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goldenRecordItemContent=1992-01-30],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[custId=5890362, custType=P, certTypeCode=00, partyKind=P, oldRestart=false, customerTag=null, idChangeState=null, creditCardKey=null, circiKey=null, birthDay=Thu Jan 30 00:00:00 GMT+08:00 1992]；ServiceInterchange:ServiceInterchange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Exception : ]</t>
  </si>
  <si>
    <t>01-11月-21 09.19.50.783000000 下午</t>
  </si>
  <si>
    <t>1630057582141480-0313505-59-01</t>
  </si>
  <si>
    <t>1629977758280532-0128627-17-02</t>
  </si>
  <si>
    <t>26-8月 -21 11.35.58.380000000 上午</t>
  </si>
  <si>
    <t>1629977516435235-0134755-65-01</t>
  </si>
  <si>
    <t>26-8月 -21 11.31.56.532000000 上午</t>
  </si>
  <si>
    <t>1629977457773749-0128502-98-02</t>
  </si>
  <si>
    <t>26-8月 -21 11.30.57.874000000 上午</t>
  </si>
  <si>
    <t>1635819051065158-2916908-78-02</t>
    <phoneticPr fontId="1" type="noConversion"/>
  </si>
  <si>
    <t>1635805855609394-2872301-37-01</t>
  </si>
  <si>
    <t>TS0116_00_20211102021049_91812</t>
  </si>
  <si>
    <t>{"requestModel":{"header":{"msgNo":"TS0116_00_20211102021049_91812","txnCode":"digiAccOpening","txnTime":"2021-11-01 22:30:55","senderCode":"TS0116_00","receiverCode":"UP0090_00","operatorCode":"TS0116_00","unitCode":"0680"},"requestBody":{"funcId":"01","criteria":{"circiKey":"R224329956","propertyTypeCode":"0","partyCertNo":"R224329956","partyCertDate":"1997-03-28"},"dataSet":[{"creationDptCode":"0680","serveCompanyCertNo":null,"partyEnglishName":"CHENG MENG FANG","jobTitle":"一般及其他職務","grownUpGuardianshipCode":"0","performanceDptCode":"0680","residenceAddrAdminArea":"南屯區","contactTel":"0424719884","industryPropsTypeCode":"02","nationalityCode":"0","companyTelExtension":"179","contactAddr":"同心里１８鄰大墩三街１６７巷６號","customerKycTypeCode":[],"customerBirthday":"1997-03-28","incomeTaxTypeCode":"1","industryTypeCode":"07","email":"MOLLY328603@GMAIL.COM","selfBankSpecialServiceFlag":"00000","regCountryCode":"TW","dgbasIndustryCode":"061700","circiKey":"R224329956","txnPhone":"0933403406","residenceAddrLocality":"臺中市","companyTel":"0224228881","refuseLoanReasonCode":"0","contactAddrPostalCode":"408","contactAddrCountryCode":"TW","propertyTypeCode":"0","contactAddrAdminArea":"南屯區","customerName":"鄭孟芳","residenceTel":"0424719884","genderCode":"F","personCertNo":"R224329956","contactAddrLocality":"臺中市","serveCompanyName":"陽明海運","ncbIndustryCode":"060000","contactPhone":"0933403406","residenceAddrCountryCode":"TW","residenceAddr":"同心里１８鄰大墩三街１６７巷６號","residenceAddrPostalCode":"408"}]}},"resultCode":"UP0090_00_E301","resultDescription":"服務執行期錯誤","resultBody":null,"errorMessages":["顧客識別寫入CI發生錯誤。ChangeRequest:ChangeRequest [serviceInterchange=ServiceInterchange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funcId=01, custName=鄭孟芳, companyEstablishDate=null, circiKey=R224329956, creditCardKey=null, certNo=R224329956, certDate=Fri Mar 28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goldenRecordItemContent=0680],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goldenRecordItemContent=鄭孟芳],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goldenRecordItemContent=0680],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goldenRecordItemContent=0933403406],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MENG 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goldenRecordItemContent=0424719884],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goldenRecordItemContent=179],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goldenRecordItemContent=0224228881],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goldenRecordItemContent=0424719884],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goldenRecordItemContent=0933403406],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goldenRecordItemContent=MOLLY328603@GMAIL.COM],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goldenRecordItemContent=陽明海運],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goldenRecordItemContent=1997-03-28],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[custId=7473267, custType=P, certTypeCode=00, partyKind=P, oldRestart=false, customerTag=CustomerTag [custId=7473267, custType=P, removalPredicate=null, removalSystemCode=null, refToCustId=0, refDatetime=null, disabledDatetime=null, identityCertTypeCode=00, disabled=null, disabledSystemCode=null], idChangeState=null, creditCardKey=R224329956, circiKey=null, birthDay=1997-03-28 00:00:00.0]；ServiceInterchange:ServiceInterchange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Exception : "]}</t>
  </si>
  <si>
    <t>1635805855583469-2872301-87-01</t>
    <phoneticPr fontId="1" type="noConversion"/>
  </si>
  <si>
    <t>1635818567138303-2908432-64-01</t>
    <phoneticPr fontId="1" type="noConversion"/>
  </si>
  <si>
    <t>1635804108470948-2870372-86-01</t>
  </si>
  <si>
    <t>1635804108500963-2870372-41-01</t>
  </si>
  <si>
    <t>TS0116_00_20211102020246_24822</t>
  </si>
  <si>
    <t>{"requestModel":{"header":{"msgNo":"TS0116_00_20211102020246_24822","txnCode":"digiAccOpening","txnTime":"2021-11-01 22:01:48","senderCode":"TS0116_00","receiverCode":"UP0090_00","operatorCode":"TS0116_00","unitCode":"0392"},"requestBody":{"funcId":"01","criteria":{"circiKey":"N125660620","propertyTypeCode":"0","partyCertNo":"N125660620","partyCertDate":"1995-07-26"},"dataSet":[{"creationDptCode":"0392","serveCompanyCertNo":null,"partyEnglishName":"TSENG, WEI-CHUAN","jobTitle":"專業人員（具專業執","grownUpGuardianshipCode":"0","performanceDptCode":"0392","residenceAddrAdminArea":"二林鎮","contactTel":"048950569","industryPropsTypeCode":"02","nationalityCode":"0","companyTelExtension":null,"contactAddr":"南光里２５鄰安和街２２巷１７號","customerKycTypeCode":[],"customerBirthday":"1995-07-26","incomeTaxTypeCode":"1","industryTypeCode":"13","email":"CONNECT199507@GMAIL.COM","selfBankSpecialServiceFlag":"00000","regCountryCode":"TW","dgbasIndustryCode":"061700","circiKey":"N125660620","txnPhone":"0975010136","residenceAddrLocality":"彰化縣","companyTel":"0224313131","refuseLoanReasonCode":"0","contactAddrPostalCode":"526","contactAddrCountryCode":"TW","propertyTypeCode":"0","contactAddrAdminArea":"二林鎮","customerName":"曾偉銓","residenceTel":"048950569","genderCode":"M","personCertNo":"N125660620","contactAddrLocality":"彰化縣","serveCompanyName":"長庚醫療財團法人","ncbIndustryCode":"060000","contactPhone":"0975010136","residenceAddrCountryCode":"TW","residenceAddr":"南光里２５鄰安和街２２巷１７號","residenceAddrPostalCode":"526"}]}},"resultCode":"UP0090_00_E301","resultDescription":"服務執行期錯誤","resultBody":null,"errorMessages":["顧客識別寫入CI發生錯誤。ChangeRequest:ChangeRequest [serviceInterchange=ServiceInterchange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funcId=01, custName=曾偉銓, companyEstablishDate=null, circiKey=N125660620, creditCardKey=null, certNo=N125660620, certDate=Wed Jul 26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goldenRecordItemContent=0392],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goldenRecordItemContent=曾偉銓],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goldenRecordItemContent=13],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goldenRecordItemContent=0392],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goldenRecordItemContent=0975010136],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goldenRecordItemContent=TSENG, WEI-CHUAN],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goldenRecordItemContent=048950569],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goldenRecordItemContent=0224313131],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goldenRecordItemContent=048950569],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goldenRecordItemContent=0975010136],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goldenRecordItemContent=CONNECT199507@GMAIL.COM],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goldenRecordItemContent=長庚醫療財團法人],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goldenRecordItemContent=專業人員（具專業執],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goldenRecordItemContent=1995-07-26],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[custId=10168477, custType=P, certTypeCode=00, partyKind=P, oldRestart=false, customerTag=CustomerTag [custId=10168477, custType=P, removalPredicate=null, removalSystemCode=null, refToCustId=0, refDatetime=null, disabledDatetime=null, identityCertTypeCode=00, disabled=null, disabledSystemCode=null], idChangeState=null, creditCardKey=N125660620, circiKey=null, birthDay=1995-07-26 00:00:00.0]；ServiceInterchange:ServiceInterchange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Exception : "]}</t>
  </si>
  <si>
    <t>1635818550686527-2908315-02-01</t>
    <phoneticPr fontId="1" type="noConversion"/>
  </si>
  <si>
    <t>1635804049727579-2878189-10-02</t>
  </si>
  <si>
    <t>1635804049760919-2878189-60-02</t>
  </si>
  <si>
    <t>TS0116_00_20211102020228_58361</t>
  </si>
  <si>
    <t>{"requestModel":{"header":{"msgNo":"TS0116_00_20211102020228_58361","txnCode":"digiAccOpening","txnTime":"2021-11-01 22:00:49","senderCode":"TS0116_00","receiverCode":"UP0090_00","operatorCode":"TS0116_00","unitCode":"1285"},"requestBody":{"funcId":"01","criteria":{"circiKey":"M122615328","propertyTypeCode":"0","partyCertNo":"M122615328","partyCertDate":"1993-11-14"},"dataSet":[{"creationDptCode":"1285","serveCompanyCertNo":null,"partyEnglishName":"CHEN XI HUAN","jobTitle":"一般及其他職務","grownUpGuardianshipCode":"0","performanceDptCode":"1285","residenceAddrAdminArea":"豐原區","contactTel":"0425223787","industryPropsTypeCode":"02","nationalityCode":"0","companyTelExtension":"207","contactAddr":"西安里１６鄰圓環南路１９９巷１７號","customerKycTypeCode":[],"customerBirthday":"1993-11-14","incomeTaxTypeCode":"1","industryTypeCode":"08","email":"a25223787@gmail.com","selfBankSpecialServiceFlag":"00000","regCountryCode":"TW","dgbasIndustryCode":"061700","circiKey":"M122615328","txnPhone":"0911311367","residenceAddrLocality":"臺中市","companyTel":"0422545333","refuseLoanReasonCode":"0","contactAddrPostalCode":"420","contactAddrCountryCode":"TW","propertyTypeCode":"0","contactAddrAdminArea":"豐原區","customerName":"陳熙寰","residenceTel":"0425223787","genderCode":"M","personCertNo":"M122615328","contactAddrLocality":"臺中市","serveCompanyName":"中國信託","ncbIndustryCode":"060000","contactPhone":"0911311367","residenceAddrCountryCode":"TW","residenceAddr":"西安里１６鄰圓環南路１９９巷１７號","residenceAddrPostalCode":"420"}]}},"resultCode":"UP0090_00_E301","resultDescription":"服務執行期錯誤","resultBody":null,"errorMessages":["顧客識別寫入CI發生錯誤。ChangeRequest:ChangeRequest [serviceInterchange=ServiceInterchange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funcId=01, custName=陳熙寰, companyEstablishDate=null, circiKey=M122615328, creditCardKey=null, certNo=M122615328, certDate=Sun Nov 14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goldenRecordItemContent=1285],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goldenRecordItemContent=陳熙寰],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goldenRecordItemContent=1285],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goldenRecordItemContent=0911311367],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XI 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goldenRecordItemContent=0425223787],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goldenRecordItemContent=207],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goldenRecordItemContent=0422545333],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goldenRecordItemContent=0425223787],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goldenRecordItemContent=0911311367],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goldenRecordItemContent=a25223787@gmail.com],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goldenRecordItemContent=中國信託],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goldenRecordItemContent=1993-11-14],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[custId=5553029, custType=P, certTypeCode=00, partyKind=P, oldRestart=false, customerTag=null, idChangeState=null, creditCardKey=null, circiKey=null, birthDay=Sun Nov 14 00:00:00 GMT+08:00 1993]；ServiceInterchange:ServiceInterchange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Exception : "]}</t>
  </si>
  <si>
    <t>1635818471944084-2916602-32-02</t>
    <phoneticPr fontId="1" type="noConversion"/>
  </si>
  <si>
    <t>1635803750566933-2878186-33-02</t>
  </si>
  <si>
    <t>1635803750596308-2878186-82-02</t>
  </si>
  <si>
    <t>TS0116_00_20211102020110_77412</t>
  </si>
  <si>
    <t>{"requestModel":{"header":{"msgNo":"TS0116_00_20211102020110_77412","txnCode":"digiAccOpening","txnTime":"2021-11-01 21:55:50","senderCode":"TS0116_00","receiverCode":"UP0090_00","operatorCode":"TS0116_00","unitCode":"0174"},"requestBody":{"funcId":"01","criteria":{"circiKey":"P222439957","propertyTypeCode":"0","partyCertNo":"P222439957","partyCertDate":"1979-07-01"},"dataSet":[{"creationDptCode":"0174","serveCompanyCertNo":null,"partyEnglishName":"CHIKAILUN","jobTitle":"一般及其他職務","grownUpGuardianshipCode":"0","performanceDptCode":"0174","residenceAddrAdminArea":"水林鄉","contactTel":"0921854032","industryPropsTypeCode":"02","nationalityCode":"0","companyTelExtension":"808","contactAddr":"三民路二段１８１巷２號４樓","customerKycTypeCode":[],"customerBirthday":"1979-07-01","incomeTaxTypeCode":"1","industryTypeCode":"02","email":"KAREN71969@YAHOO.COM","selfBankSpecialServiceFlag":"00000","regCountryCode":"TW","dgbasIndustryCode":"061700","circiKey":"P222439957","txnPhone":"0921854032","residenceAddrLocality":"雲林縣","companyTel":"0227996558","refuseLoanReasonCode":"0","contactAddrPostalCode":"220","contactAddrCountryCode":"TW","propertyTypeCode":"0","contactAddrAdminArea":"板橋區","customerName":"紀凱倫","residenceTel":"0921854032","genderCode":"F","personCertNo":"P222439957","contactAddrLocality":"新北市","serveCompanyName":"台灣艾富克股份有限公司","ncbIndustryCode":"060000","contactPhone":"0921854032","residenceAddrCountryCode":"TW","residenceAddr":"水南村１９鄰新興南路２８號","residenceAddrPostalCode":"652"}]}},"resultCode":"UP0090_00_E301","resultDescription":"服務執行期錯誤","resultBody":null,"errorMessages":["顧客識別寫入CI發生錯誤。ChangeRequest:ChangeRequest [serviceInterchange=ServiceInterchange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funcId=01, custName=紀凱倫, companyEstablishDate=null, circiKey=P222439957, creditCardKey=null, certNo=P222439957, certDate=Sun Jul 01 00:00:00 GMT+08:00 1979,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goldenRecordItemContent=0174],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goldenRecordItemContent=紀凱倫],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goldenRecordItemContent=0174],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goldenRecordItemContent=0921854032],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goldenRecordItemContent=CHIKAILUN],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goldenRecordItemContent=0921854032],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goldenRecordItemContent=808],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goldenRecordItemContent=0227996558],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goldenRecordItemContent=三民路二段１８１巷２號４樓],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goldenRecordItemContent=板橋區],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goldenRecordItemContent=0921854032],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goldenRecordItemContent=0921854032],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goldenRecordItemContent=KAREN71969@YAHOO.COM],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goldenRecordItemContent=雲林縣],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goldenRecordItemContent=水南村１９鄰新興南路２８號],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goldenRecordItemContent=652],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goldenRecordItemContent=水林鄉],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goldenRecordItemContent=台灣艾富克股份有限公司],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goldenRecordItemContent=1979-07-01],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[custId=9685106, custType=P, certTypeCode=00, partyKind=P, oldRestart=false, customerTag=null, idChangeState=null, creditCardKey=null, circiKey=null, birthDay=Sun Jul 01 00:00:00 GMT+08:00 1979]；ServiceInterchange:ServiceInterchange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Exception : "]}</t>
  </si>
  <si>
    <t>1635818207039206-2908007-86-01</t>
    <phoneticPr fontId="1" type="noConversion"/>
  </si>
  <si>
    <t>1635802914733926-2868945-63-01</t>
  </si>
  <si>
    <t>1635802914765879-2868945-12-01</t>
  </si>
  <si>
    <t>TS0116_00_20211102015646_33812</t>
  </si>
  <si>
    <t>{"requestModel":{"header":{"msgNo":"TS0116_00_20211102015646_33812","txnCode":"digiAccOpening","txnTime":"2021-11-01 21:41:54","senderCode":"TS0116_00","receiverCode":"UP0090_00","operatorCode":"TS0116_00","unitCode":"0336"},"requestBody":{"funcId":"01","criteria":{"circiKey":"N225948256","propertyTypeCode":"0","partyCertNo":"N225948256","partyCertDate":"1998-02-01"},"dataSet":[{"creationDptCode":"0336","serveCompanyCertNo":null,"partyEnglishName":"HSIAO,TING YUN","jobTitle":"一般及其他職務","grownUpGuardianshipCode":"0","performanceDptCode":"0336","residenceAddrAdminArea":"田尾鄉","contactTel":"0925090817","industryPropsTypeCode":"02","nationalityCode":"0","companyTelExtension":"111","contactAddr":"沙田路一段９２５號","customerKycTypeCode":[],"customerBirthday":"1998-02-01","incomeTaxTypeCode":"1","industryTypeCode":"07","email":"betty8220378@gmail.com","selfBankSpecialServiceFlag":"00000","regCountryCode":"TW","dgbasIndustryCode":"061700","circiKey":"N225948256","txnPhone":"0925090817","residenceAddrLocality":"彰化縣","companyTel":"0426933685","refuseLoanReasonCode":"0","contactAddrPostalCode":"432","contactAddrCountryCode":"TW","propertyTypeCode":"0","contactAddrAdminArea":"大肚區","customerName":"蕭婷雲","residenceTel":"0925090817","genderCode":"F","personCertNo":"N225948256","contactAddrLocality":"臺中市","serveCompanyName":"宥興企業有限公司","ncbIndustryCode":"060000","contactPhone":"0925090817","residenceAddrCountryCode":"TW","residenceAddr":"陸豐村５鄰漢光巷６４號","residenceAddrPostalCode":"522"}]}},"resultCode":"UP0090_00_E301","resultDescription":"服務執行期錯誤","resultBody":null,"errorMessages":["顧客識別寫入CI發生錯誤。ChangeRequest:ChangeRequest [serviceInterchange=ServiceInterchange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funcId=01, custName=蕭婷雲, companyEstablishDate=null, circiKey=N225948256, creditCardKey=null, certNo=N225948256, certDate=Sun Feb 01 00:00:00 GMT+08:00 1998,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goldenRecordItemContent=0925090817],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goldenRecordItemContent=蕭婷雲],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goldenRecordItemContent=0925090817],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goldenRecordItemContent=HSIAO,TING YUN],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goldenRecordItemContent=0925090817],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goldenRecordItemContent=111],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goldenRecordItemContent=0426933685],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goldenRecordItemContent=沙田路一段９２５號],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goldenRecordItemContent=0925090817],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goldenRecordItemContent=betty8220378@gmail.com],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goldenRecordItemContent=陸豐村５鄰漢光巷６４號],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goldenRecordItemContent=田尾鄉],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goldenRecordItemContent=宥興企業有限公司],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goldenRecordItemContent=1998-02-01],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[custId=10066171, custType=P, certTypeCode=00, partyKind=P, oldRestart=false, customerTag=null, idChangeState=null, creditCardKey=null, circiKey=null, birthDay=Sun Feb 01 00:00:00 GMT+08:00 1998]；ServiceInterchange:ServiceInterchange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Exception : "]}</t>
  </si>
  <si>
    <t>1635818142392560-2907655-30-01</t>
    <phoneticPr fontId="1" type="noConversion"/>
  </si>
  <si>
    <t>1635802704619397-2868730-28-01</t>
  </si>
  <si>
    <t>1635802704643151-2868730-76-01</t>
  </si>
  <si>
    <t>TS0116_00_20211102015541_94032</t>
  </si>
  <si>
    <t>{"requestModel":{"header":{"msgNo":"TS0116_00_20211102015541_94032","txnCode":"digiAccOpening","txnTime":"2021-11-01 21:38:24","senderCode":"TS0116_00","receiverCode":"UP0090_00","operatorCode":"TS0116_00","unitCode":"0473"},"requestBody":{"funcId":"01","criteria":{"circiKey":"H225227123","propertyTypeCode":"0","partyCertNo":"H225227123","partyCertDate":"1999-04-14"},"dataSet":[{"serveCompanyCertNo":null,"creationDptCode":"0473","jobTitle":"一般及其他職務","partyEnglishName":"LIU,HSUAN LING","grownUpGuardianshipCode":"0","performanceDptCode":"0473","residenceAddrAdminArea":"龍潭區","contactTel":"0909190696","industryPropsTypeCode":"02","nationalityCode":"0","companyTelExtension":null,"contactAddr":"環西路二段３００巷６－２號７樓","customerKycTypeCode":[],"customerBirthday":"1999-04-14","incomeTaxTypeCode":"1","industryTypeCode":"12","email":"shang7230@gmail.com","selfBankSpecialServiceFlag":"00000","regCountryCode":"TW","dgbasIndustryCode":"061700","circiKey":"H225227123","txnPhone":"0909190696","residenceAddrLocality":"桃園市","companyTel":"0233229637","refuseLoanReasonCode":"0","contactAddrPostalCode":"320","contactAddrCountryCode":"TW","propertyTypeCode":"0","contactAddrAdminArea":"中壢區","customerName":"劉軒伶","residenceTel":"0909190696","genderCode":"F","personCertNo":"H225227123","serveCompanyName":"川岳國際室內裝修設計有限公司","contactAddrLocality":"桃園市","ncbIndustryCode":"060000","contactPhone":"0909190696","residenceAddrCountryCode":"TW","residenceAddr":"北興村１５鄰中興路２２８巷２９號","residenceAddrPostalCode":"325"}]}},"resultCode":"UP0090_00_E301","resultDescription":"服務執行期錯誤","resultBody":null,"errorMessages":["顧客識別寫入CI發生錯誤。ChangeRequest:ChangeRequest [serviceInterchange=ServiceInterchange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funcId=01, custName=劉軒伶, companyEstablishDate=null, circiKey=H225227123, creditCardKey=null, certNo=H225227123, certDate=Wed Apr 14 00:00:00 GMT+08:00 1999,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goldenRecordItemContent=北興村１５鄰中興路２２８巷２９號],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goldenRecordItemContent=龍潭區],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goldenRecordItemContent=川岳國際室內裝修設計有限公司],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goldenRecordItemContent=0473],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goldenRecordItemContent=劉軒伶],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goldenRecordItemContent=0473],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goldenRecordItemContent=0909190696],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goldenRecordItemContent=LIU,HSUAN LING],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goldenRecordItemContent=0909190696],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goldenRecordItemContent=0233229637],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goldenRecordItemContent=環西路二段３００巷６－２號７樓],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goldenRecordItemContent=0909190696],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goldenRecordItemContent=0909190696],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goldenRecordItemContent=shang7230@gmail.com],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goldenRecordItemContent=1999-04-14]], custType=P, relationRemoval=null]；CustCipIdentity:CustCipIdentity [custId=9080010, custType=P, certTypeCode=00, partyKind=P, oldRestart=false, customerTag=null, idChangeState=null, creditCardKey=null, circiKey=null, birthDay=Wed Apr 14 00:00:00 GMT+08:00 1999]；ServiceInterchange:ServiceInterchange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Exception : "]}</t>
  </si>
  <si>
    <t>1635818087870058-2907614-19-01</t>
    <phoneticPr fontId="1" type="noConversion"/>
  </si>
  <si>
    <t>1635802479116213-2868541-63-01</t>
  </si>
  <si>
    <t>1635802479158172-2868541-14-01</t>
  </si>
  <si>
    <t>TS0116_00_20211102015445_46622</t>
  </si>
  <si>
    <t>{"requestModel":{"header":{"msgNo":"TS0116_00_20211102015445_46622","txnCode":"digiAccOpening","txnTime":"2021-11-01 21:34:39","senderCode":"TS0116_00","receiverCode":"UP0090_00","operatorCode":"TS0116_00","unitCode":"1045"},"requestBody":{"funcId":"01","criteria":{"circiKey":"F228283210","propertyTypeCode":"0","partyCertNo":"F228283210","partyCertDate":"1994-10-05"},"dataSet":[{"creationDptCode":"1045","serveCompanyCertNo":null,"partyEnglishName":"LI,PEI-YU","jobTitle":"政府公職人員","grownUpGuardianshipCode":"0","performanceDptCode":"1045","residenceAddrAdminArea":"八德區","contactTel":"0226727243","industryPropsTypeCode":"02","nationalityCode":"0","companyTelExtension":null,"contactAddr":"安坑里１５鄰安坑１３－７號","customerKycTypeCode":["C6"],"customerBirthday":"1994-10-05","incomeTaxTypeCode":"1","industryTypeCode":"11","email":"T15677@YAHOO.COM.TW","selfBankSpecialServiceFlag":"00000","regCountryCode":"TW","dgbasIndustryCode":"061700","circiKey":"F228283210","txnPhone":"0932160489","residenceAddrLocality":"桃園市","companyTel":"033188515","refuseLoanReasonCode":"0","contactAddrPostalCode":"237","contactAddrCountryCode":"TW","propertyTypeCode":"0","contactAddrAdminArea":"三峽區","customerName":"李佩諭","residenceTel":"0226727243","genderCode":"F","personCertNo":"F228283210","contactAddrLocality":"新北市","serveCompanyName":"法務部矯正署","ncbIndustryCode":"060000","contactPhone":"0932160489","residenceAddrCountryCode":"TW","residenceAddr":"興仁里３３鄰中正路１５０號六樓","residenceAddrPostalCode":"334"}]}},"resultCode":"UP0090_00_E301","resultDescription":"服務執行期錯誤","resultBody":null,"errorMessages":["顧客識別寫入CI發生錯誤。ChangeRequest:ChangeRequest [serviceInterchange=ServiceInterchange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funcId=01, custName=李佩諭, companyEstablishDate=null, circiKey=F228283210, creditCardKey=null, certNo=F228283210, certDate=Wed Oct 05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goldenRecordItemContent=1045],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goldenRecordItemContent=李佩諭],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goldenRecordItemContent=1045],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goldenRecordItemContent=0932160489],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goldenRecordItemContent=LI,PEI-YU],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goldenRecordItemContent=0226727243],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goldenRecordItemContent=033188515],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goldenRecordItemContent=安坑里１５鄰安坑１３－７號],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goldenRecordItemContent=三峽區],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goldenRecordItemContent=0226727243],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goldenRecordItemContent=0932160489],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goldenRecordItemContent=T15677@YAHOO.COM.TW],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goldenRecordItemContent=興仁里３３鄰中正路１５０號六樓],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goldenRecordItemContent=八德區],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goldenRecordItemContent=法務部矯正署],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goldenRecordItemContent=1994-10-05],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[custId=3540818, custType=P, certTypeCode=00, partyKind=P, oldRestart=false, customerTag=null, idChangeState=null, creditCardKey=null, circiKey=null, birthDay=Wed Oct 05 00:00:00 GMT+08:00 1994]；ServiceInterchange:ServiceInterchange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Exception : "]}</t>
  </si>
  <si>
    <t>1635800964858011-2866802-46-01</t>
  </si>
  <si>
    <t>1635800964887529-2866802-94-01</t>
  </si>
  <si>
    <t>1635817637072917-2906715-81-01</t>
    <phoneticPr fontId="1" type="noConversion"/>
  </si>
  <si>
    <t>TS0116_00_20211102014715_13032</t>
  </si>
  <si>
    <t>{"requestModel":{"header":{"msgNo":"TS0116_00_20211102014715_13032","txnCode":"digiAccOpening","txnTime":"2021-11-01 21:09:24","senderCode":"TS0116_00","receiverCode":"UP0090_00","operatorCode":"TS0116_00","unitCode":"0381"},"requestBody":{"funcId":"01","criteria":{"circiKey":"E224731821","propertyTypeCode":"0","partyCertNo":"E224731821","partyCertDate":"1996-08-01"},"dataSet":[{"serveCompanyCertNo":null,"creationDptCode":"0381","jobTitle":"無","partyEnglishName":"SUN YUAN CHING","grownUpGuardianshipCode":"0","performanceDptCode":"0381","residenceAddrAdminArea":"后里區","contactTel":"0908903082","industryPropsTypeCode":"02","nationalityCode":"0","contactAddr":"墩南里１鄰南村路４５６巷７號","customerKycTypeCode":[],"customerBirthday":"1996-08-01","incomeTaxTypeCode":"1","industryTypeCode":"15","email":"jkh850801@gmail.com","selfBankSpecialServiceFlag":"00000","regCountryCode":"TW","dgbasIndustryCode":"061700","circiKey":"E224731821","txnPhone":"0908903082","residenceAddrLocality":"臺中市","refuseLoanReasonCode":"0","contactAddrPostalCode":"421","contactAddrCountryCode":"TW","propertyTypeCode":"0","contactAddrAdminArea":"后里區","customerName":"孫爰晴","residenceTel":"0908903082","genderCode":"F","personCertNo":"E224731821","serveCompanyName":"無","contactAddrLocality":"臺中市","contactPhone":"0908903082","ncbIndustryCode":"060000","residenceAddrCountryCode":"TW","residenceAddr":"墩南里１鄰南村路４５６巷７號","residenceAddrPostalCode":"421"}]}},"resultCode":"UP0090_00_E301","resultDescription":"服務執行期錯誤","resultBody":null,"errorMessages":["顧客識別寫入CI發生錯誤。ChangeRequest:ChangeRequest [serviceInterchange=ServiceInterchange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funcId=01, custName=孫爰晴, companyEstablishDate=null, circiKey=E224731821, creditCardKey=null, certNo=E224731821, certDate=Thu Aug 01 00:00:00 GMT+08:00 1996,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goldenRecordItemContent=0908903082],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goldenRecordItemContent=jkh850801@gmail.com],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goldenRecordItemContent=0908903082],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goldenRecordItemContent=0381],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goldenRecordItemContent=孫爰晴],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goldenRecordItemContent=0908903082],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goldenRecordItemContent=SUN YUAN CHING],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goldenRecordItemContent=0908903082],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goldenRecordItemContent=1996-08-01]], custType=P, relationRemoval=null]；CustCipIdentity:CustCipIdentity [custId=9453884, custType=P, certTypeCode=00, partyKind=P, oldRestart=false, customerTag=null, idChangeState=null, creditCardKey=null, circiKey=null, birthDay=Thu Aug 01 00:00:00 GMT+08:00 1996]；ServiceInterchange:ServiceInterchange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Exception : "]}</t>
  </si>
  <si>
    <t>1635817594499174-2914900-82-02</t>
    <phoneticPr fontId="1" type="noConversion"/>
  </si>
  <si>
    <t>1635800833942120-2866664-91-01</t>
  </si>
  <si>
    <t>1635800833965870-2866664-41-01</t>
  </si>
  <si>
    <t>TS0116_00_20211102014632_29012</t>
  </si>
  <si>
    <t>{"requestModel":{"header":{"msgNo":"TS0116_00_20211102014632_29012","txnCode":"digiAccOpening","txnTime":"2021-11-01 21:07:13","senderCode":"TS0116_00","receiverCode":"UP0090_00","operatorCode":"TS0116_00","unitCode":"0901"},"requestBody":{"funcId":"01","criteria":{"circiKey":"F129438726","propertyTypeCode":"0","partyCertNo":"F129438726","partyCertDate":"1997-04-11"},"dataSet":[{"serveCompanyCertNo":null,"creationDptCode":"0901","jobTitle":"一般及其他職務","partyEnglishName":"CHANG,CHUN-HSIANG","grownUpGuardianshipCode":"0","performanceDptCode":"0901","residenceAddrAdminArea":"新店區","contactTel":"0987784478","industryPropsTypeCode":"02","nationalityCode":"0","companyTelExtension":null,"contactAddr":"中央里６鄰中央四街５之１號四樓","customerKycTypeCode":[],"customerBirthday":"1997-04-11","incomeTaxTypeCode":"1","industryTypeCode":"08","email":"calvin95123@gmail.com","selfBankSpecialServiceFlag":"00000","regCountryCode":"TW","dgbasIndustryCode":"061700","circiKey":"F129438726","txnPhone":"0987784478","residenceAddrLocality":"新北市","companyTel":"0225551600","refuseLoanReasonCode":"0","contactAddrPostalCode":"231","contactAddrCountryCode":"TW","propertyTypeCode":"0","contactAddrAdminArea":"新店區","customerName":"張竣翔","residenceTel":"0987784478","genderCode":"M","personCertNo":"F129438726","serveCompanyName":"公勝保險經紀人股份有限公司","contactAddrLocality":"新北市","ncbIndustryCode":"060000","contactPhone":"0987784478","residenceAddrCountryCode":"TW","residenceAddr":"中央里６鄰中央四街５之１號四樓","residenceAddrPostalCode":"231"}]}},"resultCode":"UP0090_00_E301","resultDescription":"服務執行期錯誤","resultBody":null,"errorMessages":["顧客識別寫入CI發生錯誤。ChangeRequest:ChangeRequest [serviceInterchange=ServiceInterchange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funcId=01, custName=張竣翔, companyEstablishDate=null, circiKey=F129438726, creditCardKey=null, certNo=F129438726, certDate=Fri Apr 11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goldenRecordItemContent=公勝保險經紀人股份有限公司],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goldenRecordItemContent=0901],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goldenRecordItemContent=張竣翔],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goldenRecordItemContent=0901],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goldenRecordItemContent=0987784478],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goldenRecordItemContent=CHANG,CHUN-HSIANG],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goldenRecordItemContent=0987784478],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goldenRecordItemContent=0225551600],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goldenRecordItemContent=0987784478],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goldenRecordItemContent=0987784478],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goldenRecordItemContent=calvin95123@gmail.com],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goldenRecordItemContent=1997-04-11]], custType=P, relationRemoval=null]；CustCipIdentity:CustCipIdentity [custId=3028614, custType=P, certTypeCode=00, partyKind=P, oldRestart=false, customerTag=CustomerTag [custId=3028614, custType=P, removalPredicate=null, removalSystemCode=null, refToCustId=0, refDatetime=null, disabledDatetime=null, identityCertTypeCode=00, disabled=null, disabledSystemCode=null], idChangeState=null, creditCardKey=F129438726, circiKey=null, birthDay=1997-04-11 00:00:00.0]；ServiceInterchange:ServiceInterchange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Exception : "]}</t>
  </si>
  <si>
    <t>1635817563479933-2914969-59-02</t>
    <phoneticPr fontId="1" type="noConversion"/>
  </si>
  <si>
    <t>1635800727610772-2866615-29-01</t>
  </si>
  <si>
    <t>1635800727643324-2866615-84-01</t>
  </si>
  <si>
    <t>TS0116_00_20211102014601_97161</t>
  </si>
  <si>
    <t>{"requestModel":{"header":{"msgNo":"TS0116_00_20211102014601_97161","txnCode":"digiAccOpening","txnTime":"2021-11-01 21:05:27","senderCode":"TS0116_00","receiverCode":"UP0090_00","operatorCode":"TS0116_00","unitCode":"0990"},"requestBody":{"funcId":"01","criteria":{"circiKey":"M122458770","propertyTypeCode":"0","partyCertNo":"M122458770","partyCertDate":"1990-07-24"},"dataSet":[{"creationDptCode":"0990","serveCompanyCertNo":null,"partyEnglishName":"CHEN PO CHUN","jobTitle":"高階管理人員","grownUpGuardianshipCode":"0","performanceDptCode":"0990","residenceAddrAdminArea":"名間鄉","contactTel":"0937798268","industryPropsTypeCode":"02","nationalityCode":"0","companyTelExtension":null,"contactAddr":"田仔村９鄰田仔巷４號","customerKycTypeCode":[],"customerBirthday":"1990-07-24","incomeTaxTypeCode":"1","industryTypeCode":"15","email":"s1001850@gmail.com","selfBankSpecialServiceFlag":"00000","regCountryCode":"TW","dgbasIndustryCode":"061700","circiKey":"M122458770","txnPhone":"0937798268","residenceAddrLocality":"南投縣","companyTel":"0492270569","refuseLoanReasonCode":"0","contactAddrPostalCode":"551","contactAddrCountryCode":"TW","propertyTypeCode":"0","contactAddrAdminArea":"名間鄉","customerName":"陳柏均","residenceTel":"0937798268","genderCode":"M","personCertNo":"M122458770","contactAddrLocality":"南投縣","serveCompanyName":"調前鳳梨果園","ncbIndustryCode":"060000","contactPhone":"0937798268","residenceAddrCountryCode":"TW","residenceAddr":"田仔村９鄰田仔巷４號","residenceAddrPostalCode":"551"}]}},"resultCode":"UP0090_00_E301","resultDescription":"服務執行期錯誤","resultBody":null,"errorMessages":["顧客識別寫入CI發生錯誤。ChangeRequest:ChangeRequest [serviceInterchange=ServiceInterchange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funcId=01, custName=陳柏均, companyEstablishDate=null, circiKey=M122458770, creditCardKey=null, certNo=M122458770, certDate=Tue Jul 24 00:00:00 GMT+08:00 1990,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goldenRecordItemContent=0990],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goldenRecordItemContent=陳柏均],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goldenRecordItemContent=0990],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goldenRecordItemContent=0937798268],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PO CHUN],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goldenRecordItemContent=0937798268],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goldenRecordItemContent=0492270569],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goldenRecordItemContent=0937798268],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goldenRecordItemContent=0937798268],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goldenRecordItemContent=s1001850@gmail.com],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goldenRecordItemContent=調前鳳梨果園],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goldenRecordItemContent=高階管理人員],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goldenRecordItemContent=1990-07-24],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[custId=5549112, custType=P, certTypeCode=00, partyKind=P, oldRestart=false, customerTag=CustomerTag [custId=5549112, custType=P, removalPredicate=null, removalSystemCode=null, refToCustId=0, refDatetime=null, disabledDatetime=null, identityCertTypeCode=00, disabled=null, disabledSystemCode=null], idChangeState=null, creditCardKey=M122458770, circiKey=null, birthDay=1990-07-24 00:00:00.0]；ServiceInterchange:ServiceInterchange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Exception : "]}</t>
  </si>
  <si>
    <t>1635817505613170-2914900-40-02</t>
    <phoneticPr fontId="1" type="noConversion"/>
  </si>
  <si>
    <t>1635800529944485-2866557-06-01</t>
  </si>
  <si>
    <t>1635800529973949-2866557-56-01</t>
  </si>
  <si>
    <t>TS0116_00_20211102014504_12412</t>
  </si>
  <si>
    <t>{"requestModel":{"header":{"msgNo":"TS0116_00_20211102014504_12412","txnCode":"digiAccOpening","txnTime":"2021-11-01 21:02:09","senderCode":"TS0116_00","receiverCode":"UP0090_00","operatorCode":"TS0116_00","unitCode":"0509"},"requestBody":{"funcId":"01","criteria":{"circiKey":"I200336993","propertyTypeCode":"0","partyCertNo":"I200336993","partyCertDate":"1993-10-08"},"dataSet":[{"creationDptCode":"0509","serveCompanyCertNo":null,"partyEnglishName":"HSU YA CHU","jobTitle":"政府公職人員","grownUpGuardianshipCode":"0","performanceDptCode":"0509","residenceAddrAdminArea":"中埔鄉","contactTel":"0910595189","industryPropsTypeCode":"02","nationalityCode":"0","companyTelExtension":"1691","contactAddr":"和睦村１０鄰中華路８４６巷８號","customerKycTypeCode":[],"customerBirthday":"1993-10-08","incomeTaxTypeCode":"1","industryTypeCode":"11","email":"wuwo1008@gmail.com","selfBankSpecialServiceFlag":"00000","regCountryCode":"TW","dgbasIndustryCode":"061700","circiKey":"I200336993","txnPhone":"0910595189","residenceAddrLocality":"嘉義縣","companyTel":"27208889","refuseLoanReasonCode":"0","contactAddrPostalCode":"606","contactAddrCountryCode":"TW","propertyTypeCode":"0","contactAddrAdminArea":"中埔鄉","customerName":"許雅筑","residenceTel":"0910595189","genderCode":"F","personCertNo":"I200336993","contactAddrLocality":"嘉義縣","serveCompanyName":"台北市政府","ncbIndustryCode":"060000","contactPhone":"0910595189","residenceAddrCountryCode":"TW","residenceAddr":"和睦村１０鄰中華路８４６巷８號","residenceAddrPostalCode":"606"}]}},"resultCode":"UP0090_00_E301","resultDescription":"服務執行期錯誤","resultBody":null,"errorMessages":["顧客識別寫入CI發生錯誤。ChangeRequest:ChangeRequest [serviceInterchange=ServiceInterchange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funcId=01, custName=許雅筑, companyEstablishDate=null, circiKey=I200336993, creditCardKey=null, certNo=I200336993, certDate=Fri Oct 08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goldenRecordItemContent=0509],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goldenRecordItemContent=許雅筑],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goldenRecordItemContent=0509],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goldenRecordItemContent=0910595189],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goldenRecordItemContent=HSU YA CHU],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goldenRecordItemContent=0910595189],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goldenRecordItemContent=1691],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goldenRecordItemContent=27208889],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goldenRecordItemContent=0910595189],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goldenRecordItemContent=0910595189],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goldenRecordItemContent=wuwo1008@gmail.com],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goldenRecordItemContent=台北市政府],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goldenRecordItemContent=1993-10-08],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[custId=4405666, custType=P, certTypeCode=00, partyKind=P, oldRestart=false, customerTag=null, idChangeState=null, creditCardKey=null, circiKey=null, birthDay=Fri Oct 08 00:00:00 GMT+08:00 1993]；ServiceInterchange:ServiceInterchange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Exception : "]}</t>
  </si>
  <si>
    <t>1635798807278812-2862463-07-02</t>
  </si>
  <si>
    <t>1635798807304268-2862463-56-02</t>
  </si>
  <si>
    <t>1635816901910656-2905848-52-01</t>
    <phoneticPr fontId="1" type="noConversion"/>
  </si>
  <si>
    <t>TS0116_00_20211102013500_63722</t>
  </si>
  <si>
    <t>{"requestModel":{"header":{"msgNo":"TS0116_00_20211102013500_63722","txnCode":"digiAccOpening","txnTime":"2021-11-01 20:33:27","senderCode":"TS0116_00","receiverCode":"UP0090_00","operatorCode":"TS0116_00","unitCode":"1344"},"requestBody":{"funcId":"01","criteria":{"circiKey":"J122539698","propertyTypeCode":"0","partyCertNo":"J122539698","partyCertDate":"1989-02-15"},"dataSet":[{"serveCompanyCertNo":null,"creationDptCode":"1344","jobTitle":"專業技術人員","partyEnglishName":"LIN YEN-CHENG","grownUpGuardianshipCode":"0","performanceDptCode":"1344","residenceAddrAdminArea":"竹東鎮","contactTel":"035958171","industryPropsTypeCode":"02","nationalityCode":"0","companyTelExtension":"1563","contactAddr":"仁愛里２３鄰仁愛路４１９巷４弄５號","customerKycTypeCode":[],"customerBirthday":"1989-02-15","incomeTaxTypeCode":"1","industryTypeCode":"12","email":"BREAKING0215@HOTMAIL.COM","selfBankSpecialServiceFlag":"00000","regCountryCode":"TW","dgbasIndustryCode":"061700","circiKey":"J122539698","txnPhone":"0928222823","residenceAddrLocality":"新竹縣","companyTel":"0225639999","refuseLoanReasonCode":"0","contactAddrPostalCode":"310","contactAddrCountryCode":"TW","propertyTypeCode":"0","contactAddrAdminArea":"竹東鎮","customerName":"林彥成","residenceTel":"035958171","genderCode":"M","personCertNo":"J122539698","contactAddrLocality":"新竹縣","serveCompanyName":"三竹資訊","ncbIndustryCode":"060000","contactPhone":"0928222823","residenceAddrCountryCode":"TW","residenceAddr":"仁愛里２３鄰仁愛路４１９巷４弄５號","residenceAddrPostalCode":"310"}]}},"resultCode":"UP0090_00_E301","resultDescription":"服務執行期錯誤","resultBody":null,"errorMessages":["顧客識別寫入CI發生錯誤。ChangeRequest:ChangeRequest [serviceInterchange=ServiceInterchange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funcId=01, custName=林彥成, companyEstablishDate=null, circiKey=J122539698, creditCardKey=null, certNo=J122539698, certDate=Wed Feb 15 00:00:00 GMT+08:00 1989,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goldenRecordItemContent=035958171],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goldenRecordItemContent=0928222823],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goldenRecordItemContent=BREAKING0215@HOTMAIL.COM],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goldenRecordItemContent=三竹資訊],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goldenRecordItemContent=專業技術人員],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goldenRecordItemContent=1344],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goldenRecordItemContent=林彥成],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goldenRecordItemContent=1344],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goldenRecordItemContent=0928222823],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goldenRecordItemContent=LIN YEN-CHENG],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goldenRecordItemContent=035958171],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goldenRecordItemContent=1563],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goldenRecordItemContent=0225639999],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goldenRecordItemContent=1989-02-15],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[custId=9592967, custType=P, certTypeCode=00, partyKind=P, oldRestart=false, customerTag=CustomerTag [custId=9592967, custType=P, removalPredicate=null, removalSystemCode=null, refToCustId=0, refDatetime=null, disabledDatetime=null, identityCertTypeCode=00, disabled=null, disabledSystemCode=null], idChangeState=null, creditCardKey=J122539698, circiKey=null, birthDay=1989-02-15 00:00:00.0]；ServiceInterchange:ServiceInterchange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Exception : "]}</t>
  </si>
  <si>
    <t>1635797883627955-2863645-42-01</t>
  </si>
  <si>
    <t>1635797883653914-2863645-96-01</t>
  </si>
  <si>
    <t>1635816606259115-2905455-11-01</t>
    <phoneticPr fontId="1" type="noConversion"/>
  </si>
  <si>
    <t>TS0116_00_20211102013003_66612</t>
  </si>
  <si>
    <t>{"requestModel":{"header":{"msgNo":"TS0116_00_20211102013003_66612","txnCode":"digiAccOpening","txnTime":"2021-11-01 20:18:03","senderCode":"TS0116_00","receiverCode":"UP0090_00","operatorCode":"TS0116_00","unitCode":"0864"},"requestBody":{"funcId":"01","criteria":{"circiKey":"A129099715","propertyTypeCode":"0","partyCertNo":"A129099715","partyCertDate":"1991-06-28"},"dataSet":[{"creationDptCode":"0864","serveCompanyCertNo":null,"partyEnglishName":"SZU HUNG CHANG","jobTitle":"無","grownUpGuardianshipCode":"0","performanceDptCode":"0864","residenceAddrAdminArea":"北投區","contactTel":"0228919205","industryPropsTypeCode":"02","nationalityCode":"0","contactAddr":"中央北路四段５７１號","customerKycTypeCode":[],"customerBirthday":"1991-06-28","incomeTaxTypeCode":"1","industryTypeCode":"02","email":"johnny_shih@msn.com","selfBankSpecialServiceFlag":"00000","regCountryCode":"TW","dgbasIndustryCode":"061700","circiKey":"A129099715","txnPhone":"0988083628","residenceAddrLocality":"臺北市","refuseLoanReasonCode":"0","contactAddrPostalCode":"112","contactAddrCountryCode":"TW","propertyTypeCode":"0","contactAddrAdminArea":"北投區","customerName":"施宏璋","residenceTel":"0228919205","genderCode":"M","personCertNo":"A129099715","contactAddrLocality":"臺北市","serveCompanyName":"無","ncbIndustryCode":"060000","contactPhone":"0988083628","residenceAddrCountryCode":"TW","residenceAddr":"中央北路四段５７１號","residenceAddrPostalCode":"112"}]}},"resultCode":"UP0090_00_E301","resultDescription":"服務執行期錯誤","resultBody":null,"errorMessages":["顧客識別寫入CI發生錯誤。ChangeRequest:ChangeRequest [serviceInterchange=ServiceInterchange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funcId=01, custName=施宏璋, companyEstablishDate=null, circiKey=A129099715, creditCardKey=null, certNo=A129099715, certDate=Fri Jun 28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goldenRecordItemContent=0864],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goldenRecordItemContent=施宏璋],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goldenRecordItemContent=0864],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goldenRecordItemContent=0988083628],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goldenRecordItemContent=SZU HUNG CHANG],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goldenRecordItemContent=0228919205],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goldenRecordItemContent=0228919205],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goldenRecordItemContent=0988083628],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goldenRecordItemContent=johnny_shih@msn.com],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goldenRecordItemContent=1991-06-28],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[custId=9069347, custType=P, certTypeCode=00, partyKind=P, oldRestart=false, customerTag=null, idChangeState=null, creditCardKey=null, circiKey=null, birthDay=null]；ServiceInterchange:ServiceInterchange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Exception : "]}</t>
  </si>
  <si>
    <t>1635816464410249-2912981-93-02</t>
    <phoneticPr fontId="1" type="noConversion"/>
  </si>
  <si>
    <t>1635797469036451-2860769-61-02</t>
  </si>
  <si>
    <t>1635797469066954-2860769-15-02</t>
  </si>
  <si>
    <t>TS0116_00_20211102012742_45412</t>
  </si>
  <si>
    <t>{"requestModel":{"header":{"msgNo":"TS0116_00_20211102012742_45412","txnCode":"digiAccOpening","txnTime":"2021-11-01 20:11:09","senderCode":"TS0116_00","receiverCode":"UP0090_00","operatorCode":"TS0116_00","unitCode":"1252"},"requestBody":{"funcId":"01","criteria":{"circiKey":"R221489311","propertyTypeCode":"0","partyCertNo":"R221489311","partyCertDate":"1971-05-24"},"dataSet":[{"creationDptCode":"1252","serveCompanyCertNo":null,"partyEnglishName":"CHIU HSIU YA","jobTitle":"一般及其他職務","grownUpGuardianshipCode":"0","performanceDptCode":"1252","residenceAddrAdminArea":"大肚區","contactTel":"0426918520","industryPropsTypeCode":"02","nationalityCode":"0","companyTelExtension":null,"contactAddr":"蔗廊村１鄰中蔗路３之６之７號","customerKycTypeCode":[],"customerBirthday":"1971-05-24","incomeTaxTypeCode":"1","industryTypeCode":"15","email":"mama998861@yahoo.com.tw","selfBankSpecialServiceFlag":"00000","regCountryCode":"TW","dgbasIndustryCode":"061700","circiKey":"R221489311","txnPhone":"0983438440","residenceAddrLocality":"臺中市","companyTel":"0426918520","refuseLoanReasonCode":"0","contactAddrPostalCode":"432","contactAddrCountryCode":"TW","propertyTypeCode":"0","contactAddrAdminArea":"大肚區","customerName":"邱秀雅","residenceTel":"0426918520","genderCode":"F","personCertNo":"R221489311","contactAddrLocality":"臺中市","serveCompanyName":"沒有","ncbIndustryCode":"060000","contactPhone":"0983438440","residenceAddrCountryCode":"TW","residenceAddr":"蔗廊村１鄰中蔗路３之６之７號","residenceAddrPostalCode":"432"}]}},"resultCode":"UP0090_00_E301","resultDescription":"服務執行期錯誤","resultBody":null,"errorMessages":["顧客識別寫入CI發生錯誤。ChangeRequest:ChangeRequest [serviceInterchange=ServiceInterchange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funcId=01, custName=邱秀雅, companyEstablishDate=null, circiKey=R221489311, creditCardKey=null, certNo=R221489311, certDate=Mon May 24 00:00:00 GMT+08:00 1971,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goldenRecordItemContent=1252],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goldenRecordItemContent=邱秀雅],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goldenRecordItemContent=1252],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goldenRecordItemContent=0983438440],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goldenRecordItemContent=CHIU HSIU YA],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goldenRecordItemContent=0426918520],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goldenRecordItemContent=0426918520],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goldenRecordItemContent=0426918520],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goldenRecordItemContent=0983438440],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goldenRecordItemContent=mama998861@yahoo.com.tw],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goldenRecordItemContent=沒有],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goldenRecordItemContent=1971-05-24],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[custId=7345682, custType=P, certTypeCode=00, partyKind=P, oldRestart=false, customerTag=CustomerTag [custId=7345682, custType=P, removalPredicate=null, removalSystemCode=null, refToCustId=0, refDatetime=null, disabledDatetime=null, identityCertTypeCode=00, disabled=null, disabledSystemCode=null], idChangeState=null, creditCardKey=R221489311, circiKey=null, birthDay=1971-05-24 00:00:00.0]；ServiceInterchange:ServiceInterchange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Exception : "]}</t>
  </si>
  <si>
    <t>1635816176268942-2904764-80-01</t>
    <phoneticPr fontId="1" type="noConversion"/>
  </si>
  <si>
    <t>1635796676652408-2860480-54-02</t>
  </si>
  <si>
    <t>1635796676687785-2860480-03-02</t>
  </si>
  <si>
    <t>TS0116_00_20211102012255_76132</t>
  </si>
  <si>
    <t>{"requestModel":{"header":{"msgNo":"TS0116_00_20211102012255_76132","txnCode":"digiAccOpening","txnTime":"2021-11-01 19:57:56","senderCode":"TS0116_00","receiverCode":"UP0090_00","operatorCode":"TS0116_00","unitCode":"0794"},"requestBody":{"funcId":"01","criteria":{"circiKey":"S224579215","propertyTypeCode":"0","partyCertNo":"S224579215","partyCertDate":"1994-09-16"},"dataSet":[{"creationDptCode":"0794","serveCompanyCertNo":null,"partyEnglishName":"LU SHINFANG","jobTitle":"一般及其他職務","grownUpGuardianshipCode":"0","performanceDptCode":"0794","residenceAddrAdminArea":"路竹區","contactTel":"0976430837","industryPropsTypeCode":"02","nationalityCode":"0","companyTelExtension":null,"contactAddr":"後鄉里１鄰順安路２８巷１２號","customerKycTypeCode":[],"customerBirthday":"1994-09-16","incomeTaxTypeCode":"1","industryTypeCode":"02","email":"b0233066@ems.niu.edu.tw","selfBankSpecialServiceFlag":"00000","regCountryCode":"TW","dgbasIndustryCode":"061700","circiKey":"S224579215","txnPhone":"0976430837","residenceAddrLocality":"高雄市","companyTel":"6932222","refuseLoanReasonCode":"0","contactAddrPostalCode":"821","contactAddrCountryCode":"TW","propertyTypeCode":"0","contactAddrAdminArea":"路竹區","customerName":"呂欣芳","residenceTel":"0976430837","genderCode":"F","personCertNo":"S224579215","contactAddrLocality":"高雄市","serveCompanyName":"善統工業股份有限公司","ncbIndustryCode":"060000","contactPhone":"0976430837","residenceAddrCountryCode":"TW","residenceAddr":"後鄉里１鄰順安路２８巷１２號","residenceAddrPostalCode":"821"}]}},"resultCode":"UP0090_00_E301","resultDescription":"服務執行期錯誤","resultBody":null,"errorMessages":["顧客識別寫入CI發生錯誤。ChangeRequest:ChangeRequest [serviceInterchange=ServiceInterchange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funcId=01, custName=呂欣芳, companyEstablishDate=null, circiKey=S224579215, creditCardKey=null, certNo=S224579215, certDate=Fri Sep 16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goldenRecordItemContent=0794],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goldenRecordItemContent=呂欣芳],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goldenRecordItemContent=0794],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goldenRecordItemContent=0976430837],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goldenRecordItemContent=LU SHINFANG],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goldenRecordItemContent=0976430837],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goldenRecordItemContent=6932222],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goldenRecordItemContent=0976430837],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goldenRecordItemContent=0976430837],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goldenRecordItemContent=b0233066@ems.niu.edu.tw],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goldenRecordItemContent=善統工業股份有限公司],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[custId=8002092, custType=P, certTypeCode=00, partyKind=P, oldRestart=false, customerTag=CustomerTag [custId=8002092, custType=P, removalPredicate=null, removalSystemCode=null, refToCustId=0, refDatetime=null, disabledDatetime=null, identityCertTypeCode=00, disabled=null, disabledSystemCode=null], idChangeState=null, creditCardKey=null, circiKey=null, birthDay=1994-09-16 00:00:00.0]；ServiceInterchange:ServiceInterchange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Exception : "]}</t>
  </si>
  <si>
    <t>1635796241126030-2851921-55-01</t>
  </si>
  <si>
    <t>1635796241155160-2851921-05-01</t>
  </si>
  <si>
    <t>1635816022311747-2904375-16-01</t>
    <phoneticPr fontId="1" type="noConversion"/>
  </si>
  <si>
    <t>TS0116_00_20211102012021_62361</t>
  </si>
  <si>
    <t>{"requestModel":{"header":{"msgNo":"TS0116_00_20211102012021_62361","txnCode":"digiAccOpening","txnTime":"2021-11-01 19:50:41","senderCode":"TS0116_00","receiverCode":"UP0090_00","operatorCode":"TS0116_00","unitCode":"1425"},"requestBody":{"funcId":"01","criteria":{"circiKey":"L123919324","propertyTypeCode":"0","partyCertNo":"L123919324","partyCertDate":"1995-11-09"},"dataSet":[{"creationDptCode":"1425","serveCompanyCertNo":null,"partyEnglishName":"TSAI,MENG CHE","jobTitle":"一般及其他職務","grownUpGuardianshipCode":"0","performanceDptCode":"1425","residenceAddrAdminArea":"清水區","contactTel":"0970622231","industryPropsTypeCode":"02","nationalityCode":"0","companyTelExtension":"3353","contactAddr":"清水里１３鄰光華路５３巷２７號","customerKycTypeCode":[],"customerBirthday":"1995-11-09","incomeTaxTypeCode":"1","industryTypeCode":"12","email":"MARK015163@GMAIL.COM","selfBankSpecialServiceFlag":"00000","regCountryCode":"TW","dgbasIndustryCode":"061700","circiKey":"L123919324","txnPhone":"0970622231","residenceAddrLocality":"臺中市","companyTel":"23590096","refuseLoanReasonCode":"0","contactAddrPostalCode":"436","contactAddrCountryCode":"TW","propertyTypeCode":"0","contactAddrAdminArea":"清水區","customerName":"蔡孟哲","residenceTel":"0970622231","genderCode":"M","personCertNo":"L123919324","contactAddrLocality":"臺中市","serveCompanyName":"環隆科技","ncbIndustryCode":"060000","contactPhone":"0970622231","residenceAddrCountryCode":"TW","residenceAddr":"清水里１３鄰光華路５３巷２７號","residenceAddrPostalCode":"436"}]}},"resultCode":"UP0090_00_E301","resultDescription":"服務執行期錯誤","resultBody":null,"errorMessages":["顧客識別寫入CI發生錯誤。ChangeRequest:ChangeRequest [serviceInterchange=ServiceInterchange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funcId=01, custName=蔡孟哲, companyEstablishDate=null, circiKey=L123919324, creditCardKey=null, certNo=L123919324, certDate=Thu Nov 09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goldenRecordItemContent=1425],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goldenRecordItemContent=蔡孟哲],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goldenRecordItemContent=1425],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goldenRecordItemContent=0970622231],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goldenRecordItemContent=TSAI,MENG CHE],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goldenRecordItemContent=0970622231],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goldenRecordItemContent=3353],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goldenRecordItemContent=23590096],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goldenRecordItemContent=0970622231],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goldenRecordItemContent=0970622231],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goldenRecordItemContent=MARK015163@GMAIL.COM],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goldenRecordItemContent=環隆科技],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goldenRecordItemContent=1995-11-09],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[custId=9896935, custType=P, certTypeCode=00, partyKind=P, oldRestart=false, customerTag=null, idChangeState=null, creditCardKey=null, circiKey=null, birthDay=Thu Nov 09 00:00:00 GMT+08:00 1995]；ServiceInterchange:ServiceInterchange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Exception : "]}</t>
  </si>
  <si>
    <t>1635795765268319-2858965-51-02</t>
  </si>
  <si>
    <t>1635795765310528-2858965-01-02</t>
  </si>
  <si>
    <t>1635815852664702-2902121-57-02</t>
    <phoneticPr fontId="1" type="noConversion"/>
  </si>
  <si>
    <t>TS0116_00_20211102011730_63512</t>
  </si>
  <si>
    <t>{"requestModel":{"header":{"msgNo":"TS0116_00_20211102011730_63512","txnCode":"digiAccOpening","txnTime":"2021-11-01 19:42:45","senderCode":"TS0116_00","receiverCode":"UP0090_00","operatorCode":"TS0116_00","unitCode":"1104"},"requestBody":{"funcId":"01","criteria":{"circiKey":"N221973879","propertyTypeCode":"0","partyCertNo":"N221973879","partyCertDate":"1969-06-10"},"dataSet":[{"creationDptCode":"1104","serveCompanyCertNo":null,"partyEnglishName":"LIU,SHU MIEN","jobTitle":"一般及其他職務","grownUpGuardianshipCode":"0","performanceDptCode":"1104","residenceAddrAdminArea":"員林市","contactTel":"048312592","industryPropsTypeCode":"02","nationalityCode":"0","companyTelExtension":null,"contactAddr":"林厝里１４鄰山腳路一段坡８巷４１弄２８號","customerKycTypeCode":[],"customerBirthday":"1969-06-10","incomeTaxTypeCode":"1","industryTypeCode":"02","email":"emily799619@icloud.com","selfBankSpecialServiceFlag":"00000","regCountryCode":"TW","dgbasIndustryCode":"061700","circiKey":"N221973879","txnPhone":"0972324208","residenceAddrLocality":"彰化縣","companyTel":"8332466","refuseLoanReasonCode":"0","contactAddrPostalCode":"510","contactAddrCountryCode":"TW","propertyTypeCode":"0","contactAddrAdminArea":"員林市","customerName":"劉淑綿","residenceTel":"048312592","genderCode":"F","personCertNo":"N221973879","contactAddrLocality":"彰化縣","serveCompanyName":"寶島藥品","ncbIndustryCode":"060000","contactPhone":"0972324208","residenceAddrCountryCode":"TW","residenceAddr":"林厝里１４鄰山腳路一段坡８巷４１弄２８號","residenceAddrPostalCode":"510"}]}},"resultCode":"UP0090_00_E301","resultDescription":"服務執行期錯誤","resultBody":null,"errorMessages":["顧客識別寫入CI發生錯誤。ChangeRequest:ChangeRequest [serviceInterchange=ServiceInterchange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funcId=01, custName=劉淑綿, companyEstablishDate=null, circiKey=N221973879, creditCardKey=null, certNo=N221973879, certDate=Tue Jun 10 00:00:00 GMT+08:00 1969,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goldenRecordItemContent=1104],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goldenRecordItemContent=劉淑綿],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goldenRecordItemContent=1104],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goldenRecordItemContent=0972324208],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goldenRecordItemContent=LIU,SHU MIEN],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goldenRecordItemContent=048312592],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goldenRecordItemContent=8332466],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goldenRecordItemContent=048312592],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goldenRecordItemContent=0972324208],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goldenRecordItemContent=emily799619@icloud.com],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goldenRecordItemContent=寶島藥品],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goldenRecordItemContent=1969-06-10],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[custId=6016956, custType=P, certTypeCode=00, partyKind=P, oldRestart=false, customerTag=CustomerTag [custId=6016956, custType=P, removalPredicate=null, removalSystemCode=null, refToCustId=0, refDatetime=null, disabledDatetime=null, identityCertTypeCode=00, disabled=null, disabledSystemCode=null], idChangeState=null, creditCardKey=N221973879, circiKey=null, birthDay=1969-06-10 00:00:00.0]；ServiceInterchange:ServiceInterchange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Exception : "]}</t>
  </si>
  <si>
    <t>1635809639328805-2895580-14-02</t>
    <phoneticPr fontId="1" type="noConversion"/>
  </si>
  <si>
    <t>1635793630373352-2849001-30-01</t>
  </si>
  <si>
    <t>1635793630402601-2849001-98-01</t>
  </si>
  <si>
    <t>TS0116_00_20211101233357_71422</t>
  </si>
  <si>
    <t>{"requestModel":{"header":{"msgNo":"TS0116_00_20211101233357_71422","txnCode":"digiAccOpening","txnTime":"2021-11-01 19:07:10","senderCode":"TS0116_00","receiverCode":"UP0090_00","operatorCode":"TS0116_00","unitCode":"0299"},"requestBody":{"funcId":"01","criteria":{"circiKey":"E223499922","propertyTypeCode":"0","partyCertNo":"E223499922","partyCertDate":"1987-09-01"},"dataSet":[{"creationDptCode":"0299","serveCompanyCertNo":null,"partyEnglishName":"CHENG CHIH TIEN","jobTitle":"一般及其他職務","grownUpGuardianshipCode":"0","performanceDptCode":"0299","residenceAddrAdminArea":"三民區","contactTel":"072216571","industryPropsTypeCode":"02","nationalityCode":"0","companyTelExtension":"8874","contactAddr":"達明里１４鄰十全一路２５１號三樓","customerKycTypeCode":[],"customerBirthday":"1987-09-01","incomeTaxTypeCode":"1","industryTypeCode":"02","email":"WONDERFUL78999@GMAIL.COM","selfBankSpecialServiceFlag":"00000","regCountryCode":"TW","dgbasIndustryCode":"061700","circiKey":"E223499922","txnPhone":"0912713903","residenceAddrLocality":"高雄市","companyTel":"076413701","refuseLoanReasonCode":"0","contactAddrPostalCode":"807","contactAddrCountryCode":"TW","propertyTypeCode":"0","contactAddrAdminArea":"三民區","customerName":"鄭智恬","residenceTel":"072216571","genderCode":"F","personCertNo":"E223499922","contactAddrLocality":"高雄市","serveCompanyName":"台灣中油股份有限公司","ncbIndustryCode":"060000","contactPhone":"0912713903","residenceAddrCountryCode":"TW","residenceAddr":"達明里１４鄰十全一路２５１號三樓","residenceAddrPostalCode":"807"}]}},"resultCode":"UP0090_00_E301","resultDescription":"服務執行期錯誤","resultBody":null,"errorMessages":["顧客識別寫入CI發生錯誤。ChangeRequest:ChangeRequest [serviceInterchange=ServiceInterchange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funcId=01, custName=鄭智恬, companyEstablishDate=null, circiKey=E223499922, creditCardKey=null, certNo=E223499922, certDate=Tue Sep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goldenRecordItemContent=0299],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goldenRecordItemContent=鄭智恬],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goldenRecordItemContent=0299],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goldenRecordItemContent=0912713903],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CHIH TIEN],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goldenRecordItemContent=072216571],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goldenRecordItemContent=8874],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goldenRecordItemContent=076413701],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goldenRecordItemContent=072216571],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goldenRecordItemContent=0912713903],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goldenRecordItemContent=WONDERFUL78999@GMAIL.COM],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goldenRecordItemContent=台灣中油股份有限公司],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goldenRecordItemContent=1987-09-01],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[custId=9252153, custType=P, certTypeCode=00, partyKind=P, oldRestart=false, customerTag=null, idChangeState=null, creditCardKey=null, circiKey=null, birthDay=Tue Sep 01 00:00:00 GMT+08:00 1987]；ServiceInterchange:ServiceInterchange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Exception : "]}</t>
  </si>
  <si>
    <t>1635801590736260-2876581-56-02</t>
    <phoneticPr fontId="1" type="noConversion"/>
  </si>
  <si>
    <t>1635793422999933-2856485-03-02</t>
  </si>
  <si>
    <t>1635793423039116-2856485-65-02</t>
  </si>
  <si>
    <t>TS0116_00_20211101211949_97532</t>
  </si>
  <si>
    <t>發送異動通知電文給CIP回傳錯誤碼:UP0090_00_E301,錯誤碼訊息:服務執行期錯誤,錯誤訊息:[顧客識別寫入CI發生錯誤。ChangeRequest:ChangeRequest [serviceInterchange=ServiceInterchange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funcId=01, custName=邱惠君, companyEstablishDate=null, circiKey=H224284473, creditCardKey=null, certNo=H224284473, certDate=Sat Mar 13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goldenRecordItemContent=邱惠君],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goldenRecordItemContent=0955384313],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goldenRecordItemContent=0224514699],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goldenRecordItemContent=0955384313],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goldenRecordItemContent=0955384313],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goldenRecordItemContent=yuki82313@gmail.com],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goldenRecordItemContent=1993-03-13],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[custId=4309990, custType=P, certTypeCode=00, partyKind=P, oldRestart=false, customerTag=null, idChangeState=null, creditCardKey=null, circiKey=null, birthDay=null]；ServiceInterchange:ServiceInterchange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Exception : ]</t>
  </si>
  <si>
    <t>15-6月 -21 10.27.25.039000000 下午</t>
  </si>
  <si>
    <t>1623796042360386-6634060-24-02</t>
  </si>
  <si>
    <t>1623796042904840-6634060-61-02</t>
  </si>
  <si>
    <t>TS0116_00_20210615222723_25681</t>
  </si>
  <si>
    <t>{"requestModel":{"header":{"msgNo":"TS0116_00_20211101211949_97532","txnCode":"digiAccOpening","txnTime":"2021-11-01 19:03:42","senderCode":"TS0116_00","receiverCode":"UP0090_00","operatorCode":"TS0116_00","unitCode":"0336"},"requestBody":{"funcId":"01","criteria":{"circiKey":"N125287729","propertyTypeCode":"0","partyCertNo":"N125287729","partyCertDate":"1992-01-30"},"dataSet":[{"creationDptCode":"0336","serveCompanyCertNo":null,"partyEnglishName":"CHEN CHANG YOU","jobTitle":"專業服務人員","grownUpGuardianshipCode":"0","performanceDptCode":"0336","residenceAddrAdminArea":"鹿港鎮","contactTel":"0905591388","industryPropsTypeCode":"02","nationalityCode":"0","companyTelExtension":null,"contactAddr":"埔崙里１１鄰永心８３巷３５號","customerKycTypeCode":[],"customerBirthday":"1992-01-30","incomeTaxTypeCode":"1","industryTypeCode":"06","email":"dora69858@yahoo.com.tw","selfBankSpecialServiceFlag":"00000","regCountryCode":"TW","dgbasIndustryCode":"061700","circiKey":"N125287729","txnPhone":"0905591388","residenceAddrLocality":"彰化縣","companyTel":"047227806","refuseLoanReasonCode":"0","contactAddrPostalCode":"505","contactAddrCountryCode":"TW","propertyTypeCode":"0","contactAddrAdminArea":"鹿港鎮","customerName":"陳昌佑","residenceTel":"0905591388","genderCode":"M","personCertNo":"N125287729","contactAddrLocality":"彰化縣","serveCompanyName":"玉華珍餅行","ncbIndustryCode":"060000","contactPhone":"0905591388","residenceAddrCountryCode":"TW","residenceAddr":"埔崙里１１鄰永心８３巷３５號","residenceAddrPostalCode":"505"}]}},"resultCode":"UP0090_00_E301","resultDescription":"服務執行期錯誤","resultBody":null,"errorMessages":["顧客識別寫入CI發生錯誤。ChangeRequest:ChangeRequest [serviceInterchange=ServiceInterchange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funcId=01, custName=陳昌佑, companyEstablishDate=null, circiKey=N125287729, creditCardKey=null, certNo=N125287729, certDate=Thu Jan 30 00:00:00 GMT+08:00 1992,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goldenRecordItemContent=陳昌佑],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goldenRecordItemContent=0905591388],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CHANG YOU],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goldenRecordItemContent=0905591388],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goldenRecordItemContent=047227806],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goldenRecordItemContent=0905591388],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goldenRecordItemContent=0905591388],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goldenRecordItemContent=dora69858@yahoo.com.tw],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goldenRecordItemContent=玉華珍餅行],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goldenRecordItemContent=專業服務人員],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goldenRecordItemContent=1992-01-30],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[custId=5890362, custType=P, certTypeCode=00, partyKind=P, oldRestart=false, customerTag=null, idChangeState=null, creditCardKey=null, circiKey=null, birthDay=Thu Jan 30 00:00:00 GMT+08:00 1992]；ServiceInterchange:ServiceInterchange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Exception : "]}</t>
    <phoneticPr fontId="1" type="noConversion"/>
  </si>
  <si>
    <t>M122615328</t>
    <phoneticPr fontId="1" type="noConversion"/>
  </si>
  <si>
    <t>R221489311</t>
    <phoneticPr fontId="1" type="noConversion"/>
  </si>
  <si>
    <t>S224579215</t>
    <phoneticPr fontId="1" type="noConversion"/>
  </si>
  <si>
    <t>J122539698</t>
    <phoneticPr fontId="1" type="noConversion"/>
  </si>
  <si>
    <t>EM11008133(與開發共用)</t>
    <phoneticPr fontId="1" type="noConversion"/>
  </si>
  <si>
    <t>R224329956</t>
    <phoneticPr fontId="1" type="noConversion"/>
  </si>
  <si>
    <t>N125660620</t>
    <phoneticPr fontId="1" type="noConversion"/>
  </si>
  <si>
    <t>P222439957</t>
    <phoneticPr fontId="1" type="noConversion"/>
  </si>
  <si>
    <t>N225948256</t>
    <phoneticPr fontId="1" type="noConversion"/>
  </si>
  <si>
    <t>H225227123</t>
    <phoneticPr fontId="1" type="noConversion"/>
  </si>
  <si>
    <t>F228283210</t>
    <phoneticPr fontId="1" type="noConversion"/>
  </si>
  <si>
    <t>E224731821</t>
    <phoneticPr fontId="1" type="noConversion"/>
  </si>
  <si>
    <t>F129438726</t>
    <phoneticPr fontId="1" type="noConversion"/>
  </si>
  <si>
    <t>M122458770</t>
    <phoneticPr fontId="1" type="noConversion"/>
  </si>
  <si>
    <t>I200336993</t>
    <phoneticPr fontId="1" type="noConversion"/>
  </si>
  <si>
    <t>A129099715</t>
    <phoneticPr fontId="1" type="noConversion"/>
  </si>
  <si>
    <t>L123919324</t>
    <phoneticPr fontId="1" type="noConversion"/>
  </si>
  <si>
    <t>N221973879</t>
    <phoneticPr fontId="1" type="noConversion"/>
  </si>
  <si>
    <t>E223499922</t>
    <phoneticPr fontId="1" type="noConversion"/>
  </si>
  <si>
    <t>N125287729</t>
    <phoneticPr fontId="1" type="noConversion"/>
  </si>
  <si>
    <t>DONE</t>
    <phoneticPr fontId="1" type="noConversion"/>
  </si>
  <si>
    <t>SC2021110500027</t>
    <phoneticPr fontId="1" type="noConversion"/>
  </si>
  <si>
    <t>done</t>
    <phoneticPr fontId="1" type="noConversion"/>
  </si>
  <si>
    <t>08-11月-21 10.10.27.761000000 上午</t>
  </si>
  <si>
    <t>1636366212013294-4103150-42-01</t>
  </si>
  <si>
    <t>1636366212017493-4103150-45-01</t>
  </si>
  <si>
    <t>TS0116_00_20211108101027_67461</t>
  </si>
  <si>
    <t>NA</t>
    <phoneticPr fontId="1" type="noConversion"/>
  </si>
  <si>
    <t>N</t>
    <phoneticPr fontId="1" type="noConversion"/>
  </si>
  <si>
    <t>1636448165416862-4282802-30-02</t>
  </si>
  <si>
    <t>09-11月-21 08.56.05.520000000 上午</t>
  </si>
  <si>
    <t>1636392600482836-4161908-83-02</t>
  </si>
  <si>
    <t>08-11月-21 05.30.00.583000000 下午</t>
  </si>
  <si>
    <t>1636448165157515-4283243-06-01</t>
  </si>
  <si>
    <t>1636448165161664-4283243-08-01</t>
  </si>
  <si>
    <t>TS0116_00_20211109085605_81961</t>
  </si>
  <si>
    <t>1636392600045345-4152819-54-01</t>
  </si>
  <si>
    <t>1636392600221435-4152819-55-01</t>
  </si>
  <si>
    <t>TS0116_00_20211108173000_56422</t>
  </si>
  <si>
    <t xml:space="preserve"> -&gt;XB00071928
Y-&gt;H980006528</t>
    <phoneticPr fontId="1" type="noConversion"/>
  </si>
  <si>
    <t>N</t>
    <phoneticPr fontId="1" type="noConversion"/>
  </si>
  <si>
    <t>EM11008480</t>
    <phoneticPr fontId="1" type="noConversion"/>
  </si>
  <si>
    <t>10-11月-21 01.34.31.872000000 下午</t>
  </si>
  <si>
    <t>發送異動通知電文給CIP回傳錯誤碼:UP0090_00_E301,錯誤碼訊息:服務執行期錯誤,錯誤訊息:[顧客識別寫入CI發生錯誤。ChangeRequest:ChangeRequest [serviceInterchange=ServiceInterchange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funcId=01, custName=吳玫琴, companyEstablishDate=null, circiKey=A220202058, creditCardKey=null, certNo=A220202058, certDate=Tue Jun 20 00:00:00 GMT+08:00 1967,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goldenRecordItemContent=0598],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goldenRecordItemContent=吳玫琴],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goldenRecordItemContent=0598],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goldenRecordItemContent=0225140799],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goldenRecordItemContent=606],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goldenRecordItemContent=0226587888],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goldenRecordItemContent=陽光街３５１號３樓],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goldenRecordItemContent=內湖區],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goldenRecordItemContent=0932199344],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goldenRecordItemContent=0615H0],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goldenRecordItemContent=0932199344],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goldenRecordItemContent=aflyh@hotmail.com],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goldenRecordItemContent=敦化北路１５５巷４號３樓],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goldenRecordItemContent=松山區],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goldenRecordItemContent=1967-06-20],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[custId=806114, custType=P, certTypeCode=00, partyKind=P, oldRestart=false, customerTag=CustomerTag [custId=806114, custType=P, removalPredicate=null, removalSystemCode=null, refToCustId=0, refDatetime=null, disabledDatetime=null, identityCertTypeCode=00, disabled=null, disabledSystemCode=null], idChangeState=null, creditCardKey=A220202058, circiKey=null, birthDay=1967-06-20 00:00:00.0]；ServiceInterchange:ServiceInterchange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Exception : ]</t>
  </si>
  <si>
    <t>08-11月-21 03.30.25.055000000 下午</t>
  </si>
  <si>
    <t>1636551271591573-4510181-20-01</t>
  </si>
  <si>
    <t>TS0116_00_20211110133431_81461</t>
  </si>
  <si>
    <t>TS0116_00_20211108153022_27712</t>
  </si>
  <si>
    <t>1636385422578249-4146505-84-01</t>
    <phoneticPr fontId="1" type="noConversion"/>
  </si>
  <si>
    <r>
      <t>經先前與</t>
    </r>
    <r>
      <rPr>
        <sz val="12"/>
        <color rgb="FF1F497D"/>
        <rFont val="Calibri"/>
        <family val="2"/>
      </rPr>
      <t>BA</t>
    </r>
    <r>
      <rPr>
        <sz val="12"/>
        <color rgb="FF1F497D"/>
        <rFont val="新細明體"/>
        <family val="1"/>
        <charset val="136"/>
        <scheme val="minor"/>
      </rPr>
      <t>確認作業程序，此案無須同步</t>
    </r>
    <r>
      <rPr>
        <sz val="12"/>
        <color rgb="FF1F497D"/>
        <rFont val="Calibri"/>
        <family val="2"/>
      </rPr>
      <t>CIP</t>
    </r>
    <r>
      <rPr>
        <sz val="12"/>
        <color rgb="FF1F497D"/>
        <rFont val="新細明體"/>
        <family val="1"/>
        <charset val="136"/>
        <scheme val="minor"/>
      </rPr>
      <t>，</t>
    </r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</si>
  <si>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</si>
  <si>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</si>
  <si>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</si>
  <si>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</si>
  <si>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</si>
  <si>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</si>
  <si>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SC2021110400002</t>
    <phoneticPr fontId="1" type="noConversion"/>
  </si>
  <si>
    <t>EM11008133(與開發共用)</t>
    <phoneticPr fontId="1" type="noConversion"/>
  </si>
  <si>
    <t>DONE</t>
    <phoneticPr fontId="1" type="noConversion"/>
  </si>
  <si>
    <t>SC2021110500027</t>
    <phoneticPr fontId="1" type="noConversion"/>
  </si>
  <si>
    <t>1623796044934245-6642591-20-01</t>
    <phoneticPr fontId="1" type="noConversion"/>
  </si>
  <si>
    <t>H224284473</t>
    <phoneticPr fontId="1" type="noConversion"/>
  </si>
  <si>
    <t>{"requestModel":{"header":{"msgNo":"TS0116_00_20210615222723_25681","txnCode":"AQF0308","txnTime":"2021-06-15 22:27:22","senderCode":"TS0116_00","receiverCode":"UP0090_00","operatorCode":"LA","unitCode":"9008"},"requestBody":{"funcId":"01","criteria":{"circiKey":"H224284473","propertyTypeCode":"0","partyCertNo":"H224284473","partyCertDate":"1993-03-13"},"dataSet":[{"creationDptCode":"9008","grownUpGuardianshipCode":"0","performanceDptCode":"9008","residenceAddrAdminArea":"平鎮區","contactTel":"0955384313","industryPropsTypeCode":"02","nationalityCode":"0","companyTelExtension":null,"contactAddr":"德育路二段９號","customerBirthday":"1993-03-13","incomeTaxTypeCode":"1","email":"yuki82313@gmail.com","selfBankSpecialServiceFlag":"00000","stopUseCustomerDataFlag":" ","agreeCrossSellingFlag":"N","regCountryCode":"TW","dgbasIndustryCode":"0615G0","circiKey":"H224284473","residenceAddrLocality":"桃園市","companyTel":"0224514699","refuseLoanReasonCode":"0","contactAddrPostalCode":"324","contactAddrCountryCode":"TW","propertyTypeCode":"0","contactAddrAdminArea":"平鎮區","customerName":"邱惠君","residenceTel":"0955384313","genderCode":"F","personCertNo":"H224284473","contactAddrLocality":"桃園市","ncbIndustryCode":"060000","contactPhone":"0955384313","residenceAddrCountryCode":"TW","residenceAddr":"德育路二段９號","residenceAddrPostalCode":"324"}]}},"resultCode":"UP0090_00_E301","resultDescription":"服務執行期錯誤","resultBody":null,"errorMessages":["顧客識別寫入CI發生錯誤。ChangeRequest:ChangeRequest [serviceInterchange=ServiceInterchange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funcId=01, custName=邱惠君, companyEstablishDate=null, circiKey=H224284473, creditCardKey=null, certNo=H224284473, certDate=Sat Mar 13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goldenRecordItemContent=邱惠君],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goldenRecordItemContent=0955384313],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goldenRecordItemContent=0224514699],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goldenRecordItemContent=0955384313],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goldenRecordItemContent=0955384313],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goldenRecordItemContent=yuki82313@gmail.com],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goldenRecordItemContent=1993-03-13],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[custId=4309990, custType=P, certTypeCode=00, partyKind=P, oldRestart=false, customerTag=null, idChangeState=null, creditCardKey=null, circiKey=null, birthDay=null]；ServiceInterchange:ServiceInterchange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Exception : "]}</t>
    <phoneticPr fontId="1" type="noConversion"/>
  </si>
  <si>
    <t>SC2021110900098</t>
    <phoneticPr fontId="1" type="noConversion"/>
  </si>
  <si>
    <t>1636366227661504-4101409-30-02</t>
    <phoneticPr fontId="1" type="noConversion"/>
  </si>
  <si>
    <t>J220515094</t>
    <phoneticPr fontId="1" type="noConversion"/>
  </si>
  <si>
    <t>{"requestModel":{"header":{"msgNo":"TS0116_00_20211108101027_67461","txnCode":"DpA05Td002501B01","txnTime":"2021-11-08 10:10:12","senderCode":"TS0116_00","receiverCode":"UP0090_00","operatorCode":"TLR99","unitCode":"9004"},"requestBody":{"funcId":"01","criteria":{"circiKey":"J220515094","propertyTypeCode":"0","partyCertNo":"J220515094","partyCertDate":"1968-05-24"},"dataSet":[{"customerStatusCode":null,"customerKycTypeCode":[]}]}},"resultCode":"UP0090_00_V201","resultDescription":"必要性檢核錯誤","resultBody":null,"errorMessages":["檢查有誤，顧客ID已停用"]}</t>
    <phoneticPr fontId="1" type="noConversion"/>
  </si>
  <si>
    <t>EM11008465</t>
    <phoneticPr fontId="1" type="noConversion"/>
  </si>
  <si>
    <t>H980006528</t>
    <phoneticPr fontId="1" type="noConversion"/>
  </si>
  <si>
    <t>{"requestModel":{"header":{"msgNo":"TS0116_00_20211108173000_56422","txnCode":"A149022","txnTime":"2021-11-08 17:30:00","senderCode":"TS0116_00","receiverCode":"UP0090_00","operatorCode":"08742","unitCode":"0015","authorizerCode":"03270"},"requestBody":{"funcId":"04","criteria":{"exCirciKey":"XB00071928"},"dataSet":[{"circiKey":"H980006528","partyCertNo":"H980006528","partyCertDate":"1993-12-01"}]}},"resultCode":"UP0090_00_R101","resultDescription":"存在驗證錯誤","resultBody":null,"errorMessages":["檢查有誤，顧客曾經執行過ID改號，將交由資料管家處理"]}</t>
    <phoneticPr fontId="1" type="noConversion"/>
  </si>
  <si>
    <t>1636448165416862-4282802-30-02</t>
    <phoneticPr fontId="1" type="noConversion"/>
  </si>
  <si>
    <t>L223361731</t>
    <phoneticPr fontId="1" type="noConversion"/>
  </si>
  <si>
    <t>{"requestModel":{"header":{"msgNo":"TS0116_00_20211110133431_81461","txnCode":"createOrUpdateCustomerForNBS","txnTime":"2021-11-10 13:34:31","senderCode":"TS0116_00","receiverCode":"UP0090_00","operatorCode":"12500","unitCode":"0532","authorizerCode":"02681"},"requestBody":{"funcId":"01","criteria":{"circiKey":"P221923665","propertyTypeCode":"0","partyCertNo":"P221923665","partyCertDate":"1973-12-18"},"dataSet":[{"industryTypeCode":"15","contactPhone":null,"email":null,"residenceAddrLocality":"臺北市","residenceAddr":"富錦里２鄰民生東路５段１７７巷８弄１０號４樓","residenceAddrPostalCode":"105","residenceAddrAdminArea":"松山區","customerBirthday":"1973-12-18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</si>
  <si>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1636385424951686-4153570-28-02</t>
    <phoneticPr fontId="1" type="noConversion"/>
  </si>
  <si>
    <t>SC2021110900013</t>
    <phoneticPr fontId="1" type="noConversion"/>
  </si>
  <si>
    <t>AC00018256</t>
    <phoneticPr fontId="1" type="noConversion"/>
  </si>
  <si>
    <t xml:space="preserve"> -&gt;MD00376504
Y-&gt;B900001774</t>
    <phoneticPr fontId="1" type="noConversion"/>
  </si>
  <si>
    <t>13-11月-21 08.19.39.656000000 下午</t>
  </si>
  <si>
    <t>10-11月-21 03.18.52.368000000 下午</t>
  </si>
  <si>
    <t>1636551271833508-4510215-62-01</t>
    <phoneticPr fontId="1" type="noConversion"/>
  </si>
  <si>
    <t>NA</t>
    <phoneticPr fontId="1" type="noConversion"/>
  </si>
  <si>
    <t>NA</t>
    <phoneticPr fontId="1" type="noConversion"/>
  </si>
  <si>
    <t>1636834779616924-5137440-16-02</t>
    <phoneticPr fontId="1" type="noConversion"/>
  </si>
  <si>
    <t>TS0116_00_20211113201909_27622</t>
  </si>
  <si>
    <t>F228349697</t>
    <phoneticPr fontId="1" type="noConversion"/>
  </si>
  <si>
    <t>1636834749424051-5137382-06-02</t>
    <phoneticPr fontId="1" type="noConversion"/>
  </si>
  <si>
    <t>1636834749412572-5137382-99-02</t>
    <phoneticPr fontId="1" type="noConversion"/>
  </si>
  <si>
    <t>1636557532254867-4528227-61-01</t>
    <phoneticPr fontId="1" type="noConversion"/>
  </si>
  <si>
    <t>1636393203947843-4163319-89-01</t>
  </si>
  <si>
    <t>TS0116_00_20211110151852_73061</t>
  </si>
  <si>
    <t>{"requestModel":{"header":{"msgNo":"TS0116_00_20211110151852_73061","txnCode":"A149022","txnTime":"2021-11-08 17:40:03","senderCode":"TS0116_00","receiverCode":"UP0090_00","operatorCode":"08742","unitCode":"0015","authorizerCode":"03270"},"requestBody":{"funcId":"04","criteria":{"exCirciKey":"XB00071928"},"dataSet":[{"circiKey":"H980006528","partyCertNo":"H980006528","partyCertDate":"1993-12-01"}]}},"resultCode":"UP0090_00_R101","resultDescription":"存在驗證錯誤","resultBody":null,"errorMessages":["檢查有誤，顧客曾經執行過ID改號，將交由資料管家處理"]}</t>
  </si>
  <si>
    <t>{"requestModel":{"header":{"msgNo":"TS0116_00_20211108153022_27712","txnCode":"BT$MAL31","txnTime":"2021-11-08 15:30:22","senderCode":"TS0116_00","receiverCode":"UP0090_00","operatorCode":"99","unitCode":"0598"},"requestBody":{"funcId":"01","criteria":{"circiKey":"A220202058","propertyTypeCode":"0","partyCertNo":"A220202058","partyCertDate":"1967-06-20"},"dataSet":[{"creationDptCode":"0598","grownUpGuardianshipCode":"0","performanceDptCode":"0598","residenceAddrAdminArea":"松山區","contactTel":"0932199344","industryPropsTypeCode":"02","nationalityCode":"0","companyTelExtension":"606","contactAddr":"陽光街３５１號３樓","customerBirthday":"1967-06-20","incomeTaxTypeCode":"1","email":"aflyh@hotmail.com","selfBankSpecialServiceFlag":"00000","stopUseCustomerDataFlag":" ","regCountryCode":"TW","dgbasIndustryCode":"0615H0","circiKey":"A220202058","residenceAddrLocality":"臺北市","companyTel":"0226587888","refuseLoanReasonCode":"0","contactAddrPostalCode":"114","contactAddrCountryCode":"TW","propertyTypeCode":"0","contactAddrAdminArea":"內湖區","customerName":"吳玫琴","residenceTel":"0225140799","genderCode":"F","personCertNo":"A220202058","contactAddrLocality":"臺北市","ncbIndustryCode":"060000","contactPhone":"0932199344","residenceAddrCountryCode":"TW","residenceAddr":"敦化北路１５５巷４號３樓","residenceAddrPostalCode":"105"}]}},"resultCode":"UP0090_00_E301","resultDescription":"服務執行期錯誤","resultBody":null,"errorMessages":["顧客識別寫入CI發生錯誤。ChangeRequest:ChangeRequest [serviceInterchange=ServiceInterchange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funcId=01, custName=吳玫琴, companyEstablishDate=null, circiKey=A220202058, creditCardKey=null, certNo=A220202058, certDate=Tue Jun 20 00:00:00 GMT+08:00 1967,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goldenRecordItemContent=0598],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goldenRecordItemContent=吳玫琴],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goldenRecordItemContent=0598],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goldenRecordItemContent=0225140799],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goldenRecordItemContent=606],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goldenRecordItemContent=0226587888],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goldenRecordItemContent=陽光街３５１號３樓],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goldenRecordItemContent=內湖區],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goldenRecordItemContent=0932199344],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goldenRecordItemContent=0615H0],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goldenRecordItemContent=0932199344],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goldenRecordItemContent=aflyh@hotmail.com],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goldenRecordItemContent=敦化北路１５５巷４號３樓],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goldenRecordItemContent=松山區],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goldenRecordItemContent=1967-06-20],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[custId=806114, custType=P, certTypeCode=00, partyKind=P, oldRestart=false, customerTag=CustomerTag [custId=806114, custType=P, removalPredicate=null, removalSystemCode=null, refToCustId=0, refDatetime=null, disabledDatetime=null, identityCertTypeCode=00, disabled=null, disabledSystemCode=null], idChangeState=null, creditCardKey=A220202058, circiKey=null, birthDay=1967-06-20 00:00:00.0]；ServiceInterchange:ServiceInterchange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Exception : "]}</t>
    <phoneticPr fontId="1" type="noConversion"/>
  </si>
  <si>
    <t xml:space="preserve"> -&gt;XB00071928
Y-&gt;H980006528</t>
    <phoneticPr fontId="1" type="noConversion"/>
  </si>
  <si>
    <t>Y</t>
    <phoneticPr fontId="1" type="noConversion"/>
  </si>
  <si>
    <t>EM11008547</t>
    <phoneticPr fontId="1" type="noConversion"/>
  </si>
  <si>
    <t>EM11008629(共用)</t>
    <phoneticPr fontId="1" type="noConversion"/>
  </si>
  <si>
    <t>1636385422604871-4146505-35-01</t>
    <phoneticPr fontId="1" type="noConversion"/>
  </si>
  <si>
    <t>SC2021111500032</t>
    <phoneticPr fontId="1" type="noConversion"/>
  </si>
  <si>
    <t>EM11008453</t>
    <phoneticPr fontId="1" type="noConversion"/>
  </si>
  <si>
    <t>STG1重覆發送議題，已確認1筆成功，擬刪除後續失敗註記。</t>
    <phoneticPr fontId="1" type="noConversion"/>
  </si>
  <si>
    <t>ConnectTimeoutException</t>
    <phoneticPr fontId="1" type="noConversion"/>
  </si>
  <si>
    <t>done</t>
    <phoneticPr fontId="1" type="noConversion"/>
  </si>
  <si>
    <t>A220202058</t>
    <phoneticPr fontId="1" type="noConversion"/>
  </si>
  <si>
    <t>done</t>
    <phoneticPr fontId="1" type="noConversion"/>
  </si>
  <si>
    <t>done</t>
    <phoneticPr fontId="1" type="noConversion"/>
  </si>
  <si>
    <t>P的那戶因為顧客是特殊身分需急件處理，我們今天17:00會做重新歸戶，但還要清CIFX的同步失敗註記，今天會需要清完，我們做完再通知你嗎?</t>
    <phoneticPr fontId="1" type="noConversion"/>
  </si>
  <si>
    <t>EM11008541</t>
    <phoneticPr fontId="1" type="noConversion"/>
  </si>
  <si>
    <t>1636551271613337-4510181-44-01</t>
    <phoneticPr fontId="1" type="noConversion"/>
  </si>
  <si>
    <t>A121013</t>
    <phoneticPr fontId="1" type="noConversion"/>
  </si>
  <si>
    <t>MD00376504</t>
    <phoneticPr fontId="1" type="noConversion"/>
  </si>
  <si>
    <t>已通知CIP team</t>
    <phoneticPr fontId="1" type="noConversion"/>
  </si>
  <si>
    <t>已通知CIP team</t>
    <phoneticPr fontId="1" type="noConversion"/>
  </si>
  <si>
    <t>這個ＢＡ有回信說不用同步　擬應該有收到</t>
    <phoneticPr fontId="1" type="noConversion"/>
  </si>
  <si>
    <t>EM11008133</t>
    <phoneticPr fontId="1" type="noConversion"/>
  </si>
  <si>
    <t>1635429437474705-2074907-43-02</t>
    <phoneticPr fontId="1" type="noConversion"/>
  </si>
  <si>
    <t>1634860639438433-0829179-98-02</t>
    <phoneticPr fontId="1" type="noConversion"/>
  </si>
  <si>
    <t>SC2021111600043</t>
    <phoneticPr fontId="1" type="noConversion"/>
  </si>
  <si>
    <t>EM11007953</t>
    <phoneticPr fontId="1" type="noConversion"/>
  </si>
  <si>
    <t>EM11007953</t>
    <phoneticPr fontId="1" type="noConversion"/>
  </si>
  <si>
    <t>DONE</t>
    <phoneticPr fontId="1" type="noConversion"/>
  </si>
  <si>
    <t>DONE</t>
    <phoneticPr fontId="1" type="noConversion"/>
  </si>
  <si>
    <t>SC2021111600041</t>
    <phoneticPr fontId="1" type="noConversion"/>
  </si>
  <si>
    <t>P221923665</t>
    <phoneticPr fontId="1" type="noConversion"/>
  </si>
  <si>
    <t>done</t>
    <phoneticPr fontId="1" type="noConversion"/>
  </si>
  <si>
    <t>done</t>
    <phoneticPr fontId="1" type="noConversion"/>
  </si>
  <si>
    <t>SC2021111600008</t>
    <phoneticPr fontId="1" type="noConversion"/>
  </si>
  <si>
    <t>1637167660001932-5856754-39-01</t>
  </si>
  <si>
    <t>錯誤訊息:[]</t>
  </si>
  <si>
    <t>1637167659783464-5856768-06-01</t>
  </si>
  <si>
    <t>TS0116_00_20211117164739_94012</t>
  </si>
  <si>
    <t>{"requestModel":{"header":{"msgNo":"TS0116_00_20211117164739_94012","txnCode":"createOrUpdateCustomerForNBS","txnTime":"2021-11-17 16:47:39","senderCode":"TS0116_00","receiverCode":"UP0090_00","operatorCode":"21361","unitCode":"0989","authorizerCode":"06099"},"requestBody":{"funcId":"01","criteria":{"circiKey":"AB20118086","propertyTypeCode":"0","partyCertNo":"AB20118086","partyCertDate":"1990-04-21"},"dataSet":[{"industryTypeCode":"12","nationalityCode":"1","contactPhone":"0965141832","email":"leongonkei.421@gmail.com","dgbasIndustryCode":"061610","ncbIndustryCode":"060000","residenceAddrLocality":"臺北市","residenceAddr":"汀州路二段１２７巷７號二樓","residenceAddrPostalCode":"100","residenceAddrAdminArea":"中正區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  <phoneticPr fontId="1" type="noConversion"/>
  </si>
  <si>
    <t>NA</t>
    <phoneticPr fontId="1" type="noConversion"/>
  </si>
  <si>
    <t>N</t>
    <phoneticPr fontId="1" type="noConversion"/>
  </si>
  <si>
    <t>亮維說明: 
這戶不用同步</t>
    <phoneticPr fontId="1" type="noConversion"/>
  </si>
  <si>
    <t>1636393203980284-4163319-72-01</t>
    <phoneticPr fontId="1" type="noConversion"/>
  </si>
  <si>
    <t>SC2021111800013</t>
    <phoneticPr fontId="1" type="noConversion"/>
  </si>
  <si>
    <t>1636392600482836-4161908-83-02</t>
    <phoneticPr fontId="1" type="noConversion"/>
  </si>
  <si>
    <t>done</t>
    <phoneticPr fontId="1" type="noConversion"/>
  </si>
  <si>
    <t>23-11月-21 05.03.56.598000000 下午</t>
  </si>
  <si>
    <t>1637687036535048-6994340-81-02</t>
    <phoneticPr fontId="1" type="noConversion"/>
  </si>
  <si>
    <t>1637687036179488-6994308-63-02</t>
  </si>
  <si>
    <t>TS0116_00_20211123170356_89222</t>
  </si>
  <si>
    <t>{"requestModel":{"header":{"msgNo":"TS0116_00_20211123170356_89222","txnCode":"createOrUpdateCustomerForNBS","txnTime":"2021-11-23 17:03:55","senderCode":"TS0116_00","receiverCode":"UP0090_00","operatorCode":"19615","unitCode":"0222","authorizerCode":"02140"},"requestBody":{"funcId":"01","criteria":{"circiKey":"LC01248346","propertyTypeCode":"0","partyCertNo":"LC01248346","partyCertDate":"1990-02-22"},"dataSet":[{"nationalityCode":"1","contactPhone":"0986509376","email":"VANLUANN644@GMAIL.COM","dgbasIndustryCode":"0615C0","ncbIndustryCode":"060000","residenceAddrLocality":"臺中市","residenceAddr":"金城里４５鄰中興路一段３８２巷４３號５樓","residenceAddrPostalCode":"412","residenceAddrAdminArea":"大里區","residenceAddrCountryCode":"TW"}],"option":{"isReplyOverWrite":false,"isRemoval":false,"isCustConfirmation":true,"isRelationRemoval":false}}},"resultCode":"UP0090_00_V201","resultDescription":"必要性檢核錯誤","resultBody":null,"errorMessages":["檢查有誤，顧客ID已停用"]}</t>
  </si>
  <si>
    <t xml:space="preserve"> -&gt;LC01248346
Y-&gt;L800147468</t>
    <phoneticPr fontId="1" type="noConversion"/>
  </si>
  <si>
    <t>LC01248346</t>
    <phoneticPr fontId="1" type="noConversion"/>
  </si>
  <si>
    <t>N</t>
    <phoneticPr fontId="1" type="noConversion"/>
  </si>
  <si>
    <t>AB20118086</t>
    <phoneticPr fontId="1" type="noConversion"/>
  </si>
  <si>
    <t>發送異動通知電文，未回傳resultCode!!,回傳代碼描述:,錯誤訊息:[]</t>
    <phoneticPr fontId="1" type="noConversion"/>
  </si>
  <si>
    <t>SC2021050400008</t>
    <phoneticPr fontId="1" type="noConversion"/>
  </si>
  <si>
    <t>經業管確認清除同步註記。</t>
    <phoneticPr fontId="1" type="noConversion"/>
  </si>
  <si>
    <t>EM11008713</t>
    <phoneticPr fontId="1" type="noConversion"/>
  </si>
  <si>
    <t>1637167659814690-5856768-29-01</t>
    <phoneticPr fontId="1" type="noConversion"/>
  </si>
  <si>
    <t>1637687036207976-6994308-79-02</t>
    <phoneticPr fontId="1" type="noConversion"/>
  </si>
  <si>
    <t>SC2021120200097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</si>
  <si>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</si>
  <si>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</si>
  <si>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</si>
  <si>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發送異動通知電文給CIP回傳錯誤碼:UP0090_00_V201,錯誤碼訊息:必要性檢核錯誤,錯誤訊息:[DEL00000000000001192 顧客 TS0116_00 已刪除，但全行未刪除，無法進行異動建檔]</t>
  </si>
  <si>
    <t>08-12月-21 01.07.01.197000000 下午</t>
  </si>
  <si>
    <t>1638968821099897-9805932-51-01</t>
    <phoneticPr fontId="1" type="noConversion"/>
  </si>
  <si>
    <t>1638968820846450-9812890-82-02</t>
  </si>
  <si>
    <t>TS0116_00_20211208130700_62062</t>
  </si>
  <si>
    <t>NA</t>
    <phoneticPr fontId="1" type="noConversion"/>
  </si>
  <si>
    <t>曾刪除過</t>
    <phoneticPr fontId="1" type="noConversion"/>
  </si>
  <si>
    <t>14-12月-21 09.38.56.447000000 上午</t>
  </si>
  <si>
    <t>1639474736110234-0902341-88-02</t>
  </si>
  <si>
    <t>TS0116_00_20211214093856_90221</t>
  </si>
  <si>
    <t>{"requestModel":{"header":{"msgNo":"TS0116_00_20211214093856_90221","txnCode":"A122011","txnTime":"2021-12-14 09:38:56","senderCode":"TS0116_00","receiverCode":"UP0090_00","operatorCode":"18178","unitCode":"0015"},"requestBody":{"funcId":"01","criteria":{"circiKey":"A800032365","propertyTypeCode":"0","partyCertNo":"A800032365","partyCertDate":"1990-08-24"},"dataSet":[{"dmSaleFlag":"Y","emailSaleFlag":"Y","phoneSaleFlag":"Y","smsSaleFlag":"Y"}]}},"resultCode":"UP0090_00_V201","resultDescription":"必要性檢核錯誤","resultBody":null,"errorMessages":["檢查有誤，顧客ID已停用"]}</t>
  </si>
  <si>
    <t>A122011</t>
    <phoneticPr fontId="1" type="noConversion"/>
  </si>
  <si>
    <t>select si.txn_code,sec.* from cifx.tb_service_execution_control sec</t>
  </si>
  <si>
    <t>left join cifx.tb_service_Interchange si on si.service_Interchange_id = sec.service_Interchange_id</t>
  </si>
  <si>
    <t>where sec.circi_key = 'A800032365'</t>
  </si>
  <si>
    <t>order by sec.req_timestamp</t>
  </si>
  <si>
    <t>1639474736127239-0902341-01-02</t>
    <phoneticPr fontId="1" type="noConversion"/>
  </si>
  <si>
    <t>EM11009466</t>
    <phoneticPr fontId="1" type="noConversion"/>
  </si>
  <si>
    <t>S220293741</t>
    <phoneticPr fontId="1" type="noConversion"/>
  </si>
  <si>
    <t>{"requestModel":{"header":{"msgNo":"TS0116_00_20211208130700_62062","txnCode":"A101011","txnTime":"2021-12-08 13:07:00","senderCode":"TS0116_00","receiverCode":"UP0090_00","operatorCode":"14043","unitCode":"0082"},"requestBody":{"funcId":"01","criteria":{"circiKey":"S220293741","propertyTypeCode":"0","partyCertNo":"S220293741","partyCertDate":"1976-03-28"},"dataSet":[{"creationDptCode":"0082","customerName":"簡麗紋","selfBankSpecialServiceFlag":"00000","foreignExchangeRoleCode":"03","grownUpGuardianshipCode":"0","industryPropsTypeCode":"02","industryTypeCode":"08","performanceDptCode":"0082","txnPhone":"0921422023","partyEnglishName":"Li-wen chien","nationalityCode":"0","refuseLoanReasonCode":"0","regCountryCode":"TW","incomeTaxTypeCode":"1","genderCode":"F","stopUseCustomerDataFlag":" ","companyTelExtension":null,"companyTel":"072368768","contactAddrPostalCode":"801","contactAddr":"中華四路３４９號１０樓之２","contactAddrAdminArea":"前金區","contactAddrLocality":"高雄市","contactTel":"0921422023","dgbasIndustryCode":"0615I0","ncbIndustryCode":"060000","contactPhone":"0921422023","email":"WCHIEN2010@YAHOO.COM.TW","residenceAddrLocality":"澎湖縣","residenceAddr":"光榮里２０鄰三多路４６５號","residenceAddrPostalCode":"880","residenceAddrAdminArea":"馬公市","serveCompanyCertNo":null,"serveCompanyName":"日商瑞穗銀行","jobTitle":"事務員","contactAddrCountryCode":"TW","customerBirthday":"1976-03-28","residenceAddrCountryCode":"TW"}],"option":{"isReplyOverWrite":false,"isRemoval":false,"isCustConfirmation":true,"isRelationRemoval":false}}},"resultCode":"UP0090_00_V201","resultDescription":"必要性檢核錯誤","resultBody":null,"errorMessages":["DEL00000000000001192 顧客 TS0116_00 已刪除，但全行未刪除，無法進行異動建檔"]}</t>
    <phoneticPr fontId="1" type="noConversion"/>
  </si>
  <si>
    <t>已確認歸戶完成，cifx清除同步失敗註記</t>
    <phoneticPr fontId="1" type="noConversion"/>
  </si>
  <si>
    <t>1638968820886976-9812890-36-02</t>
    <phoneticPr fontId="1" type="noConversion"/>
  </si>
  <si>
    <t>EM11009349</t>
    <phoneticPr fontId="1" type="noConversion"/>
  </si>
  <si>
    <t>SC2021121700042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</si>
  <si>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</si>
  <si>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</si>
  <si>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</si>
  <si>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重覆改號，後續有刪除交易未同步</t>
    <phoneticPr fontId="1" type="noConversion"/>
  </si>
  <si>
    <t>done</t>
    <phoneticPr fontId="1" type="noConversion"/>
  </si>
  <si>
    <t>1639474736388258-0910856-09-01</t>
    <phoneticPr fontId="1" type="noConversion"/>
  </si>
  <si>
    <t>SC2021121500008</t>
    <phoneticPr fontId="1" type="noConversion"/>
  </si>
  <si>
    <t>A800032365</t>
    <phoneticPr fontId="1" type="noConversion"/>
  </si>
  <si>
    <t>1640770060958701-3757796-52-02</t>
  </si>
  <si>
    <t>1640770060987443-3757796-59-02</t>
  </si>
  <si>
    <t>TS0116_00_20211229092741_43172</t>
  </si>
  <si>
    <t>S220271692</t>
  </si>
  <si>
    <t>{"requestModel":{"header":{"msgNo":"TS0116_00_20211229092741_43172","txnCode":"A149022","txnTime":"2021-12-29 09:27:40","senderCode":"TS0116_00","receiverCode":"UP0090_00","operatorCode":"08255","unitCode":"0015","authorizerCode":"90192"},"requestBody":{"funcId":"04","criteria":{"exCirciKey":"S22027169A"},"dataSet":[{"circiKey":"S220271692","partyCertNo":"S220271692","partyCertDate":"1973-04-22"}]}},"resultCode":"UP0090_00_R101","resultDescription":"存在驗證錯誤","resultBody":null,"errorMessages":["ID改號作業-&gt;CIF改號作業-&gt;&lt;檢查有誤，查無符合(改號前)銀行歸戶統編(S22027169A)顧客&gt;"]}</t>
  </si>
  <si>
    <t xml:space="preserve"> -&gt;S22027169A Y-&gt;S220271692</t>
    <phoneticPr fontId="1" type="noConversion"/>
  </si>
  <si>
    <t>N</t>
    <phoneticPr fontId="1" type="noConversion"/>
  </si>
  <si>
    <t>通知CIP_TEAM</t>
    <phoneticPr fontId="1" type="noConversion"/>
  </si>
  <si>
    <t>1640770061169332-3758676-96-02</t>
  </si>
  <si>
    <t>發送ID改號電文給CIP回傳錯誤碼:UP0090_00_R101,錯誤碼訊息:存在驗證錯誤,錯誤訊息:[ID改號作業-&gt;CIF改號作業-&gt;&lt;檢查有誤，查無符合(改號前)銀行歸戶統編(S22027169A)顧客&gt;]</t>
  </si>
  <si>
    <t>29-12月-21 09.27.41.279000000 上午</t>
  </si>
  <si>
    <t>已通知CIP team</t>
    <phoneticPr fontId="1" type="noConversion"/>
  </si>
  <si>
    <t>1640776721018384-3770678-03-01</t>
  </si>
  <si>
    <t>發送異動通知電文給CIP回傳錯誤碼:UP0090_00_V201,錯誤碼訊息:必要性檢核錯誤,錯誤訊息:[DEL00000000000001222 顧客 TS0116_00 已刪除，但全行未刪除，無法進行異動建檔]</t>
  </si>
  <si>
    <t>29-12月-21 11.18.41.119000000 上午</t>
  </si>
  <si>
    <t>1640776720800490-3770657-23-01</t>
  </si>
  <si>
    <t>1640776720842161-3770657-75-01</t>
  </si>
  <si>
    <t>TS0116_00_20211229111840_54131</t>
  </si>
  <si>
    <t>Q220209265</t>
  </si>
  <si>
    <t>{"requestModel":{"header":{"msgNo":"TS0116_00_20211229111840_54131","txnCode":"A101011","txnTime":"2021-12-29 11:18:40","senderCode":"TS0116_00","receiverCode":"UP0090_00","operatorCode":"93226","unitCode":"0509"},"requestBody":{"funcId":"01","criteria":{"circiKey":"Q220209265","propertyTypeCode":"0","partyCertNo":"Q220209265","partyCertDate":"1961-11-21"},"dataSet":[{"creationDptCode":"0509","customerName":"蔡佩蓁","selfBankSpecialServiceFlag":"00000","foreignExchangeRoleCode":"03","grownUpGuardianshipCode":"0","industryPropsTypeCode":"02","industryTypeCode":"17","performanceDptCode":"0509","txnPhone":"0918461296","nationalityCode":"0","refuseLoanReasonCode":"0","regCountryCode":"TW","incomeTaxTypeCode":"1","genderCode":"F","stopUseCustomerDataFlag":" ","companyTelExtension":null,"companyTel":"052361706","contactAddrPostalCode":"600","contactAddr":"西區福民里１５鄰溫州一街２７號","contactAddrAdminArea":"嘉義市","contactAddrLocality":"嘉義市","contactTel":"052361706","dgbasIndustryCode":"061400","ncbIndustryCode":"060000","contactPhone":"0918461296","email":"WILLIAMWEASLEY1989@GMAIL.COM","residenceAddrLocality":"嘉義市","residenceAddr":"西區福民里１５鄰溫州一街２７號","residenceAddrPostalCode":"600","residenceAddrAdminArea":"嘉義市","serveCompanyCertNo":"40827169","serveCompanyName":"嘉義市私立道禾文理補習班","jobTitle":"班主任","contactAddrCountryCode":"TW","customerBirthday":"1961-11-21","residenceAddrCountryCode":"TW"}],"option":{"isReplyOverWrite":false,"isRemoval":false,"isCustConfirmation":true,"isRelationRemoval":false}}},"resultCode":"UP0090_00_V201","resultDescription":"必要性檢核錯誤","resultBody":null,"errorMessages":["DEL00000000000001222 顧客 TS0116_00 已刪除，但全行未刪除，無法進行異動建檔"]}</t>
  </si>
  <si>
    <t>NA</t>
    <phoneticPr fontId="1" type="noConversion"/>
  </si>
  <si>
    <t>Y</t>
    <phoneticPr fontId="1" type="noConversion"/>
  </si>
  <si>
    <t>發送ID改號電文時, ESIP無回應!!!!</t>
  </si>
  <si>
    <t>30-12月-21 09.29.01.086000000 上午</t>
  </si>
  <si>
    <t>TS0116_00_20211230092830_54721</t>
    <phoneticPr fontId="1" type="noConversion"/>
  </si>
  <si>
    <t>S22027169A</t>
    <phoneticPr fontId="1" type="noConversion"/>
  </si>
  <si>
    <t>EM11009971</t>
    <phoneticPr fontId="1" type="noConversion"/>
  </si>
  <si>
    <t>1640856510798978-3954865-94-02</t>
    <phoneticPr fontId="1" type="noConversion"/>
  </si>
  <si>
    <t>SC2021123000110</t>
    <phoneticPr fontId="1" type="noConversion"/>
  </si>
  <si>
    <t>DONE</t>
    <phoneticPr fontId="1" type="noConversion"/>
  </si>
  <si>
    <t>done</t>
    <phoneticPr fontId="1" type="noConversion"/>
  </si>
  <si>
    <t>mail</t>
    <phoneticPr fontId="1" type="noConversion"/>
  </si>
  <si>
    <t>顧客CIFX已刪除全行未刪除，待CIP重新歸戶後重送同步</t>
    <phoneticPr fontId="1" type="noConversion"/>
  </si>
  <si>
    <t>done</t>
    <phoneticPr fontId="1" type="noConversion"/>
  </si>
  <si>
    <t>A改本號B改A清除重號註記</t>
    <phoneticPr fontId="1" type="noConversion"/>
  </si>
  <si>
    <t>SC2022010500091</t>
    <phoneticPr fontId="1" type="noConversion"/>
  </si>
  <si>
    <t>done</t>
    <phoneticPr fontId="1" type="noConversion"/>
  </si>
  <si>
    <t>done</t>
    <phoneticPr fontId="1" type="noConversion"/>
  </si>
  <si>
    <t>EM11009920</t>
  </si>
  <si>
    <t>done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</si>
  <si>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funcId=01, custName=謝元致, companyEstablishDate=null, circiKey=S122319031, creditCardKey=null, certNo=S122319031, certDate=Wed Aug 27 00:00:00 GMT+08:00 1975,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goldenRecordItemContent=0370],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goldenRecordItemContent=謝元致],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goldenRecordItemContent=0370],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goldenRecordItemContent=0930915500],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goldenRecordItemContent=HSIEH YUAN CHIH],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goldenRecordItemContent=0286853367],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goldenRecordItemContent=7501],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goldenRecordItemContent=0221736699],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goldenRecordItemContent=0286853367],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goldenRecordItemContent=0930915500],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goldenRecordItemContent=hohopa01@gmail.com],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goldenRecordItemContent=元大商業銀行],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goldenRecordItemContent=1975-08-27],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[custId=7638270, custType=P, certTypeCode=00, partyKind=P, oldRestart=false, customerTag=CustomerTag [custId=7638270, custType=P, removalPredicate=null, removalSystemCode=null, refToCustId=0, refDatetime=null, disabledDatetime=null, identityCertTypeCode=00, disabled=null, disabledSystemCode=null], idChangeState=null, creditCardKey=S122319031, circiKey=null, birthDay=1975-08-27 00:00:00.0]；ServiceInterchange:ServiceInterchange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Exception : ]</t>
  </si>
  <si>
    <t>10-1月 -22 09.52.50.186000000 上午</t>
  </si>
  <si>
    <t>1641808370091062-6012170-77-02</t>
    <phoneticPr fontId="1" type="noConversion"/>
  </si>
  <si>
    <t>TS0116_00_20220110095248_25372</t>
  </si>
  <si>
    <t>{"requestModel":{"header":{"msgNo":"TS0116_00_20220110095248_25372","txnCode":"digiAccOpening","txnTime":"2022-01-10 09:52:47","senderCode":"TS0116_00","receiverCode":"UP0090_00","operatorCode":"TS0116_00","unitCode":"0370"},"requestBody":{"funcId":"01","criteria":{"circiKey":"S122319031","propertyTypeCode":"0","partyCertNo":"S122319031","partyCertDate":"1975-08-27"},"dataSet":[{"creationDptCode":"0370","serveCompanyCertNo":null,"partyEnglishName":"HSIEH YUAN CHIH","jobTitle":"一般及其他職務","grownUpGuardianshipCode":"0","performanceDptCode":"0370","residenceAddrAdminArea":"樹林區","contactTel":"0286853367","industryPropsTypeCode":"02","nationalityCode":"0","companyTelExtension":"7501","contactAddr":"大同里１３鄰中華路１３２之４號十三樓","customerKycTypeCode":[],"customerBirthday":"1975-08-27","incomeTaxTypeCode":"1","industryTypeCode":"08","email":"hohopa01@gmail.com","selfBankSpecialServiceFlag":"00000","regCountryCode":"TW","dgbasIndustryCode":"061700","circiKey":"S122319031","txnPhone":"0930915500","residenceAddrLocality":"新北市","companyTel":"0221736699","refuseLoanReasonCode":"0","contactAddrPostalCode":"238","contactAddrCountryCode":"TW","propertyTypeCode":"0","contactAddrAdminArea":"樹林區","customerName":"謝元致","residenceTel":"0286853367","genderCode":"M","personCertNo":"S122319031","contactAddrLocality":"新北市","serveCompanyName":"元大商業銀行","ncbIndustryCode":"060000","contactPhone":"0930915500","residenceAddrCountryCode":"TW","residenceAddr":"大同里１３鄰中華路１３２之４號十三樓","residenceAddrPostalCode":"238"}]}},"resultCode":"UP0090_00_E301","resultDescription":"服務執行期錯誤","resultBody":null,"errorMessages":["顧客識別寫入CI發生錯誤。ChangeRequest:ChangeRequest [serviceInterchange=ServiceInterchange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funcId=01, custName=謝元致, companyEstablishDate=null, circiKey=S122319031, creditCardKey=null, certNo=S122319031, certDate=Wed Aug 27 00:00:00 GMT+08:00 1975,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goldenRecordItemContent=0370],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goldenRecordItemContent=謝元致],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goldenRecordItemContent=0370],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goldenRecordItemContent=0930915500],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goldenRecordItemContent=HSIEH YUAN CHIH],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goldenRecordItemContent=0286853367],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goldenRecordItemContent=7501],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goldenRecordItemContent=0221736699],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goldenRecordItemContent=0286853367],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goldenRecordItemContent=0930915500],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goldenRecordItemContent=hohopa01@gmail.com],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goldenRecordItemContent=元大商業銀行],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goldenRecordItemContent=1975-08-27],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[custId=7638270, custType=P, certTypeCode=00, partyKind=P, oldRestart=false, customerTag=CustomerTag [custId=7638270, custType=P, removalPredicate=null, removalSystemCode=null, refToCustId=0, refDatetime=null, disabledDatetime=null, identityCertTypeCode=00, disabled=null, disabledSystemCode=null], idChangeState=null, creditCardKey=S122319031, circiKey=null, birthDay=1975-08-27 00:00:00.0]；ServiceInterchange:ServiceInterchange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Exception : "]}</t>
  </si>
  <si>
    <t>S122319031</t>
    <phoneticPr fontId="1" type="noConversion"/>
  </si>
  <si>
    <t>重覆發送CIP同步電文</t>
    <phoneticPr fontId="1" type="noConversion"/>
  </si>
  <si>
    <t>1641808367859946-6017018-63-01</t>
    <phoneticPr fontId="1" type="noConversion"/>
  </si>
  <si>
    <t>11-1月 -22 11.20.09.330000000 上午</t>
  </si>
  <si>
    <t>TS0116_00_20220111111959_43772</t>
  </si>
  <si>
    <t>updtEmail</t>
  </si>
  <si>
    <t>1641808367830730-6017018-14-01</t>
    <phoneticPr fontId="1" type="noConversion"/>
  </si>
  <si>
    <t>1641900009224683-6221698-33-01</t>
    <phoneticPr fontId="1" type="noConversion"/>
  </si>
  <si>
    <t>1640856510783131-3954865-88-02</t>
    <phoneticPr fontId="1" type="noConversion"/>
  </si>
  <si>
    <t>1640856540989938-3950226-63-01</t>
    <phoneticPr fontId="1" type="noConversion"/>
  </si>
  <si>
    <t>F228191913</t>
    <phoneticPr fontId="1" type="noConversion"/>
  </si>
  <si>
    <t>1641899999064661-6221664-45-01</t>
    <phoneticPr fontId="1" type="noConversion"/>
  </si>
  <si>
    <t>1641917053160597-6263715-06-02</t>
  </si>
  <si>
    <t>發送ID改號電文給CIP回傳錯誤碼:UP0090_00_R101</t>
  </si>
  <si>
    <t>錯誤碼訊息:存在驗證錯誤</t>
  </si>
  <si>
    <t>11-1月 -22 04.04.13.264000000 下午</t>
  </si>
  <si>
    <t>11-1月 -22 04.01.12.575000000 下午</t>
  </si>
  <si>
    <t>11-1月 -22 02.15.15.408000000 下午</t>
  </si>
  <si>
    <t>1641917053160597-6263715-06-02</t>
    <phoneticPr fontId="1" type="noConversion"/>
  </si>
  <si>
    <t>1641917052787331-6252638-70-02</t>
  </si>
  <si>
    <t>1641917052793857-6252638-75-02</t>
  </si>
  <si>
    <t>TS0116_00_20220111160412_65321</t>
  </si>
  <si>
    <t>1641916872450239-6263467-35-02</t>
    <phoneticPr fontId="1" type="noConversion"/>
  </si>
  <si>
    <t>1641916872147410-6252432-99-02</t>
  </si>
  <si>
    <t>1641916872151004-6252432-05-02</t>
  </si>
  <si>
    <t>TS0116_00_20220111160112_20662</t>
  </si>
  <si>
    <t>1641910515011494-6244876-87-02</t>
  </si>
  <si>
    <t>1641910515016619-6244876-92-02</t>
  </si>
  <si>
    <t>TS0116_00_20220111141515_68121</t>
  </si>
  <si>
    <t>{"requestModel":{"header":{"msgNo":"TS0116_00_20220111160412_65321","txnCode":"A149022","txnTime":"2022-01-11 16:04:12","senderCode":"TS0116_00","receiverCode":"UP0090_00","operatorCode":"18591","unitCode":"0015","authorizerCode":"90129"},"requestBody":{"funcId":"04","criteria":{"exCirciKey":"KC30055882"},"dataSet":[{"circiKey":"J800080181","partyCertNo":"J800080181","partyCertDate":"1986-01-09"}]}},"resultCode":"UP0090_00_R101","resultDescription":"存在驗證錯誤","resultBody":null,"errorMessages":["檢查有誤，顧客曾經執行過ID改號，將交由資料管家處理"]}</t>
  </si>
  <si>
    <t>{"requestModel":{"header":{"msgNo":"TS0116_00_20220111160112_20662","txnCode":"A149022","txnTime":"2022-01-11 16:01:12","senderCode":"TS0116_00","receiverCode":"UP0090_00","operatorCode":"18591","unitCode":"0015","authorizerCode":"90129"},"requestBody":{"funcId":"04","criteria":{"exCirciKey":"JD30054073"},"dataSet":[{"circiKey":"J900064901","partyCertNo":"J900064901","partyCertDate":"1990-01-11"}]}},"resultCode":"UP0090_00_R101","resultDescription":"存在驗證錯誤","resultBody":null,"errorMessages":["檢查有誤，顧客曾經執行過ID改號，將交由資料管家處理"]}</t>
  </si>
  <si>
    <t>1641910515311286-6253733-08-01</t>
    <phoneticPr fontId="1" type="noConversion"/>
  </si>
  <si>
    <t>{"requestModel":{"header":{"msgNo":"TS0116_00_20220111141515_68121","txnCode":"A149022","txnTime":"2022-01-11 14:15:14","senderCode":"TS0116_00","receiverCode":"UP0090_00","operatorCode":"18591","unitCode":"0015","authorizerCode":"90129"},"requestBody":{"funcId":"04","criteria":{"exCirciKey":"JD30193913"},"dataSet":[{"circiKey":"J900108757","partyCertNo":"J900108757","partyCertDate":"1988-08-01"}]}},"resultCode":"UP0090_00_R101","resultDescription":"存在驗證錯誤","resultBody":null,"errorMessages":["檢查有誤，顧客曾經執行過ID改號，將交由資料管家處理"]}</t>
  </si>
  <si>
    <t>EM2022011100019</t>
    <phoneticPr fontId="1" type="noConversion"/>
  </si>
  <si>
    <t>J800080181</t>
    <phoneticPr fontId="1" type="noConversion"/>
  </si>
  <si>
    <t>KC30055882 -&gt; &gt;J800080181</t>
    <phoneticPr fontId="1" type="noConversion"/>
  </si>
  <si>
    <t>J900064901</t>
    <phoneticPr fontId="1" type="noConversion"/>
  </si>
  <si>
    <t>JD30054073 -&gt; J900064901</t>
    <phoneticPr fontId="1" type="noConversion"/>
  </si>
  <si>
    <t>J900108757</t>
    <phoneticPr fontId="1" type="noConversion"/>
  </si>
  <si>
    <t>JD30193913 -&gt; J900108757</t>
    <phoneticPr fontId="1" type="noConversion"/>
  </si>
  <si>
    <t>SC2022011000084</t>
    <phoneticPr fontId="1" type="noConversion"/>
  </si>
  <si>
    <t>done</t>
    <phoneticPr fontId="1" type="noConversion"/>
  </si>
  <si>
    <t>done</t>
    <phoneticPr fontId="1" type="noConversion"/>
  </si>
  <si>
    <t>EW2021120200005</t>
    <phoneticPr fontId="1" type="noConversion"/>
  </si>
  <si>
    <t>done</t>
    <phoneticPr fontId="1" type="noConversion"/>
  </si>
  <si>
    <t>11-1月 -22 04.59.20.257000000 下午</t>
  </si>
  <si>
    <t>1641920359970831-6274925-19-01</t>
    <phoneticPr fontId="1" type="noConversion"/>
  </si>
  <si>
    <t>1641920359776125-6267621-95-02</t>
  </si>
  <si>
    <t>TS0116_00_20220111165919_24311</t>
  </si>
  <si>
    <t>{"requestModel":{"header":{"msgNo":"TS0116_00_20220111165919_24311","txnCode":"createOrUpdateCustomerForNBS","txnTime":"2022-01-11 16:59:19","senderCode":"TS0116_00","receiverCode":"UP0090_00","operatorCode":"15191","unitCode":"0347","authorizerCode":"02030"},"requestBody":{"funcId":"01","criteria":{"circiKey":"T22197979A","propertyTypeCode":"0","partyCertNo":"T221979796","partyCertDate":"2022-01-10"},"dataSet":[{"industryTypeCode":"08","contactPhone":"0933305714","email":"nsching@gmail.com","dgbasIndustryCode":"0615I0","ncbIndustryCode":"060000","residenceAddrLocality":"高雄市","residenceAddr":"福山里３２鄰大中二路４３０號４樓之１","residenceAddrPostalCode":"813","residenceAddrAdminArea":"左營區","customerBirthday":"2022-01-10","residenceAddrCountryCode":"TW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</si>
  <si>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createOrUpdateCustomerForNBS</t>
    <phoneticPr fontId="1" type="noConversion"/>
  </si>
  <si>
    <t>12-1月 -22 09.47.53.962000000 上午</t>
  </si>
  <si>
    <t>1641980873856894-6403966-17-02</t>
    <phoneticPr fontId="1" type="noConversion"/>
  </si>
  <si>
    <t>1641980843644558-6403966-08-02</t>
  </si>
  <si>
    <t>1641980843497435-6401887-88-01</t>
    <phoneticPr fontId="1" type="noConversion"/>
  </si>
  <si>
    <t>C121317601</t>
    <phoneticPr fontId="1" type="noConversion"/>
  </si>
  <si>
    <t>TS0116_00_20220112094723_18511</t>
    <phoneticPr fontId="1" type="noConversion"/>
  </si>
  <si>
    <t>EM2022011200011</t>
    <phoneticPr fontId="1" type="noConversion"/>
  </si>
  <si>
    <t xml:space="preserve">本案根據需求速報單 RE11028984進行斷開聯結，
所以導致目前CIP不存在A檔資料，因次會發生這個錯誤!!
相關作業情況我們再跟BA確認
</t>
    <phoneticPr fontId="1" type="noConversion"/>
  </si>
  <si>
    <t>done</t>
    <phoneticPr fontId="1" type="noConversion"/>
  </si>
  <si>
    <t>done</t>
    <phoneticPr fontId="1" type="noConversion"/>
  </si>
  <si>
    <t>EM2022011100016</t>
    <phoneticPr fontId="1" type="noConversion"/>
  </si>
  <si>
    <t>SC2022011100080</t>
    <phoneticPr fontId="1" type="noConversion"/>
  </si>
  <si>
    <t>確認 CIP有收到電文，但是回CIFX錯誤，待cip查詢問題
因CIP過久未回覆訊息導致30秒後CIFX回500 internal server error。
事件單已加會CIP查找問題。</t>
    <phoneticPr fontId="1" type="noConversion"/>
  </si>
  <si>
    <t>與CIP(基中)確認有收到同步電文，擬刪除同步失敗註記。
(有mail家華)</t>
    <phoneticPr fontId="1" type="noConversion"/>
  </si>
  <si>
    <t>1642072224517315-6616931-14-01</t>
  </si>
  <si>
    <t>13-1月 -22 11.10.24.631000000 上午</t>
  </si>
  <si>
    <t>1641916872450239-6263467-35-02</t>
  </si>
  <si>
    <t>1642072224517315-6616931-14-01</t>
    <phoneticPr fontId="1" type="noConversion"/>
  </si>
  <si>
    <t>1642072224214364-6605099-86-02</t>
  </si>
  <si>
    <t>1642072224220425-6605099-91-02</t>
  </si>
  <si>
    <t>TS0116_00_20220113111024_49531</t>
  </si>
  <si>
    <t>{"requestModel":{"header":{"msgNo":"TS0116_00_20220113111024_49531","txnCode":"A149022","txnTime":"2022-01-13 11:10:24","senderCode":"TS0116_00","receiverCode":"UP0090_00","operatorCode":"91917","unitCode":"0015","authorizerCode":"90129"},"requestBody":{"funcId":"04","criteria":{"exCirciKey":"HC30392637"},"dataSet":[{"circiKey":"J800070014","partyCertNo":"J800070014","partyCertDate":"1995-06-04"}]}},"resultCode":"UP0090_00_R101","resultDescription":"存在驗證錯誤","resultBody":null,"errorMessages":["檢查有誤，顧客曾經執行過ID改號，將交由資料管家處理"]}</t>
  </si>
  <si>
    <t>J800070014</t>
    <phoneticPr fontId="1" type="noConversion"/>
  </si>
  <si>
    <t xml:space="preserve"> -&gt;HC30392637
Y-&gt;J800070014</t>
    <phoneticPr fontId="1" type="noConversion"/>
  </si>
  <si>
    <t>N</t>
    <phoneticPr fontId="1" type="noConversion"/>
  </si>
  <si>
    <t>這四筆無重複同步的必要，敬請清除CIFX同步CIP的紀錄，</t>
    <phoneticPr fontId="1" type="noConversion"/>
  </si>
  <si>
    <t>SC2022011300095</t>
    <phoneticPr fontId="1" type="noConversion"/>
  </si>
  <si>
    <t xml:space="preserve">
EM2022011300017
關聯
EM2022011100019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</si>
  <si>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</si>
  <si>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</si>
  <si>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</si>
  <si>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</si>
  <si>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</si>
  <si>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SC2022011200025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</si>
  <si>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funcId=01, custName=null, companyEstablishDate=null, circiKey=C221119474, creditCardKey=null, certNo=C221119474, certDate=Wed Jul 20 00:00:00 GMT+08:00 1983,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[custId=1686031, custType=P, certTypeCode=00, partyKind=P, oldRestart=false, customerTag=CustomerTag [custId=1686031, custType=P, removalPredicate=null, removalSystemCode=null, refToCustId=0, refDatetime=null, disabledDatetime=null, identityCertTypeCode=00, disabled=null, disabledSystemCode=null], idChangeState=null, creditCardKey=C221119474, circiKey=C221119474, birthDay=1983-07-20 00:00:00.0]；ServiceInterchange:ServiceInterchange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Exception : ]</t>
  </si>
  <si>
    <t>18-1月 -22 06.55.41.981000000 上午</t>
  </si>
  <si>
    <t>1642449661820885-7434919-44-02</t>
  </si>
  <si>
    <t>發送異動通知電文給CIP回傳錯誤碼:UP0090_00_V201,錯誤碼訊息:必要性檢核錯誤,錯誤訊息:[DEL00000000000001246 顧客 TS0116_00 已刪除，但全行未刪除，無法進行異動建檔]</t>
  </si>
  <si>
    <t>17-1月 -22 08.01.01.936000000 下午</t>
  </si>
  <si>
    <t>TS0116_00_20220118065541_53511</t>
  </si>
  <si>
    <t>{"requestModel":{"header":{"msgNo":"TS0116_00_20220118065541_53511","txnCode":"01","txnTime":"2022-01-18 06:55:40","senderCode":"TS0116_00","receiverCode":"UP0090_00","operatorCode":"ZZ","unitCode":"9004"},"requestBody":{"funcId":"01","criteria":{"circiKey":"C221119474","propertyTypeCode":"0","partyCertNo":"C221119474","partyCertDate":"1983-07-20"},"dataSet":[{"circiKey":"C221119474","personCertNo":"C221119474","propertyTypeCode":"0","customerKycTypeCode":["F6"],"customerBirthday":"1983-07-20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funcId=01, custName=null, companyEstablishDate=null, circiKey=C221119474, creditCardKey=null, certNo=C221119474, certDate=Wed Jul 20 00:00:00 GMT+08:00 1983,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[custId=1686031, custType=P, certTypeCode=00, partyKind=P, oldRestart=false, customerTag=CustomerTag [custId=1686031, custType=P, removalPredicate=null, removalSystemCode=null, refToCustId=0, refDatetime=null, disabledDatetime=null, identityCertTypeCode=00, disabled=null, disabledSystemCode=null], idChangeState=null, creditCardKey=C221119474, circiKey=C221119474, birthDay=1983-07-20 00:00:00.0]；ServiceInterchange:ServiceInterchange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Exception : "]}</t>
  </si>
  <si>
    <t>N</t>
    <phoneticPr fontId="1" type="noConversion"/>
  </si>
  <si>
    <t>N</t>
    <phoneticPr fontId="1" type="noConversion"/>
  </si>
  <si>
    <t>TS0116_00_20220117200101_54631</t>
  </si>
  <si>
    <t>{"requestModel":{"header":{"msgNo":"TS0116_00_20220117200101_54631","txnCode":"digiAccOpening","txnTime":"2022-01-17 20:01:01","senderCode":"TS0116_00","receiverCode":"UP0090_00","operatorCode":"TS0116_00","unitCode":"0705"},"requestBody":{"funcId":"01","criteria":{"circiKey":"E122159810","propertyTypeCode":"0","partyCertNo":"E122159810","partyCertDate":"1978-07-08"},"dataSet":[{"nationalityCode":"0","residenceTel":"075312584","refuseLoanReasonCode":"0","regCountryCode":"TW","incomeTaxTypeCode":"1","genderCode":"M","companyTelExtension":"9","companyTel":"075866999","contactAddrPostalCode":"813","contactAddr":"民族一路９６５號８樓","contactAddrAdminArea":"左營區","contactAddrLocality":"高雄市","contactTel":"075312584","dgbasIndustryCode":"061700","ncbIndustryCode":"060000","contactPhone":"0981585018","email":"aa0981585018@gmail.com","residenceAddrLocality":"高雄市","residenceAddr":"光化里１０鄰鼓山二路５９號","residenceAddrPostalCode":"804","residenceAddrAdminArea":"鼓山區","serveCompanyCertNo":null,"serveCompanyName":"明陽通訊工程","jobTitle":"一般及其他職務","customerKycTypeCode":[],"creationDptCode":"0705","customerName":"邱敏碩","selfBankSpecialServiceFlag":"00000","grownUpGuardianshipCode":"0","industryPropsTypeCode":"02","industryTypeCode":"12","performanceDptCode":"0705","txnPhone":"0981585018","contactAddrCountryCode":"TW","customerBirthday":"1978-07-08","residenceAddrCountryCode":"TW"}]}},"resultCode":"UP0090_00_V201","resultDescription":"必要性檢核錯誤","resultBody":null,"errorMessages":["DEL00000000000001246 顧客 TS0116_00 已刪除，但全行未刪除，無法進行異動建檔"]}</t>
  </si>
  <si>
    <t>Y</t>
    <phoneticPr fontId="1" type="noConversion"/>
  </si>
  <si>
    <t>發送異動通知電文給CIP回傳錯誤碼:UP0090_00_V201,錯誤碼訊息:必要性檢核錯誤,錯誤訊息:[DEL00000000000001246 顧客 TS0116_00 已刪除，但全行未刪除，無法進行異動建檔]</t>
    <phoneticPr fontId="1" type="noConversion"/>
  </si>
  <si>
    <t>C221119474</t>
    <phoneticPr fontId="1" type="noConversion"/>
  </si>
  <si>
    <t>1642488940063588-7517809-13-02</t>
    <phoneticPr fontId="1" type="noConversion"/>
  </si>
  <si>
    <t>清除單筆同步失敗註記(SENT_TIMESTAMP有值)</t>
    <phoneticPr fontId="1" type="noConversion"/>
  </si>
  <si>
    <t>1642488941832801-7517831-13-02</t>
    <phoneticPr fontId="1" type="noConversion"/>
  </si>
  <si>
    <t>1642488940824783-7517876-59-02</t>
    <phoneticPr fontId="1" type="noConversion"/>
  </si>
  <si>
    <t>重覆發送同步電文至cip，已確認第1筆成功，第2筆失敗，擬清除第2筆同步失敗註記。</t>
    <phoneticPr fontId="1" type="noConversion"/>
  </si>
  <si>
    <t>SC2022011800010</t>
    <phoneticPr fontId="1" type="noConversion"/>
  </si>
  <si>
    <t>1642513434435887-7569927-93-01</t>
  </si>
  <si>
    <t>發送異動通知電文給CIP回傳錯誤碼:UP0090_00_V201,錯誤碼訊息:必要性檢核錯誤,錯誤訊息:[DEL00000000000001249 顧客 TS0116_00 已刪除，但全行未刪除，無法進行異動建檔]</t>
  </si>
  <si>
    <t>18-1月 -22 01.43.54.479000000 下午</t>
  </si>
  <si>
    <t>1642513434435887-7569927-93-01</t>
    <phoneticPr fontId="1" type="noConversion"/>
  </si>
  <si>
    <t>TS0116_00_20220118134354_14531</t>
  </si>
  <si>
    <t>{"requestModel":{"header":{"msgNo":"TS0116_00_20220118134354_14531","txnCode":"A101011","txnTime":"2022-01-18 13:43:54","senderCode":"TS0116_00","receiverCode":"UP0090_00","operatorCode":"10094","unitCode":"1355"},"requestBody":{"funcId":"01","criteria":{"circiKey":"L223984743","propertyTypeCode":"0","partyCertNo":"L223984743","partyCertDate":"1989-05-20"},"dataSet":[{"creationDptCode":"1355","customerName":"楊宛諠","selfBankSpecialServiceFlag":"00000","grownUpGuardianshipCode":"0","industryPropsTypeCode":"02","industryTypeCode":"02","performanceDptCode":"1355","txnPhone":"0980512939","nationalityCode":"0","refuseLoanReasonCode":"0","regCountryCode":"TW","incomeTaxTypeCode":"1","genderCode":"F","stopUseCustomerDataFlag":" ","companyTelExtension":null,"companyTel":"0424925298","contactAddrPostalCode":"411","contactAddr":"中興里４鄰永平路二段９８巷３４號","contactAddrAdminArea":"太平區","contactAddrLocality":"臺中市","contactTel":"0422772268","dgbasIndustryCode":"0615C0","ncbIndustryCode":"060000","contactPhone":"0980512939","email":"TV0980512939@GMAIL.COM","residenceAddrLocality":"臺中市","residenceAddr":"中興里４鄰永平路二段９８巷３４號","residenceAddrPostalCode":"411","residenceAddrAdminArea":"太平區","serveCompanyCertNo":"16877131","serveCompanyName":"韋僑科技股份有限公司","jobTitle":"技術員","contactAddrCountryCode":"TW","customerBirthday":"1989-05-20","residenceAddrCountryCode":"TW"}],"option":{"isReplyOverWrite":false,"isRemoval":false,"isCustConfirmation":true,"isRelationRemoval":false}}},"resultCode":"UP0090_00_V201","resultDescription":"必要性檢核錯誤","resultBody":null,"errorMessages":["DEL00000000000001249 顧客 TS0116_00 已刪除，但全行未刪除，無法進行異動建檔"]}</t>
  </si>
  <si>
    <t>L223984743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</si>
  <si>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</si>
  <si>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</si>
  <si>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</si>
  <si>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昱彥</t>
    <phoneticPr fontId="1" type="noConversion"/>
  </si>
  <si>
    <t>EM2022011800007</t>
    <phoneticPr fontId="1" type="noConversion"/>
  </si>
  <si>
    <t>重送1/18後CIFX的資料
待CIP處理完成重送</t>
    <phoneticPr fontId="1" type="noConversion"/>
  </si>
  <si>
    <t>1642586071102217-7730866-08-01</t>
  </si>
  <si>
    <t>19-1月 -22 09.54.31.202000000 上午</t>
  </si>
  <si>
    <t>1642585625501933-7735743-03-02</t>
  </si>
  <si>
    <t>19-1月 -22 09.47.05.619000000 上午</t>
  </si>
  <si>
    <t>1642488941832801-7517831-13-02</t>
  </si>
  <si>
    <t>1642586071102217-7730866-08-01</t>
    <phoneticPr fontId="1" type="noConversion"/>
  </si>
  <si>
    <t>1642586070774195-7730231-84-01</t>
  </si>
  <si>
    <t>1642586070776334-7730231-86-01</t>
  </si>
  <si>
    <t>TS0116_00_20220119095431_54162</t>
  </si>
  <si>
    <t>{"requestModel":{"header":{"msgNo":"TS0116_00_20220119095431_54162","txnCode":"A101012","txnTime":"2022-01-19 09:54:30","senderCode":"TS0116_00","receiverCode":"UP0090_00","operatorCode":"13204","unitCode":"0428"},"requestBody":{"funcId":"01","criteria":{"circiKey":"S800136309","propertyTypeCode":"0","partyCertNo":"S800136309","partyCertDate":"1998-07-24"},"dataSet":[{"otpServiceFlag":"1"}]}},"resultCode":"UP0090_00_V201","resultDescription":"必要性檢核錯誤","resultBody":null,"errorMessages":["CIP顧客識別取號:當系統為TS0116_00時顧客姓名不可為空值"]}</t>
  </si>
  <si>
    <t>N</t>
    <phoneticPr fontId="1" type="noConversion"/>
  </si>
  <si>
    <t>N</t>
    <phoneticPr fontId="1" type="noConversion"/>
  </si>
  <si>
    <t>1642585625501933-7735743-03-02</t>
    <phoneticPr fontId="1" type="noConversion"/>
  </si>
  <si>
    <t>1642585625157854-7728968-62-01</t>
  </si>
  <si>
    <t>1642585625162121-7728968-64-01</t>
  </si>
  <si>
    <t>TS0116_00_20220119094705_39011</t>
  </si>
  <si>
    <t>{"requestModel":{"header":{"msgNo":"TS0116_00_20220119094705_39011","txnCode":"A101012","txnTime":"2022-01-19 09:47:05","senderCode":"TS0116_00","receiverCode":"UP0090_00","operatorCode":"15191","unitCode":"0347"},"requestBody":{"funcId":"01","criteria":{"circiKey":"91470992","propertyTypeCode":"4","partyCertNo":"91470992","partyCertDate":"1992-05-17"},"dataSet":[{"otpServiceFlag":"1"}]}},"resultCode":"UP0090_00_V201","resultDescription":"必要性檢核錯誤","resultBody":null,"errorMessages":["CIP顧客識別取號:當系統為TS0116_00時顧客姓名不可為空值"]}</t>
  </si>
  <si>
    <t>1642587399783577-7732440-36-01</t>
  </si>
  <si>
    <t>19-1月 -22 10.16.39.888000000 上午</t>
  </si>
  <si>
    <t>1642587399783577-7732440-36-01</t>
    <phoneticPr fontId="1" type="noConversion"/>
  </si>
  <si>
    <t>1642587399570219-7737792-09-02</t>
  </si>
  <si>
    <t>1642587399628251-7737899-19-02</t>
  </si>
  <si>
    <t>TS0116_00_20220119101639_89362</t>
  </si>
  <si>
    <t>{"requestModel":{"header":{"msgNo":"TS0116_00_20220119101639_89362","txnCode":"updtEmail","txnTime":"2022-01-19 10:16:39","senderCode":"TS0116_00","receiverCode":"UP0090_00","operatorCode":"TS0116_00","unitCode":"9004"},"requestBody":{"funcId":"01","criteria":{"circiKey":"O800038539","propertyTypeCode":"0","partyCertNo":"O800038539","partyCertDate":"1999-08-30"},"dataSet":[{"email":"THANHCHUNG904@GMAIL.COM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</si>
  <si>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S800136309</t>
    <phoneticPr fontId="1" type="noConversion"/>
  </si>
  <si>
    <t>O800038539</t>
    <phoneticPr fontId="1" type="noConversion"/>
  </si>
  <si>
    <t>1642588890574834-7739682-46-02</t>
  </si>
  <si>
    <t>19-1月 -22 10.41.30.668000000 上午</t>
  </si>
  <si>
    <t>1642588890574834-7739682-46-02</t>
    <phoneticPr fontId="1" type="noConversion"/>
  </si>
  <si>
    <t>1642588890377811-7739556-21-02</t>
  </si>
  <si>
    <t>1642588890419610-7739555-26-02</t>
  </si>
  <si>
    <t>TS0116_00_20220119104130_30431</t>
  </si>
  <si>
    <t>{"requestModel":{"header":{"msgNo":"TS0116_00_20220119104130_30431","txnCode":"updtEmail","txnTime":"2022-01-19 10:41:30","senderCode":"TS0116_00","receiverCode":"UP0090_00","operatorCode":"TS0116_00","unitCode":"9004"},"requestBody":{"funcId":"01","criteria":{"circiKey":"53596628","propertyTypeCode":"2","partyCertNo":"53596628","partyCertDate":"1962-04-18"},"dataSet":[{"email":"AIS.KL007@GMAIL.COM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</si>
  <si>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19-1月 -22 03.08.19.146000000 下午</t>
  </si>
  <si>
    <t>19-1月 -22 01.53.20.034000000 下午</t>
  </si>
  <si>
    <t>19-1月 -22 01.30.28.377000000 下午</t>
  </si>
  <si>
    <t>19-1月 -22 12.45.42.079000000 下午</t>
  </si>
  <si>
    <t>19-1月 -22 11.20.55.331000000 上午</t>
  </si>
  <si>
    <t>19-1月 -22 11.17.06.077000000 上午</t>
  </si>
  <si>
    <t>19-1月 -22 11.16.58.665000000 上午</t>
  </si>
  <si>
    <t>1642589145715276-7744484-12-01</t>
  </si>
  <si>
    <t>19-1月 -22 10.45.45.818000000 上午</t>
  </si>
  <si>
    <t>1641980873856894-6403966-17-02</t>
  </si>
  <si>
    <t>1641920359970831-6274925-19-01</t>
  </si>
  <si>
    <t>1641910515311286-6253733-08-01</t>
  </si>
  <si>
    <t>1641900009224683-6221698-33-01</t>
  </si>
  <si>
    <t>1641808370091062-6012170-77-02</t>
  </si>
  <si>
    <t>1640856540989938-3950226-63-01</t>
  </si>
  <si>
    <t>1639474736388258-0910856-09-01</t>
  </si>
  <si>
    <t>1638968821099897-9805932-51-01</t>
  </si>
  <si>
    <t>1637687036535048-6994340-81-02</t>
  </si>
  <si>
    <t>17-11月-21 04.47.40.114000000 下午</t>
  </si>
  <si>
    <t>1636834779616924-5137440-16-02</t>
  </si>
  <si>
    <t>1642604899042317-7772539-93-01</t>
    <phoneticPr fontId="1" type="noConversion"/>
  </si>
  <si>
    <t>1642604898839092-7778158-68-02</t>
  </si>
  <si>
    <t>1642604898898038-7778164-81-02</t>
  </si>
  <si>
    <t>TS0116_00_20220119150818_96362</t>
  </si>
  <si>
    <t>{"requestModel":{"header":{"msgNo":"TS0116_00_20220119150818_96362","txnCode":"updtEmail","txnTime":"2022-01-19 15:08:18","senderCode":"TS0116_00","receiverCode":"UP0090_00","operatorCode":"TS0116_00","unitCode":"9004"},"requestBody":{"funcId":"01","criteria":{"circiKey":"A800145170","propertyTypeCode":"0","partyCertNo":"A800145170","partyCertDate":"1998-04-19"},"dataSet":[{"email":"DGPOV1998@GMAIL.COM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</si>
  <si>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1642600399927802-7767475-63-01</t>
    <phoneticPr fontId="1" type="noConversion"/>
  </si>
  <si>
    <t>1642600399339467-7762202-39-02</t>
  </si>
  <si>
    <t>1642600399345174-7762202-41-02</t>
  </si>
  <si>
    <t>TS0116_00_20220119135319_11062</t>
  </si>
  <si>
    <t>{"requestModel":{"header":{"msgNo":"TS0116_00_20220119135319_11062","txnCode":"A101012","txnTime":"2022-01-19 13:53:19","senderCode":"TS0116_00","receiverCode":"UP0090_00","operatorCode":"19869","unitCode":"1296"},"requestBody":{"funcId":"01","criteria":{"circiKey":"K223110789","propertyTypeCode":"0","partyCertNo":"K223110789","partyCertDate":"2002-08-06"},"dataSet":[{"otpServiceFlag":"1"}]}},"resultCode":"UP0090_00_V201","resultDescription":"必要性檢核錯誤","resultBody":null,"errorMessages":["CIP顧客識別取號:當系統為TS0116_00時顧客姓名不可為空值"]}</t>
  </si>
  <si>
    <t>1642599028276106-7765958-86-01</t>
    <phoneticPr fontId="1" type="noConversion"/>
  </si>
  <si>
    <t>1642599027914963-7764795-61-01</t>
  </si>
  <si>
    <t>1642599027918707-7764795-65-01</t>
  </si>
  <si>
    <t>TS0116_00_20220119133028_0631</t>
  </si>
  <si>
    <t>{"requestModel":{"header":{"msgNo":"TS0116_00_20220119133028_0631","txnCode":"A101012","txnTime":"2022-01-19 13:30:27","senderCode":"TS0116_00","receiverCode":"UP0090_00","operatorCode":"12095","unitCode":"0842"},"requestBody":{"funcId":"01","criteria":{"circiKey":"H800293525","propertyTypeCode":"0","partyCertNo":"H800293525","partyCertDate":"1994-05-23"},"dataSet":[{"otpServiceFlag":"1"}]}},"resultCode":"UP0090_00_V201","resultDescription":"必要性檢核錯誤","resultBody":null,"errorMessages":["CIP顧客識別取號:當系統為TS0116_00時顧客姓名不可為空值"]}</t>
  </si>
  <si>
    <t>1642596341974359-7762871-51-01</t>
    <phoneticPr fontId="1" type="noConversion"/>
  </si>
  <si>
    <t>1642596341737272-7758321-29-02</t>
  </si>
  <si>
    <t>1642596341825396-7758329-42-02</t>
  </si>
  <si>
    <t>TS0116_00_20220119124541_40762</t>
  </si>
  <si>
    <t>A121021</t>
  </si>
  <si>
    <t>{"requestModel":{"header":{"msgNo":"TS0116_00_20220119124541_40762","txnCode":"A121021","txnTime":"2022-01-19 12:45:41","senderCode":"TS0116_00","receiverCode":"UP0090_00","operatorCode":"93219","unitCode":"0222"},"requestBody":{"funcId":"01","criteria":{"circiKey":"L800238848","propertyTypeCode":"0","partyCertNo":"L800238848","partyCertDate":"1982-10-10"},"dataSet":[{"passportNo":"P7788551B","contactEnglishAddr":"NO.42,GONGYE 15TH RD.,DALI DIST.,","contactEnglishAddrAdminArea":"TAICHUNG CITY","residencePermitCertEndDate":"2022-06-20","partyEnglishName":"YAMBAO JOHN ARCHIEVAL ALCURAN","contactEnglishAddrCountryCode":"TW","residencePermitCertStartDate":"2021-12-06","foreignExchangeRoleCode":"04"}]}},"resultCode":"UP0090_00_V201","resultDescription":"必要性檢核錯誤","resultBody":null,"errorMessages":["CIP顧客識別取號:當系統為TS0116_00時顧客姓名不可為空值"]}</t>
  </si>
  <si>
    <t>1642591255221862-7747047-74-01</t>
    <phoneticPr fontId="1" type="noConversion"/>
  </si>
  <si>
    <t>1642591254936139-7742553-18-02</t>
  </si>
  <si>
    <t>1642591255011578-7742525-55-02</t>
  </si>
  <si>
    <t>TS0116_00_20220119112055_58162</t>
  </si>
  <si>
    <t>{"requestModel":{"header":{"msgNo":"TS0116_00_20220119112055_58162","txnCode":"A121021","txnTime":"2022-01-19 11:20:54","senderCode":"TS0116_00","receiverCode":"UP0090_00","operatorCode":"10431","unitCode":"0439"},"requestBody":{"funcId":"01","criteria":{"circiKey":"91249487","propertyTypeCode":"2","partyCertNo":"91249487","partyCertDate":"1990-02-20"},"dataSet":[{"contactEnglishAddr":"12 F., NO. 13, LN. 332, SEC. 2, ZHONGSHAN RD., ZHONGHE DIST","contactEnglishAddrAdminArea":"NEW TAIPEI CITY","contactEnglishAddrCountryCode":"TW"}]}},"resultCode":"UP0090_00_V201","resultDescription":"必要性檢核錯誤","resultBody":null,"errorMessages":["CIP顧客識別取號:當系統為TS0116_00時顧客姓名不可為空值"]}</t>
  </si>
  <si>
    <t>1642591025930348-7742525-74-02</t>
    <phoneticPr fontId="1" type="noConversion"/>
  </si>
  <si>
    <t>1642591025664579-7742311-45-02</t>
  </si>
  <si>
    <t>1642591025735458-7746572-59-01</t>
  </si>
  <si>
    <t>TS0116_00_20220119111705_53562</t>
  </si>
  <si>
    <t>{"requestModel":{"header":{"msgNo":"TS0116_00_20220119111705_53562","txnCode":"updtEmail","txnTime":"2022-01-19 11:17:05","senderCode":"TS0116_00","receiverCode":"UP0090_00","operatorCode":"TS0116_00","unitCode":"9004"},"requestBody":{"funcId":"01","criteria":{"circiKey":"91391110","propertyTypeCode":"3","partyCertNo":"91391110","partyCertDate":"1970-03-29"},"dataSet":[{"email":"TIENSYH@GMAIL.COM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</si>
  <si>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1642591018568672-7742525-47-02</t>
    <phoneticPr fontId="1" type="noConversion"/>
  </si>
  <si>
    <t>1642591018328066-7742525-22-02</t>
  </si>
  <si>
    <t>1642591018434529-7746561-32-01</t>
  </si>
  <si>
    <t>TS0116_00_20220119111658_53362</t>
  </si>
  <si>
    <t>{"requestModel":{"header":{"msgNo":"TS0116_00_20220119111658_53362","txnCode":"updtEmail","txnTime":"2022-01-19 11:16:58","senderCode":"TS0116_00","receiverCode":"UP0090_00","operatorCode":"TS0116_00","unitCode":"9004"},"requestBody":{"funcId":"01","criteria":{"circiKey":"90660360","propertyTypeCode":"2","partyCertNo":"90660360","partyCertDate":"1998-05-19"},"dataSet":[{"email":"YANIS_LI@FURUKE.COM"}],"option":{"isReplyOverWrite":false,"isRemoval":false,"isCustConfirmation":true,"isRelationRemoval":false}}},"resultCode":"UP0090_00_V201","resultDescription":"必要性檢核錯誤","resultBody":null,"errorMessages":["CIP顧客識別取號:當系統為TS0116_00時顧客姓名不可為空值"]}</t>
  </si>
  <si>
    <t>1642589145715276-7744484-12-01</t>
    <phoneticPr fontId="1" type="noConversion"/>
  </si>
  <si>
    <t>1642589145428132-7743066-93-01</t>
  </si>
  <si>
    <t>1642589145431619-7743066-95-01</t>
  </si>
  <si>
    <t>TS0116_00_20220119104545_18262</t>
  </si>
  <si>
    <t>{"requestModel":{"header":{"msgNo":"TS0116_00_20220119104545_18262","txnCode":"A101012","txnTime":"2022-01-19 10:45:45","senderCode":"TS0116_00","receiverCode":"UP0090_00","operatorCode":"93590","unitCode":"0772"},"requestBody":{"funcId":"01","criteria":{"circiKey":"24735333","propertyTypeCode":"2","partyCertNo":"24735333","partyCertDate":"1982-07-26"},"dataSet":[{"otpServiceFlag":"1"}]}},"resultCode":"UP0090_00_V201","resultDescription":"必要性檢核錯誤","resultBody":null,"errorMessages":["CIP顧客識別取號:當系統為TS0116_00時顧客姓名不可為空值"]}</t>
  </si>
  <si>
    <t>A800145170</t>
    <phoneticPr fontId="1" type="noConversion"/>
  </si>
  <si>
    <t>K223110789</t>
    <phoneticPr fontId="1" type="noConversion"/>
  </si>
  <si>
    <t>H800293525</t>
    <phoneticPr fontId="1" type="noConversion"/>
  </si>
  <si>
    <t>L800238848</t>
    <phoneticPr fontId="1" type="noConversion"/>
  </si>
  <si>
    <t>91249487</t>
    <phoneticPr fontId="1" type="noConversion"/>
  </si>
  <si>
    <t>91391110</t>
    <phoneticPr fontId="1" type="noConversion"/>
  </si>
  <si>
    <t>90660360</t>
    <phoneticPr fontId="1" type="noConversion"/>
  </si>
  <si>
    <t>EM2022011900017</t>
    <phoneticPr fontId="1" type="noConversion"/>
  </si>
  <si>
    <t>EM2022011900017</t>
    <phoneticPr fontId="1" type="noConversion"/>
  </si>
  <si>
    <t>CIP上版問題impact</t>
    <phoneticPr fontId="1" type="noConversion"/>
  </si>
  <si>
    <t>SC2022011900107</t>
    <phoneticPr fontId="1" type="noConversion"/>
  </si>
  <si>
    <t>1642614328109614-7797981-21-02</t>
  </si>
  <si>
    <t>1642614328140380-7797981-70-02</t>
  </si>
  <si>
    <t>TS0116_00_20220119174528_75311</t>
  </si>
  <si>
    <t>{"requestModel":{"header":{"msgNo":"TS0116_00_20220119174528_75311","txnCode":"digiAccOpening","txnTime":"2022-01-19 17:45:28","senderCode":"TS0116_00","receiverCode":"UP0090_00","operatorCode":"TS0116_00","unitCode":"1045"},"requestBody":{"funcId":"01","criteria":{"circiKey":"A121650823","propertyTypeCode":"0","partyCertNo":"A121650823","partyCertDate":"1975-05-14"},"dataSet":[{"creationDptCode":"1045","customerName":"吳冠德","selfBankSpecialServiceFlag":"00000","grownUpGuardianshipCode":"0","industryPropsTypeCode":"02","industryTypeCode":"15","performanceDptCode":"1045","txnPhone":"0987353922","nationalityCode":"0","residenceTel":"0286780223","refuseLoanReasonCode":"0","regCountryCode":"TW","incomeTaxTypeCode":"1","genderCode":"M","companyTelExtension":null,"companyTel":"86780223","contactAddrPostalCode":"239","contactAddr":"南鶯里１４鄰建國路１１７號十一樓","contactAddrAdminArea":"鶯歌區","contactAddrLocality":"新北市","contactTel":"0286780223","dgbasIndustryCode":"061700","ncbIndustryCode":"060000","contactPhone":"0987353922","email":"guande.wu@msa.hinet.net","residenceAddrLocality":"新北市","residenceAddr":"南鶯里１４鄰建國路１１７號十一樓","residenceAddrPostalCode":"239","residenceAddrAdminArea":"鶯歌區","serveCompanyCertNo":null,"serveCompanyName":"其他","jobTitle":"專業人員（具專業執","customerKycTypeCode":[],"contactAddrCountryCode":"TW","customerBirthday":"1975-05-14","residenceAddrCountryCode":"TW"}]}},"resultCode":"UP0090_00_V201","resultDescription":"必要性檢核錯誤","resultBody":null,"errorMessages":["DEL00000000000001251 顧客 TS0116_00 已刪除，但全行未刪除，無法進行異動建檔"]}</t>
  </si>
  <si>
    <t>發送異動通知電文給CIP回傳錯誤碼:UP0090_00_V201,錯誤碼訊息:必要性檢核錯誤,錯誤訊息:[DEL00000000000001251 顧客 TS0116_00 已刪除，但全行未刪除，無法進行異動建檔]</t>
  </si>
  <si>
    <t>19-1月 -22 05.45.28.626000000 下午</t>
  </si>
  <si>
    <t>請按F9</t>
    <phoneticPr fontId="1" type="noConversion"/>
  </si>
  <si>
    <t>1642513434140031-7569874-94-01</t>
    <phoneticPr fontId="1" type="noConversion"/>
  </si>
  <si>
    <t>1642513434183318-7569874-61-01</t>
    <phoneticPr fontId="1" type="noConversion"/>
  </si>
  <si>
    <t>done</t>
    <phoneticPr fontId="1" type="noConversion"/>
  </si>
  <si>
    <t>done</t>
    <phoneticPr fontId="1" type="noConversion"/>
  </si>
  <si>
    <t>24735333</t>
    <phoneticPr fontId="1" type="noConversion"/>
  </si>
  <si>
    <t>1642614328529235-7799556-04-02</t>
    <phoneticPr fontId="1" type="noConversion"/>
  </si>
  <si>
    <t>A121650823</t>
    <phoneticPr fontId="1" type="noConversion"/>
  </si>
  <si>
    <t>done</t>
    <phoneticPr fontId="1" type="noConversion"/>
  </si>
  <si>
    <t>EM2022011900017</t>
    <phoneticPr fontId="1" type="noConversion"/>
  </si>
  <si>
    <t>SC2022011900107</t>
    <phoneticPr fontId="1" type="noConversion"/>
  </si>
  <si>
    <t>T22197979A</t>
    <phoneticPr fontId="1" type="noConversion"/>
  </si>
  <si>
    <t>1641920359730453-6267621-76-02</t>
    <phoneticPr fontId="1" type="noConversion"/>
  </si>
  <si>
    <t>done</t>
    <phoneticPr fontId="1" type="noConversion"/>
  </si>
  <si>
    <t>done</t>
    <phoneticPr fontId="1" type="noConversion"/>
  </si>
  <si>
    <t>昱彥</t>
    <phoneticPr fontId="1" type="noConversion"/>
  </si>
  <si>
    <t>EM2022011800020
EM2022011900024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</si>
  <si>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</si>
  <si>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</si>
  <si>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</si>
  <si>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EM2022011700027</t>
    <phoneticPr fontId="1" type="noConversion"/>
  </si>
  <si>
    <t>done</t>
    <phoneticPr fontId="1" type="noConversion"/>
  </si>
  <si>
    <t>SC2022011800103</t>
    <phoneticPr fontId="1" type="noConversion"/>
  </si>
  <si>
    <t>基中通知已可以重送</t>
    <phoneticPr fontId="1" type="noConversion"/>
  </si>
  <si>
    <t>1642449661820885-7434919-44-02</t>
    <phoneticPr fontId="1" type="noConversion"/>
  </si>
  <si>
    <t>1642449661276748-7434041-55-02</t>
    <phoneticPr fontId="1" type="noConversion"/>
  </si>
  <si>
    <t>1642449661304372-7434041-05-02</t>
    <phoneticPr fontId="1" type="noConversion"/>
  </si>
  <si>
    <t>E122159810</t>
    <phoneticPr fontId="1" type="noConversion"/>
  </si>
  <si>
    <t>N</t>
    <phoneticPr fontId="1" type="noConversion"/>
  </si>
  <si>
    <t>Y</t>
    <phoneticPr fontId="1" type="noConversion"/>
  </si>
  <si>
    <t>歸戶未完全刪除</t>
    <phoneticPr fontId="1" type="noConversion"/>
  </si>
  <si>
    <t>EM2022011900024</t>
    <phoneticPr fontId="1" type="noConversion"/>
  </si>
  <si>
    <t>SC2022012100028</t>
    <phoneticPr fontId="1" type="noConversion"/>
  </si>
  <si>
    <t>21-1月 -22 02.57.01.879000000 下午</t>
  </si>
  <si>
    <t>1642777021771989-8165099-34-01</t>
    <phoneticPr fontId="1" type="noConversion"/>
  </si>
  <si>
    <t>F227799773</t>
    <phoneticPr fontId="1" type="noConversion"/>
  </si>
  <si>
    <t>N</t>
    <phoneticPr fontId="1" type="noConversion"/>
  </si>
  <si>
    <t>N</t>
    <phoneticPr fontId="1" type="noConversion"/>
  </si>
  <si>
    <t>TS0116_00_20220121145631_24331</t>
    <phoneticPr fontId="1" type="noConversion"/>
  </si>
  <si>
    <t>1642776991590434-8159010-51-02</t>
    <phoneticPr fontId="1" type="noConversion"/>
  </si>
  <si>
    <t>發送異動通知電文，未回傳resultCode!!,回傳代碼描述:,錯誤訊息:[]</t>
    <phoneticPr fontId="1" type="noConversion"/>
  </si>
  <si>
    <t>EM2022012100016</t>
    <phoneticPr fontId="1" type="noConversion"/>
  </si>
  <si>
    <t>1642776991629877-8159043-65-02</t>
    <phoneticPr fontId="1" type="noConversion"/>
  </si>
  <si>
    <t>SC2022012100076</t>
    <phoneticPr fontId="1" type="noConversion"/>
  </si>
  <si>
    <t>done</t>
    <phoneticPr fontId="1" type="noConversion"/>
  </si>
  <si>
    <t>done</t>
    <phoneticPr fontId="1" type="noConversion"/>
  </si>
  <si>
    <t>已確認CIP未收到電文，擬重送(已寄信家華)
家華回:port issue</t>
    <phoneticPr fontId="1" type="noConversion"/>
  </si>
  <si>
    <t>仁傑好,
此戶CIP未收到進線
謝謝
(有mail家華)
port issue</t>
    <phoneticPr fontId="1" type="noConversion"/>
  </si>
  <si>
    <t>SC2021110900098</t>
    <phoneticPr fontId="1" type="noConversion"/>
  </si>
  <si>
    <t>SY10924337</t>
    <phoneticPr fontId="1" type="noConversion"/>
  </si>
  <si>
    <t>1643366187959466-9467628-90-02</t>
  </si>
  <si>
    <t>28-1月 -22 10.36.28.081000000 上午</t>
  </si>
  <si>
    <t>錯誤訊息:[DEL00000000000001251 顧客 TS0116_00 已刪除，但全行未刪除，無法進行異動建檔]</t>
  </si>
  <si>
    <t>錯誤訊息:[CIP顧客識別取號:當系統為TS0116_00時顧客姓名不可為空值]</t>
  </si>
  <si>
    <t>1643366187959466-9467628-90-02</t>
    <phoneticPr fontId="1" type="noConversion"/>
  </si>
  <si>
    <t>K221719060</t>
    <phoneticPr fontId="1" type="noConversion"/>
  </si>
  <si>
    <t>1643366187667449-9466314-64-02</t>
    <phoneticPr fontId="1" type="noConversion"/>
  </si>
  <si>
    <t>1643366187663009-9466314-61-02</t>
    <phoneticPr fontId="1" type="noConversion"/>
  </si>
  <si>
    <t xml:space="preserve">500 Internal Server Error
</t>
    <phoneticPr fontId="1" type="noConversion"/>
  </si>
  <si>
    <t>EM2022012800013</t>
    <phoneticPr fontId="1" type="noConversion"/>
  </si>
  <si>
    <t>SC2022012800032</t>
    <phoneticPr fontId="1" type="noConversion"/>
  </si>
  <si>
    <t>TS0116_00_20220128103627_79662</t>
    <phoneticPr fontId="1" type="noConversion"/>
  </si>
  <si>
    <t>1644303374228579-1389526-81-02</t>
  </si>
  <si>
    <t>發送異動通知電文給CIP回傳錯誤碼:UP0090_00_E301,錯誤碼訊息:服務執行期錯誤,錯誤訊息:[顧客識別寫入CI發生錯誤。ChangeRequest:ChangeRequest [serviceInterchange=ServiceInterchange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funcId=01, custName=null, companyEstablishDate=null, circiKey=H123289892, creditCardKey=null, certNo=H123289892, certDate=Sat Oct 27 00:00:00 GMT+08:00 1984,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[custId=4013790, custType=P, certTypeCode=00, partyKind=P, oldRestart=false, customerTag=CustomerTag [custId=4013790, custType=P, removalPredicate=null, removalSystemCode=null, refToCustId=0, refDatetime=null, disabledDatetime=null, identityCertTypeCode=00, disabled=null, disabledSystemCode=null], idChangeState=null, creditCardKey=H123289892, circiKey=H123289892, birthDay=1984-10-27 00:00:00.0]；ServiceInterchange:ServiceInterchange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Exception : ]</t>
  </si>
  <si>
    <t>發送ID改號電文給CIP回傳錯誤碼:UP0090_00_R101,錯誤碼訊息:存在驗證錯誤,錯誤訊息:[ID改號作業-&gt;CIF改號作業-&gt;&lt;檢查有誤，查無符合(改號前)銀行歸戶統編(T22197979A)顧客&gt;]</t>
  </si>
  <si>
    <t>1644303374228579-1389526-81-02</t>
    <phoneticPr fontId="1" type="noConversion"/>
  </si>
  <si>
    <t>{"requestModel":{"header":{"msgNo":"TS0116_00_20220208065613_27811","txnCode":"01","txnTime":"2022-02-08 06:56:11","senderCode":"TS0116_00","receiverCode":"UP0090_00","operatorCode":"ZZ","unitCode":"9004"},"requestBody":{"funcId":"01","criteria":{"circiKey":"H123289892","propertyTypeCode":"0","partyCertNo":"H123289892","partyCertDate":"1984-10-27"},"dataSet":[{"circiKey":"H123289892","personCertNo":"H123289892","propertyTypeCode":"0","customerKycTypeCode":["F6"],"customerBirthday":"1984-10-27"}],"option":{"isReplyOverWrite":true,"isRemoval":false,"isCustConfirmation":false,"isRelationRemoval":false}}},"resultCode":"UP0090_00_E301","resultDescription":"服務執行期錯誤","resultBody":null,"errorMessages":["顧客識別寫入CI發生錯誤。ChangeRequest:ChangeRequest [serviceInterchange=ServiceInterchange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funcId=01, custName=null, companyEstablishDate=null, circiKey=H123289892, creditCardKey=null, certNo=H123289892, certDate=Sat Oct 27 00:00:00 GMT+08:00 1984,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[custId=4013790, custType=P, certTypeCode=00, partyKind=P, oldRestart=false, customerTag=CustomerTag [custId=4013790, custType=P, removalPredicate=null, removalSystemCode=null, refToCustId=0, refDatetime=null, disabledDatetime=null, identityCertTypeCode=00, disabled=null, disabledSystemCode=null], idChangeState=null, creditCardKey=H123289892, circiKey=H123289892, birthDay=1984-10-27 00:00:00.0]；ServiceInterchange:ServiceInterchange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Exception : "]}</t>
  </si>
  <si>
    <t>重覆發送issue，第1筆成功，第2筆失敗，擬清除CIFX同步CIP失敗註記</t>
    <phoneticPr fontId="1" type="noConversion"/>
  </si>
  <si>
    <t>EM2022020800007</t>
    <phoneticPr fontId="1" type="noConversion"/>
  </si>
  <si>
    <t>EM2022020700035</t>
    <phoneticPr fontId="1" type="noConversion"/>
  </si>
  <si>
    <t>1644258091132763-1280830-55-02</t>
    <phoneticPr fontId="1" type="noConversion"/>
  </si>
  <si>
    <t>1644258090659499-1279481-29-02</t>
  </si>
  <si>
    <t>1644258090691907-1279481-36-02</t>
  </si>
  <si>
    <t>{"requestModel":{"header":{"msgNo":"TS0116_00_20220207182131_98811","txnCode":"A149022","txnTime":"2022-02-07 18:21:30","senderCode":"TS0116_00","receiverCode":"UP0090_00","operatorCode":"18178","unitCode":"0015","authorizerCode":"01337"},"requestBody":{"funcId":"04","criteria":{"exCirciKey":"T22197979A"},"dataSet":[{"circiKey":"T221979796","partyCertNo":"T221979796","partyCertDate":"1972-12-16"}]}},"resultCode":"UP0090_00_R101","resultDescription":"存在驗證錯誤","resultBody":null,"errorMessages":["ID改號作業-&gt;CIF改號作業-&gt;&lt;檢查有誤，查無符合(改號前)銀行歸戶統編(T22197979A)顧客&gt;"]}</t>
  </si>
  <si>
    <t>T221979796</t>
    <phoneticPr fontId="1" type="noConversion"/>
  </si>
  <si>
    <t xml:space="preserve"> -&gt;T221979796
Y-&gt;T22197979B
 -&gt;T22197979A
Y-&gt;T221979796</t>
    <phoneticPr fontId="1" type="noConversion"/>
  </si>
  <si>
    <t>許昱彥</t>
    <phoneticPr fontId="1" type="noConversion"/>
  </si>
  <si>
    <t>1641899999020699-6221698-35-01</t>
    <phoneticPr fontId="1" type="noConversion"/>
  </si>
  <si>
    <t>09-2月 -22 11.15.13.352000000 上午</t>
  </si>
  <si>
    <t>08-2月 -22 06.56.14.334000000 上午</t>
  </si>
  <si>
    <t>1644405313123246-1601408-22-01</t>
    <phoneticPr fontId="1" type="noConversion"/>
  </si>
  <si>
    <t>1644405282899035-1601446-22-01</t>
  </si>
  <si>
    <t>M121413286</t>
  </si>
  <si>
    <t>通知CIP_TEAM</t>
    <phoneticPr fontId="1" type="noConversion"/>
  </si>
  <si>
    <t>CONNECTION TIMEOUT導致同步失敗，已確認CIP未收到此電文，擬重送CIFX同步CIP電文。</t>
    <phoneticPr fontId="1" type="noConversion"/>
  </si>
  <si>
    <t>EM2022020900012</t>
    <phoneticPr fontId="1" type="noConversion"/>
  </si>
  <si>
    <t>1644405283003032-1609628-82-02</t>
    <phoneticPr fontId="1" type="noConversion"/>
  </si>
  <si>
    <t>SC2022020900083</t>
    <phoneticPr fontId="1" type="noConversion"/>
  </si>
  <si>
    <t>SC2022020800050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</si>
  <si>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funcId=01, custName=null, companyEstablishDate=null, circiKey=H123289892, creditCardKey=null, certNo=H123289892, certDate=Sat Oct 27 00:00:00 GMT+08:00 1984,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[custId=4013790, custType=P, certTypeCode=00, partyKind=P, oldRestart=false, customerTag=CustomerTag [custId=4013790, custType=P, removalPredicate=null, removalSystemCode=null, refToCustId=0, refDatetime=null, disabledDatetime=null, identityCertTypeCode=00, disabled=null, disabledSystemCode=null], idChangeState=null, creditCardKey=H123289892, circiKey=H123289892, birthDay=1984-10-27 00:00:00.0]；ServiceInterchange:ServiceInterchange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Exception : ]</t>
    <phoneticPr fontId="1" type="noConversion"/>
  </si>
  <si>
    <t>1644303373262279-1379438-91-01</t>
    <phoneticPr fontId="1" type="noConversion"/>
  </si>
  <si>
    <t>1644303371224700-1379901-55-01</t>
    <phoneticPr fontId="1" type="noConversion"/>
  </si>
  <si>
    <t>H123289892</t>
    <phoneticPr fontId="1" type="noConversion"/>
  </si>
  <si>
    <t>done</t>
    <phoneticPr fontId="1" type="noConversion"/>
  </si>
  <si>
    <t>done</t>
    <phoneticPr fontId="1" type="noConversion"/>
  </si>
  <si>
    <t>SC2022011900107</t>
    <phoneticPr fontId="1" type="noConversion"/>
  </si>
  <si>
    <t>SC2022012000094</t>
    <phoneticPr fontId="1" type="noConversion"/>
  </si>
  <si>
    <t>顧客重號重新歸戶後重送</t>
    <phoneticPr fontId="1" type="noConversion"/>
  </si>
  <si>
    <t>已通知CIP team</t>
    <phoneticPr fontId="1" type="noConversion"/>
  </si>
  <si>
    <t xml:space="preserve">EM2022011100022
</t>
    <phoneticPr fontId="1" type="noConversion"/>
  </si>
  <si>
    <t>done</t>
    <phoneticPr fontId="1" type="noConversion"/>
  </si>
  <si>
    <t>done</t>
    <phoneticPr fontId="1" type="noConversion"/>
  </si>
  <si>
    <t>SC2022021000096</t>
    <phoneticPr fontId="1" type="noConversion"/>
  </si>
  <si>
    <t>1644576852408768-1995620-64-01</t>
  </si>
  <si>
    <t>TS0116_00_20220211105412_98462</t>
  </si>
  <si>
    <t>H227932118</t>
  </si>
  <si>
    <t>{"requestModel":{"header":{"msgNo":"TS0116_00_20220211105412_98462","txnCode":"A149022","txnTime":"2022-02-11 10:54:12","senderCode":"TS0116_00","receiverCode":"UP0090_00","operatorCode":"08742","unitCode":"0015","authorizerCode":"01337"},"requestBody":{"funcId":"04","criteria":{"exCirciKey":"H224165884"},"dataSet":[{"circiKey":"H227932118","partyCertNo":"H227932118","partyCertDate":"1992-04-10"}]}},"resultCode":"UP0090_00_R101","resultDescription":"存在驗證錯誤","resultBody":null,"errorMessages":["檢查有誤，顧客曾經執行過ID改號，將交由資料管家處理"]}</t>
  </si>
  <si>
    <t xml:space="preserve"> -&gt;H224165884 Y-&gt;H227932118</t>
    <phoneticPr fontId="1" type="noConversion"/>
  </si>
  <si>
    <t>N</t>
    <phoneticPr fontId="1" type="noConversion"/>
  </si>
  <si>
    <t>1644576852688172-1991188-98-02</t>
  </si>
  <si>
    <t>11-2月 -22 10.54.12.789000000 上午</t>
  </si>
  <si>
    <t>許昱彥</t>
    <phoneticPr fontId="1" type="noConversion"/>
  </si>
  <si>
    <t>因重複改號故清除失敗註記</t>
    <phoneticPr fontId="1" type="noConversion"/>
  </si>
  <si>
    <t>done</t>
    <phoneticPr fontId="1" type="noConversion"/>
  </si>
  <si>
    <t>SC2022020800050</t>
    <phoneticPr fontId="1" type="noConversion"/>
  </si>
  <si>
    <t>EM2022020800007</t>
    <phoneticPr fontId="1" type="noConversion"/>
  </si>
  <si>
    <t>發送異動通知電文給CIP回傳錯誤碼:UP0090_00_E301,錯誤碼訊息:服務執行期錯誤,錯誤訊息:[顧客識別寫入CI發生錯誤。ChangeRequest:ChangeRequest [serviceInterchange=ServiceInterchange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funcId=01, custName=張皓明, companyEstablishDate=null, circiKey=H124676700, creditCardKey=null, certNo=H124676700, certDate=Mon Sep 26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goldenRecordItemContent=張皓明],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goldenRecordItemContent=0988082434],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goldenRecordItemContent=CHANG,HAO MING],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goldenRecordItemContent=0988082434],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goldenRecordItemContent=0222981823],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goldenRecordItemContent=0988082434],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goldenRecordItemContent=0988082434],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goldenRecordItemContent=micky09261994@gmail.com],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goldenRecordItemContent=啟新生物科技有限公司],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[custId=9896887, custType=P, certTypeCode=00, partyKind=P, oldRestart=false, customerTag=null, idChangeState=null, creditCardKey=null, circiKey=null, birthDay=Mon Sep 26 00:00:00 GMT+08:00 1994]；ServiceInterchange:ServiceInterchange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Exception : ]</t>
  </si>
  <si>
    <t>14-2月 -22 10.39.53.578000000 上午</t>
  </si>
  <si>
    <t>11-2月 -22 05.46.55.122000000 下午</t>
  </si>
  <si>
    <t>1644835193481637-2545792-97-02</t>
    <phoneticPr fontId="1" type="noConversion"/>
  </si>
  <si>
    <t>1644835163327946-2553578-30-01</t>
  </si>
  <si>
    <t>E125706713</t>
  </si>
  <si>
    <t>1644601611802134-2054530-85-01</t>
    <phoneticPr fontId="1" type="noConversion"/>
  </si>
  <si>
    <t>H124676700</t>
  </si>
  <si>
    <t>{"requestModel":{"header":{"msgNo":"TS0116_00_20220211174650_26662","txnCode":"digiAccOpening","txnTime":"2022-02-11 17:46:50","senderCode":"TS0116_00","receiverCode":"UP0090_00","operatorCode":"TS0116_00","unitCode":"0325"},"requestBody":{"funcId":"01","criteria":{"circiKey":"H124676700","propertyTypeCode":"0","partyCertNo":"H124676700","partyCertDate":"1994-09-26"},"dataSet":[{"creationDptCode":"0325","serveCompanyCertNo":null,"partyEnglishName":"CHANG,HAO MING","jobTitle":"一般及其他職務","grownUpGuardianshipCode":"0","performanceDptCode":"0325","residenceAddrAdminArea":"蘆竹區","contactTel":"0988082434","industryPropsTypeCode":"02","nationalityCode":"0","companyTelExtension":null,"contactAddr":"錦興村２２鄰光復路１４６號四縷之５","customerKycTypeCode":[],"customerBirthday":"1994-09-26","incomeTaxTypeCode":"1","industryTypeCode":"02","email":"micky09261994@gmail.com","selfBankSpecialServiceFlag":"00000","regCountryCode":"TW","dgbasIndustryCode":"061700","circiKey":"H124676700","txnPhone":"0988082434","residenceAddrLocality":"桃園市","companyTel":"0222981823","refuseLoanReasonCode":"0","contactAddrPostalCode":"338","contactAddrCountryCode":"TW","propertyTypeCode":"0","contactAddrAdminArea":"蘆竹區","customerName":"張皓明","residenceTel":"0988082434","genderCode":"M","personCertNo":"H124676700","contactAddrLocality":"桃園市","serveCompanyName":"啟新生物科技有限公司","ncbIndustryCode":"060000","contactPhone":"0988082434","residenceAddrCountryCode":"TW","residenceAddr":"錦興村２２鄰光復路１４６號四縷之５","residenceAddrPostalCode":"338"}]}},"resultCode":"UP0090_00_E301","resultDescription":"服務執行期錯誤","resultBody":null,"errorMessages":["顧客識別寫入CI發生錯誤。ChangeRequest:ChangeRequest [serviceInterchange=ServiceInterchange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funcId=01, custName=張皓明, companyEstablishDate=null, circiKey=H124676700, creditCardKey=null, certNo=H124676700, certDate=Mon Sep 26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goldenRecordItemContent=張皓明],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goldenRecordItemContent=0988082434],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goldenRecordItemContent=CHANG,HAO MING],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goldenRecordItemContent=0988082434],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goldenRecordItemContent=0222981823],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goldenRecordItemContent=0988082434],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goldenRecordItemContent=0988082434],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goldenRecordItemContent=micky09261994@gmail.com],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goldenRecordItemContent=啟新生物科技有限公司],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[custId=9896887, custType=P, certTypeCode=00, partyKind=P, oldRestart=false, customerTag=null, idChangeState=null, creditCardKey=null, circiKey=null, birthDay=Mon Sep 26 00:00:00 GMT+08:00 1994]；ServiceInterchange:ServiceInterchange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Exception : "]}</t>
  </si>
  <si>
    <t>1644576852223513-1995620-48-01</t>
    <phoneticPr fontId="1" type="noConversion"/>
  </si>
  <si>
    <t>TS0116_00_20220214103923_72931</t>
    <phoneticPr fontId="1" type="noConversion"/>
  </si>
  <si>
    <t>TS0116_00_20220209111443_76631</t>
    <phoneticPr fontId="1" type="noConversion"/>
  </si>
  <si>
    <t>TS0116_00_20220207182131_98811</t>
    <phoneticPr fontId="1" type="noConversion"/>
  </si>
  <si>
    <t>TS0116_00_20220208065613_27811</t>
    <phoneticPr fontId="1" type="noConversion"/>
  </si>
  <si>
    <t>port issue，已確認CIP沒有收到電文，擬重新發送</t>
    <phoneticPr fontId="1" type="noConversion"/>
  </si>
  <si>
    <t>重覆發送，已確認CIP已收到第1筆</t>
    <phoneticPr fontId="1" type="noConversion"/>
  </si>
  <si>
    <t>1644601610238630-2049596-77-02</t>
    <phoneticPr fontId="1" type="noConversion"/>
  </si>
  <si>
    <t>EM2022021400013</t>
    <phoneticPr fontId="1" type="noConversion"/>
  </si>
  <si>
    <t>TS0116_00_20220211174650_26662</t>
    <phoneticPr fontId="1" type="noConversion"/>
  </si>
  <si>
    <t>1644835163354135-2553578-46-01</t>
    <phoneticPr fontId="1" type="noConversion"/>
  </si>
  <si>
    <t>SC2022021400043</t>
    <phoneticPr fontId="1" type="noConversion"/>
  </si>
  <si>
    <t>1644601610264949-2049596-29-02</t>
    <phoneticPr fontId="1" type="noConversion"/>
  </si>
  <si>
    <t>SC2022021400045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</si>
  <si>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</si>
  <si>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</si>
  <si>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</si>
  <si>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EM2022021400013</t>
    <phoneticPr fontId="1" type="noConversion"/>
  </si>
  <si>
    <t>1644847702162417-2578215-51-01</t>
  </si>
  <si>
    <t>14-2月 -22 02.08.22.262000000 下午</t>
  </si>
  <si>
    <t>1644847702162417-2578215-51-01</t>
    <phoneticPr fontId="1" type="noConversion"/>
  </si>
  <si>
    <t>1644847701824734-2570041-08-02</t>
  </si>
  <si>
    <t>1644847701849438-2570041-23-02</t>
  </si>
  <si>
    <t>TS0116_00_20220214140822_34711</t>
  </si>
  <si>
    <t>{"requestModel":{"header":{"msgNo":"TS0116_00_20220214140822_34711","txnCode":"createOrUpdateCustomerForNBS","txnTime":"2022-02-14 14:08:21","senderCode":"TS0116_00","receiverCode":"UP0090_00","operatorCode":"08934","unitCode":"0082","authorizerCode":"00257"},"requestBody":{"funcId":"01","criteria":{"circiKey":"E12131227A","propertyTypeCode":"0","partyCertNo":"E121312279","partyCertDate":"2022-02-14"},"dataSet":[{"contactPhone":"0928696866","dgbasIndustryCode":"061700","ncbIndustryCode":"060000","customerBirthday":"2022-02-14"}]}},"resultCode":"UP0090_00_V201","resultDescription":"必要性檢核錯誤","resultBody":null,"errorMessages":["CIP顧客識別取號:當系統為TS0116_00時顧客姓名不可為空值"]}</t>
  </si>
  <si>
    <t>E12131227A</t>
    <phoneticPr fontId="1" type="noConversion"/>
  </si>
  <si>
    <t>N</t>
    <phoneticPr fontId="1" type="noConversion"/>
  </si>
  <si>
    <t>N</t>
    <phoneticPr fontId="1" type="noConversion"/>
  </si>
  <si>
    <t>select uuid,oms_id,oms_msg,executing_timestamp from cifx.tb_oms_execution_control</t>
  </si>
  <si>
    <t>) then 'YES' else 'no' end  as "isImpactCust",</t>
  </si>
  <si>
    <t>'1644847702162417-2578215-51-01')</t>
  </si>
  <si>
    <t>select sec.*,cl.tx_id from cifx.tb_service_execution_control sec</t>
  </si>
  <si>
    <t>join cifx.tb_change_log cl on cl.SERVICE_INTERCHANGE_ID = sec.SERVICE_INTERCHANGE_ID</t>
  </si>
  <si>
    <t>where sec.circi_key ='S220293741'</t>
  </si>
  <si>
    <t>WHERE CLI.FROM_SERVICE_INTERCHANGE_ID = '1627643249148783-5037679-15-01'</t>
  </si>
  <si>
    <t>AND SERVICE_TARGET = 'ESIP_CIP'</t>
  </si>
  <si>
    <t>select CLI.* from cifx.tb_change_log_interchange cli</t>
  </si>
  <si>
    <t xml:space="preserve"> join cifx.tb_service_execution_control sec  on sec.service_Interchange_id = cli.FROM_SERVICE_INTERCHANGE_ID</t>
  </si>
  <si>
    <t>where cli.REQ_TIMESTAMP BETWEEN TO_TIMESTAMP('2022/01/21 14:56:00','YYYY/MM/DD HH24:MI:SS')</t>
  </si>
  <si>
    <t>AND TO_TIMESTAMP('2022/01/21 14:58:00 ','YYYY/MM/DD HH24:MI:SS')</t>
  </si>
  <si>
    <t xml:space="preserve"> and service_target = 'ESIP_CIP'</t>
  </si>
  <si>
    <t xml:space="preserve"> AND SEC.AP_SERVER_EXECUTING = '10.78.6.85:8443,cifx-controller-a-v1-112-92r7l'</t>
  </si>
  <si>
    <t>/</t>
  </si>
  <si>
    <t>select cli.*,sec.AP_SERVER_EXECUTING from cifx.tb_change_log_interchange cli</t>
  </si>
  <si>
    <t>join cifx.tb_service_execution_control sec</t>
  </si>
  <si>
    <t>on sec.service_Interchange_id = cli.FROM_SERVICE_INTERCHANGE_ID</t>
  </si>
  <si>
    <t>where cli.REQ_TIMESTAMP BETWEEN TO_TIMESTAMP('2022/01/12 09:47:00','YYYY/MM/DD HH24:MI:SS')</t>
  </si>
  <si>
    <t>AND TO_TIMESTAMP('2022/01/12 10:48:00 ','YYYY/MM/DD HH24:MI:SS')</t>
  </si>
  <si>
    <t>WHERE CL.CIRCI_KEY IN ('E12131227A') AND COLUMN_CODE IN ('X0161','X0558')</t>
  </si>
  <si>
    <t>FROM CIFX.TB_leg_CHANGE_LOG CL</t>
  </si>
  <si>
    <t>JOIN CIFX.TB_leg_CHANGE_LOG_LINEITEM CLL ON CL.CHANGE_LOG_ID = CLL.CHANGE_LOG_ID</t>
  </si>
  <si>
    <t>LEFT JOIN CIFX.TB_leg_COLUMN_CODE CC ON CLL.CHANGED_COLUMN_CODE_ID = CC.COLUMN_CODE_ID</t>
  </si>
  <si>
    <t>SELECT FIRST_TXN_DATE FROM CIFX.TB_CUSTOMER</t>
  </si>
  <si>
    <t>WHERE CIF_VERIFIED_ID IN ('E12131227A');</t>
  </si>
  <si>
    <t>WHERE original_id_before like '%P221923%'</t>
  </si>
  <si>
    <t>select sec.SERVICE_INTERCHANGE_ID,sec.SERVICE_EXECUTION_CONTROL_ID,cll.SENT_TIMESTAMP from CIFX.TB_CHANGE_LOG_LINEITEM cll</t>
  </si>
  <si>
    <t>join cifx.tb_change_log cl on cl.change_log_id = cll.change_log_id</t>
  </si>
  <si>
    <t>join cifx.tb_service_execution_control sec on sec.SERVICE_INTERCHANGE_ID = cl.SERVICE_INTERCHANGE_ID</t>
  </si>
  <si>
    <t>where sec.SERVICE_EXECUTION_CONTROL_ID = ''</t>
  </si>
  <si>
    <t>SELECT EVER_CHANGED_CERT_NO,PRIOR_PERSON_IDENTIFITY_NO FROM CIFX.TB_CUSTOMER</t>
  </si>
  <si>
    <t>WHERE EVER_CHANGED_CERT_NO IS NOT NULL</t>
  </si>
  <si>
    <t>AND PRIOR_PERSON_IDENTIFITY_NO IS  NULL</t>
  </si>
  <si>
    <t>and cif_verified_id = 'P221923665'</t>
  </si>
  <si>
    <t>SELECT</t>
  </si>
  <si>
    <t>CLL.CREATE_TIMESTAMP</t>
  </si>
  <si>
    <t>JOIN CIFX.TB_COLUMN_CODE CC ON CC.COLUMN_CODE_ID = CLL.CHANGED_COLUMN_CODE_ID</t>
  </si>
  <si>
    <t>WHERE CL.CIRCI_KEY = 'P221923665'</t>
  </si>
  <si>
    <t>ORDER BY CLL.CREATE_TIMESTAMP DESC</t>
  </si>
  <si>
    <t>select * from CIP_GR_INTEGRATION.Tb_Service_Interchange@CIP_CIFX_INI where msg_no = 'TS0116_00_20220207182131_98811';</t>
  </si>
  <si>
    <t>select * from CIP_GR_INTEGRATION.Tb_Invalid_Service_Request@CIP_CIFX_INI where msg_no = 'TS0116_00_20220207182131_98811';</t>
  </si>
  <si>
    <t>1645023865949922-2966571-77-02</t>
  </si>
  <si>
    <t>16-2月 -22 03.04.26.056000000 下午</t>
  </si>
  <si>
    <t>發送異動通知電文給CIP回傳錯誤碼:UP0090_00_E301,錯誤碼訊息:服務執行期錯誤,錯誤訊息:[顧客識別寫入CI發生錯誤。ChangeRequest:ChangeRequest [serviceInterchange=ServiceInterchange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funcId=01, custName=蔡政晏, companyEstablishDate=null, circiKey=A129032550, creditCardKey=null, certNo=A129032550, certDate=Mon Nov 23 00:00:00 GMT+08:00 1987,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goldenRecordItemContent=0716],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goldenRecordItemContent=蔡政晏],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[goldenRecordItemNo=A058, grecItemDescription=外匯申報身分別代碼, serviceParameter=foreignExchangeRoleCode, groupRecordItemGroup=GoldenRecordItemGroup [goldenRecordItemGroupId=1, itemGroupCode=A, itemGroupName=顧客基本資訊]], goldenRecordItemContent=03],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goldenRecordItemContent=0716],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goldenRecordItemContent=0955991373],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 CHENG YEN],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goldenRecordItemContent=089310130],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goldenRecordItemContent=950],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goldenRecordItemContent=博愛路１２８號],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goldenRecordItemContent=臺東市],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goldenRecordItemContent=臺東縣],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goldenRecordItemContent=0228212311],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goldenRecordItemContent=061300],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goldenRecordItemContent=0955991373],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goldenRecordItemContent=YEN761123@HOTMAIL.COM],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goldenRecordItemContent=立農里１２鄰吉利街１２３巷３２號八樓],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goldenRecordItemContent=台灣台東地方法院],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goldenRecordItemContent=法官],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goldenRecordItemContent=1987-11-23],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[custId=688467, custType=P, certTypeCode=00, partyKind=P, oldRestart=false, customerTag=null, idChangeState=null, creditCardKey=null, circiKey=null, birthDay=Mon Nov 23 00:00:00 GMT+08:00 1987]；ServiceInterchange:ServiceInterchange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Exception : ]</t>
  </si>
  <si>
    <t>16-2月 -22 12.50.02.991000000 下午</t>
  </si>
  <si>
    <t>1645023865949922-2966571-77-02</t>
    <phoneticPr fontId="1" type="noConversion"/>
  </si>
  <si>
    <t>1645023835776017-2966544-77-02</t>
  </si>
  <si>
    <t>G122470987</t>
  </si>
  <si>
    <t>TS0116_00_20220216150355_80331</t>
    <phoneticPr fontId="1" type="noConversion"/>
  </si>
  <si>
    <t>port issue重覆失敗，擬重送電文</t>
    <phoneticPr fontId="1" type="noConversion"/>
  </si>
  <si>
    <t>1645015802872954-2947118-91-02</t>
    <phoneticPr fontId="1" type="noConversion"/>
  </si>
  <si>
    <t>A129032550</t>
  </si>
  <si>
    <t>{"requestModel":{"header":{"msgNo":"TS0116_00_20220216125000_24611","txnCode":"A101011","txnTime":"2022-02-16 12:50:00","senderCode":"TS0116_00","receiverCode":"UP0090_00","operatorCode":"20129","unitCode":"0716"},"requestBody":{"funcId":"01","criteria":{"circiKey":"A129032550","propertyTypeCode":"0","partyCertNo":"A129032550","partyCertDate":"1987-11-23"},"dataSet":[{"creationDptCode":"0716","serveCompanyCertNo":null,"partyEnglishName":"TSAI CHENG YEN","jobTitle":"法官","grownUpGuardianshipCode":"0","performanceDptCode":"0716","residenceAddrAdminArea":"北投區","contactTel":"0228212311","industryPropsTypeCode":"02","nationalityCode":"0","companyTelExtension":null,"contactAddr":"博愛路１２８號","customerBirthday":"1987-11-23","incomeTaxTypeCode":"1","industryTypeCode":"11","email":"YEN761123@HOTMAIL.COM","selfBankSpecialServiceFlag":"00000","stopUseCustomerDataFlag":" ","regCountryCode":"TW","dgbasIndustryCode":"061300","circiKey":"A129032550","txnPhone":"0955991373","residenceAddrLocality":"臺北市","companyTel":"089310130","refuseLoanReasonCode":"0","contactAddrPostalCode":"950","contactAddrCountryCode":"TW","propertyTypeCode":"0","contactAddrAdminArea":"臺東市","customerName":"蔡政晏","genderCode":"M","personCertNo":"A129032550","contactAddrLocality":"臺東縣","serveCompanyName":"台灣台東地方法院","foreignExchangeRoleCode":"03","ncbIndustryCode":"060000","contactPhone":"0955991373","residenceAddrCountryCode":"TW","residenceAddr":"立農里１２鄰吉利街１２３巷３２號八樓","residenceAddrPostalCode":"112"}],"option":{"isReplyOverWrite":false,"isRemoval":false,"isCustConfirmation":true,"isRelationRemoval":false}}},"resultCode":"UP0090_00_E301","resultDescription":"服務執行期錯誤","resultBody":null,"errorMessages":["顧客識別寫入CI發生錯誤。ChangeRequest:ChangeRequest [serviceInterchange=ServiceInterchange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funcId=01, custName=蔡政晏, companyEstablishDate=null, circiKey=A129032550, creditCardKey=null, certNo=A129032550, certDate=Mon Nov 23 00:00:00 GMT+08:00 1987,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goldenRecordItemContent=0716],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goldenRecordItemContent=蔡政晏],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[goldenRecordItemNo=A058, grecItemDescription=外匯申報身分別代碼, serviceParameter=foreignExchangeRoleCode, groupRecordItemGroup=GoldenRecordItemGroup [goldenRecordItemGroupId=1, itemGroupCode=A, itemGroupName=顧客基本資訊]], goldenRecordItemContent=03],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goldenRecordItemContent=0716],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goldenRecordItemContent=0955991373],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 CHENG YEN],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goldenRecordItemContent=089310130],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goldenRecordItemContent=950],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goldenRecordItemContent=博愛路１２８號],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goldenRecordItemContent=臺東市],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goldenRecordItemContent=臺東縣],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goldenRecordItemContent=0228212311],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goldenRecordItemContent=061300],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goldenRecordItemContent=0955991373],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goldenRecordItemContent=YEN761123@HOTMAIL.COM],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goldenRecordItemContent=立農里１２鄰吉利街１２３巷３２號八樓],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goldenRecordItemContent=台灣台東地方法院],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goldenRecordItemContent=法官],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goldenRecordItemContent=1987-11-23],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[custId=688467, custType=P, certTypeCode=00, partyKind=P, oldRestart=false, customerTag=null, idChangeState=null, creditCardKey=null, circiKey=null, birthDay=Mon Nov 23 00:00:00 GMT+08:00 1987]；ServiceInterchange:ServiceInterchange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Exception : "]}</t>
  </si>
  <si>
    <t>TS0116_00_20220216125000_24611</t>
    <phoneticPr fontId="1" type="noConversion"/>
  </si>
  <si>
    <t>1645015800298545-2956151-53-01</t>
    <phoneticPr fontId="1" type="noConversion"/>
  </si>
  <si>
    <t>已確認重覆發送，第1筆成功，第2筆失敗，擬刪除第2筆</t>
    <phoneticPr fontId="1" type="noConversion"/>
  </si>
  <si>
    <t>1645023835788907-2966544-83-02</t>
    <phoneticPr fontId="1" type="noConversion"/>
  </si>
  <si>
    <t>1645015800354377-2956151-29-01</t>
    <phoneticPr fontId="1" type="noConversion"/>
  </si>
  <si>
    <t>SC2022021600110</t>
    <phoneticPr fontId="1" type="noConversion"/>
  </si>
  <si>
    <t>SC2022021600110</t>
    <phoneticPr fontId="1" type="noConversion"/>
  </si>
  <si>
    <t>EM2022021600019</t>
    <phoneticPr fontId="1" type="noConversion"/>
  </si>
  <si>
    <t>done</t>
    <phoneticPr fontId="1" type="noConversion"/>
  </si>
  <si>
    <t>done</t>
    <phoneticPr fontId="1" type="noConversion"/>
  </si>
  <si>
    <t>done</t>
    <phoneticPr fontId="1" type="noConversion"/>
  </si>
  <si>
    <t>EM2022021600019</t>
    <phoneticPr fontId="1" type="noConversion"/>
  </si>
  <si>
    <t>1645088680682874-3117633-94-02</t>
  </si>
  <si>
    <t>發送ID改號電文給CIP回傳錯誤碼:UP0090_00_R101,錯誤碼訊息:存在驗證錯誤,錯誤訊息:[ID改號作業-&gt;CIF改號作業-&gt;&lt;檢查有誤，查無符合(改號前)銀行歸戶統編(E12131227A)顧客&gt;]</t>
  </si>
  <si>
    <t>17-2月 -22 09.04.40.800000000 上午</t>
  </si>
  <si>
    <t>1645088680682874-3117633-94-02</t>
    <phoneticPr fontId="1" type="noConversion"/>
  </si>
  <si>
    <t>1645088680432463-3116805-77-02</t>
  </si>
  <si>
    <t>1645088680444680-3116805-85-02</t>
  </si>
  <si>
    <t>TS0116_00_20220217090440_15462</t>
  </si>
  <si>
    <t>{"requestModel":{"header":{"msgNo":"TS0116_00_20220217090440_15462","txnCode":"A149022","txnTime":"2022-02-17 09:04:40","senderCode":"TS0116_00","receiverCode":"UP0090_00","operatorCode":"18178","unitCode":"0015","authorizerCode":"01337"},"requestBody":{"funcId":"04","criteria":{"exCirciKey":"E12131227A"},"dataSet":[{"circiKey":"E121312279","partyCertNo":"E121312279","partyCertDate":"1959-05-02"}]}},"resultCode":"UP0090_00_R101","resultDescription":"存在驗證錯誤","resultBody":null,"errorMessages":["ID改號作業-&gt;CIF改號作業-&gt;&lt;檢查有誤，查無符合(改號前)銀行歸戶統編(E12131227A)顧客&gt;"]}</t>
  </si>
  <si>
    <t>E121312279</t>
    <phoneticPr fontId="1" type="noConversion"/>
  </si>
  <si>
    <t xml:space="preserve"> -&gt;E12131227A
Y-&gt;E121312279</t>
    <phoneticPr fontId="1" type="noConversion"/>
  </si>
  <si>
    <t>N</t>
    <phoneticPr fontId="1" type="noConversion"/>
  </si>
  <si>
    <t>EM2022021700006</t>
    <phoneticPr fontId="1" type="noConversion"/>
  </si>
  <si>
    <t>1645107790468597-3159819-11-02</t>
  </si>
  <si>
    <t>發送異動通知電文給CIP回傳錯誤碼:UP0090_00_V201,錯誤碼訊息:必要性檢核錯誤,錯誤訊息:[DEL00000000000001274 顧客 TS0116_00 已刪除，但全行未刪除，無法進行異動建檔]</t>
  </si>
  <si>
    <t>17-2月 -22 02.23.10.568000000 下午</t>
  </si>
  <si>
    <t>1645107790468597-3159819-11-02</t>
    <phoneticPr fontId="1" type="noConversion"/>
  </si>
  <si>
    <t>1645107790106943-3159793-28-02</t>
  </si>
  <si>
    <t>1645107790148847-3159793-90-02</t>
  </si>
  <si>
    <t>TS0116_00_20220217142310_76311</t>
  </si>
  <si>
    <t>{"requestModel":{"header":{"msgNo":"TS0116_00_20220217142310_76311","txnCode":"A101011","txnTime":"2022-02-17 14:23:10","senderCode":"TS0116_00","receiverCode":"UP0090_00","operatorCode":"14726","unitCode":"0705"},"requestBody":{"funcId":"01","criteria":{"circiKey":"E120772351","propertyTypeCode":"0","partyCertNo":"E120772351","partyCertDate":"1956-12-17"},"dataSet":[{"creationDptCode":"0705","customerName":"吳清春","selfBankSpecialServiceFlag":"00000","foreignExchangeRoleCode":"03","grownUpGuardianshipCode":"0","industryPropsTypeCode":"02","industryTypeCode":"15","performanceDptCode":"0705","txnPhone":"0935720909","nationalityCode":"0","refuseLoanReasonCode":"0","regCountryCode":"TW","incomeTaxTypeCode":"1","genderCode":"M","stopUseCustomerDataFlag":" ","contactAddrPostalCode":"807","contactAddr":"鼎西里２５鄰天祥一路２５號","contactAddrAdminArea":"三民區","contactAddrLocality":"高雄市","contactTel":"0935720909","dgbasIndustryCode":"061700","ncbIndustryCode":"060000","contactPhone":"0935720909","email":null,"residenceAddrLocality":"高雄市","residenceAddr":"鼎西里２５鄰天祥一路２５號","residenceAddrPostalCode":"807","residenceAddrAdminArea":"三民區","serveCompanyCertNo":null,"serveCompanyName":"無","jobTitle":"家管","contactAddrCountryCode":"TW","customerBirthday":"1956-12-17","residenceAddrCountryCode":"TW"}],"option":{"isReplyOverWrite":false,"isRemoval":false,"isCustConfirmation":true,"isRelationRemoval":false}}},"resultCode":"UP0090_00_V201","resultDescription":"必要性檢核錯誤","resultBody":null,"errorMessages":["DEL00000000000001274 顧客 TS0116_00 已刪除，但全行未刪除，無法進行異動建檔"]}</t>
  </si>
  <si>
    <t>E120772351</t>
    <phoneticPr fontId="1" type="noConversion"/>
  </si>
  <si>
    <t>N</t>
    <phoneticPr fontId="1" type="noConversion"/>
  </si>
  <si>
    <t>cifx主檔存在，但cifx曾刪除過該顧客，刪除時間為2022/02/17 14:08:13</t>
    <phoneticPr fontId="1" type="noConversion"/>
  </si>
  <si>
    <t xml:space="preserve">該戶為資訊需求單處理之顧客(IR2022020700039)，
因CIP先斷開連結故導致後續CIFX同步CIP失敗，
待BA通知完成後續作業後，
CIP將進行資料同步，
</t>
    <phoneticPr fontId="1" type="noConversion"/>
  </si>
  <si>
    <t>1645164045970347-3284264-87-01</t>
  </si>
  <si>
    <t>18-2月 -22 06.00.46.010000000 上午</t>
  </si>
  <si>
    <t>1645164045970347-3284264-87-01</t>
    <phoneticPr fontId="1" type="noConversion"/>
  </si>
  <si>
    <t>TS0116_00_20220218060045_62562</t>
    <phoneticPr fontId="1" type="noConversion"/>
  </si>
  <si>
    <t>port issue，已確認cip常收到，擬重送</t>
    <phoneticPr fontId="1" type="noConversion"/>
  </si>
  <si>
    <t>EM2022021800006</t>
    <phoneticPr fontId="1" type="noConversion"/>
  </si>
  <si>
    <t>1645164045093454-3282480-79-02</t>
    <phoneticPr fontId="1" type="noConversion"/>
  </si>
  <si>
    <t>SC2022021800003</t>
    <phoneticPr fontId="1" type="noConversion"/>
  </si>
  <si>
    <t>1645164044937423-3282480-69-02</t>
    <phoneticPr fontId="1" type="noConversion"/>
  </si>
  <si>
    <t>A229030978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</si>
</sst>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09]h:mm\ AM/PM;@"/>
  </numFmts>
  <fonts count="2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u/>
      <sz val="12"/>
      <color theme="1"/>
      <name val="微軟正黑體"/>
      <family val="2"/>
      <charset val="136"/>
    </font>
    <font>
      <sz val="12"/>
      <color rgb="FF0000FF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trike/>
      <sz val="12"/>
      <color rgb="FFFF0000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trike/>
      <u/>
      <sz val="12"/>
      <color theme="10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9"/>
      <color rgb="FF000000"/>
      <name val="Consolas"/>
      <family val="3"/>
    </font>
    <font>
      <b/>
      <sz val="12"/>
      <color rgb="FF000000"/>
      <name val="新細明體"/>
      <family val="1"/>
      <charset val="136"/>
      <scheme val="minor"/>
    </font>
    <font>
      <sz val="12"/>
      <color rgb="FF1F497D"/>
      <name val="Calibri"/>
      <family val="2"/>
    </font>
    <font>
      <sz val="12"/>
      <color rgb="FF1F497D"/>
      <name val="新細明體"/>
      <family val="1"/>
      <charset val="136"/>
      <scheme val="minor"/>
    </font>
    <font>
      <b/>
      <u/>
      <sz val="12"/>
      <color theme="10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9" fillId="0" borderId="1" xfId="1" applyBorder="1">
      <alignment vertical="center"/>
    </xf>
    <xf numFmtId="0" fontId="9" fillId="0" borderId="0" xfId="1">
      <alignment vertical="center"/>
    </xf>
    <xf numFmtId="0" fontId="2" fillId="3" borderId="1" xfId="0" applyFont="1" applyFill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  <xf numFmtId="0" fontId="14" fillId="0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14" fillId="0" borderId="0" xfId="0" applyFont="1">
      <alignment vertical="center"/>
    </xf>
    <xf numFmtId="0" fontId="15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14" fillId="5" borderId="1" xfId="0" applyFont="1" applyFill="1" applyBorder="1">
      <alignment vertical="center"/>
    </xf>
    <xf numFmtId="0" fontId="14" fillId="5" borderId="0" xfId="0" applyFont="1" applyFill="1">
      <alignment vertical="center"/>
    </xf>
    <xf numFmtId="0" fontId="16" fillId="0" borderId="0" xfId="0" applyFont="1">
      <alignment vertical="center"/>
    </xf>
    <xf numFmtId="0" fontId="16" fillId="0" borderId="1" xfId="0" applyFont="1" applyBorder="1">
      <alignment vertical="center"/>
    </xf>
    <xf numFmtId="0" fontId="14" fillId="0" borderId="0" xfId="0" applyFont="1" applyFill="1">
      <alignment vertical="center"/>
    </xf>
    <xf numFmtId="0" fontId="15" fillId="0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9" fillId="0" borderId="1" xfId="1" applyFill="1" applyBorder="1">
      <alignment vertical="center"/>
    </xf>
    <xf numFmtId="0" fontId="9" fillId="0" borderId="1" xfId="1" applyFont="1" applyBorder="1">
      <alignment vertical="center"/>
    </xf>
    <xf numFmtId="0" fontId="16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6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0" fillId="0" borderId="1" xfId="1" applyFont="1" applyBorder="1" applyAlignment="1">
      <alignment vertical="center" wrapText="1"/>
    </xf>
    <xf numFmtId="49" fontId="4" fillId="0" borderId="1" xfId="0" applyNumberFormat="1" applyFont="1" applyBorder="1">
      <alignment vertical="center"/>
    </xf>
    <xf numFmtId="0" fontId="9" fillId="0" borderId="1" xfId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 applyBorder="1">
      <alignment vertical="center"/>
    </xf>
    <xf numFmtId="0" fontId="21" fillId="0" borderId="0" xfId="0" applyFont="1">
      <alignment vertical="center"/>
    </xf>
    <xf numFmtId="0" fontId="0" fillId="0" borderId="0" xfId="0" applyAlignment="1">
      <alignment horizontal="justify" vertical="center"/>
    </xf>
    <xf numFmtId="0" fontId="22" fillId="3" borderId="1" xfId="0" applyFont="1" applyFill="1" applyBorder="1">
      <alignment vertical="center"/>
    </xf>
    <xf numFmtId="0" fontId="23" fillId="0" borderId="0" xfId="0" applyFont="1">
      <alignment vertical="center"/>
    </xf>
    <xf numFmtId="0" fontId="4" fillId="7" borderId="1" xfId="0" applyFont="1" applyFill="1" applyBorder="1">
      <alignment vertical="center"/>
    </xf>
    <xf numFmtId="45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16" fillId="2" borderId="1" xfId="0" applyNumberFormat="1" applyFont="1" applyFill="1" applyBorder="1">
      <alignment vertical="center"/>
    </xf>
    <xf numFmtId="0" fontId="25" fillId="0" borderId="1" xfId="1" applyFont="1" applyBorder="1">
      <alignment vertical="center"/>
    </xf>
    <xf numFmtId="0" fontId="9" fillId="6" borderId="2" xfId="1" applyFill="1" applyBorder="1" applyAlignment="1">
      <alignment horizontal="center" vertical="center"/>
    </xf>
    <xf numFmtId="0" fontId="9" fillId="6" borderId="3" xfId="1" applyFill="1" applyBorder="1" applyAlignment="1">
      <alignment horizontal="center" vertical="center"/>
    </xf>
    <xf numFmtId="0" fontId="9" fillId="6" borderId="4" xfId="1" applyFill="1" applyBorder="1" applyAlignment="1">
      <alignment horizontal="center" vertical="center"/>
    </xf>
    <xf numFmtId="0" fontId="9" fillId="0" borderId="2" xfId="1" applyBorder="1" applyAlignment="1">
      <alignment horizontal="center" vertical="center"/>
    </xf>
    <xf numFmtId="0" fontId="9" fillId="0" borderId="3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45" fontId="26" fillId="0" borderId="0" xfId="0" applyNumberFormat="1" applyFont="1">
      <alignment vertical="center"/>
    </xf>
    <xf numFmtId="0" fontId="27" fillId="0" borderId="0" xfId="0" applyFont="1">
      <alignment vertical="center"/>
    </xf>
    <xf numFmtId="45" fontId="27" fillId="0" borderId="0" xfId="0" applyNumberFormat="1" applyFont="1">
      <alignment vertical="center"/>
    </xf>
    <xf numFmtId="176" fontId="27" fillId="0" borderId="0" xfId="0" applyNumberFormat="1" applyFont="1">
      <alignment vertical="center"/>
    </xf>
  </cellXfs>
  <cellStyles count="2">
    <cellStyle name="一般" xfId="0" builtinId="0"/>
    <cellStyle name="超連結" xfId="1" builtinId="8"/>
  </cellStyles>
  <dxfs count="203"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77D4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77D47"/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66675</xdr:rowOff>
        </xdr:from>
        <xdr:to>
          <xdr:col>0</xdr:col>
          <xdr:colOff>1952625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SendMail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發送mail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0</xdr:row>
          <xdr:rowOff>66675</xdr:rowOff>
        </xdr:from>
        <xdr:to>
          <xdr:col>1</xdr:col>
          <xdr:colOff>2133600</xdr:colOff>
          <xdr:row>2</xdr:row>
          <xdr:rowOff>152400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85725</xdr:rowOff>
        </xdr:from>
        <xdr:to>
          <xdr:col>2</xdr:col>
          <xdr:colOff>1695450</xdr:colOff>
          <xdr:row>2</xdr:row>
          <xdr:rowOff>152400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deleteSql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6</xdr:row>
          <xdr:rowOff>104775</xdr:rowOff>
        </xdr:from>
        <xdr:to>
          <xdr:col>3</xdr:col>
          <xdr:colOff>200025</xdr:colOff>
          <xdr:row>8</xdr:row>
          <xdr:rowOff>133351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申請CYB起始時間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133349</xdr:colOff>
          <xdr:row>6</xdr:row>
          <xdr:rowOff>142875</xdr:rowOff>
        </xdr:from>
        <xdr:to>
          <xdr:col>7</xdr:col>
          <xdr:colOff>390524</xdr:colOff>
          <xdr:row>8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申請CYB結束時間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171450</xdr:rowOff>
        </xdr:from>
        <xdr:to>
          <xdr:col>2</xdr:col>
          <xdr:colOff>1695450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移動資料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notes://NTSSRVA2-ES9004/482577AD003A079B/2DE4D7C6DB3318834825772100340EE7/2A496D94EBC5A091482586A30032EEAC" TargetMode="External"/><Relationship Id="rId299" Type="http://schemas.openxmlformats.org/officeDocument/2006/relationships/hyperlink" Target="notes://NTSSRVA2-ES9004/482577AD003A079B/1DA7D947D755A80548257ADB0009E460/04F058F34866A416482587750057FFE5" TargetMode="External"/><Relationship Id="rId21" Type="http://schemas.openxmlformats.org/officeDocument/2006/relationships/hyperlink" Target="notes://NTSSRV01_ES9001/482568F50028A755/20FD738748DF3F3648256772001D8F8F/BEE94A9B4699FF6048258610001DC857" TargetMode="External"/><Relationship Id="rId63" Type="http://schemas.openxmlformats.org/officeDocument/2006/relationships/hyperlink" Target="notes://NTSSRVA2-ES9004/482577AD003A079B/D89A67292A57898448257B96002B0DBF/7C980598F1F23092482586490022A328" TargetMode="External"/><Relationship Id="rId159" Type="http://schemas.openxmlformats.org/officeDocument/2006/relationships/hyperlink" Target="notes://NTSSRVA2-ES9004/482577AD003A079B/2DE4D7C6DB3318834825772100340EE7/20390F423E8F9D894825870600432377" TargetMode="External"/><Relationship Id="rId170" Type="http://schemas.openxmlformats.org/officeDocument/2006/relationships/hyperlink" Target="https://oadof.esunbank.com.tw/FormView/SystemChange?FormID=SC2021070700039&amp;Token=dFt9Kkc4yUd65rcxhPUWjBL7iMGDbScG" TargetMode="External"/><Relationship Id="rId226" Type="http://schemas.openxmlformats.org/officeDocument/2006/relationships/hyperlink" Target="notes://NTSSRVA2-ES9004/482577AD003A079B/2DE4D7C6DB3318834825772100340EE7/C7F045E79E7F5DD54825873600350E3C" TargetMode="External"/><Relationship Id="rId268" Type="http://schemas.openxmlformats.org/officeDocument/2006/relationships/hyperlink" Target="notes://NTSSRVA2-ES9004/482577AD003A079B/2DE4D7C6DB3318834825772100340EE7/4A8E2702F9F75BBD48258751001C2B29" TargetMode="External"/><Relationship Id="rId32" Type="http://schemas.openxmlformats.org/officeDocument/2006/relationships/hyperlink" Target="notes://NTSSRV01_ES9999/482567740033CE07/9031299E792CDAD7482565F50008E69B/EF288F0F17075260482586260036588C" TargetMode="External"/><Relationship Id="rId74" Type="http://schemas.openxmlformats.org/officeDocument/2006/relationships/hyperlink" Target="notes://NTSSRV01_ES9999/482567740033CE07/9031299E792CDAD7482565F50008E69B/0B0C95B98652D7D548258655002A5632" TargetMode="External"/><Relationship Id="rId128" Type="http://schemas.openxmlformats.org/officeDocument/2006/relationships/hyperlink" Target="notes://NTSSRVA2-ES9004/482577AD003A079B/2DE4D7C6DB3318834825772100340EE7/A8C6885A5A9444B4482586CD00065434" TargetMode="External"/><Relationship Id="rId5" Type="http://schemas.openxmlformats.org/officeDocument/2006/relationships/hyperlink" Target="notes://NTSSRVA2-ES9004/482577AD003A079B/D89A67292A57898448257B96002B0DBF/1698F4F5EF0BD02048258607001F4C23" TargetMode="External"/><Relationship Id="rId181" Type="http://schemas.openxmlformats.org/officeDocument/2006/relationships/hyperlink" Target="https://oadof.esunbank.com.tw/FormView/SystemChange?FormID=SC2021070900066&amp;Token=sWu3a7YpswDfyg5fR72nnhd99SczSiMK" TargetMode="External"/><Relationship Id="rId237" Type="http://schemas.openxmlformats.org/officeDocument/2006/relationships/hyperlink" Target="notes://NTSSRVA2-ES9004/482577AD003A079B/2DE4D7C6DB3318834825772100340EE7/D630BA1C69104AD8482587370034A975" TargetMode="External"/><Relationship Id="rId279" Type="http://schemas.openxmlformats.org/officeDocument/2006/relationships/hyperlink" Target="notes://NTSSRVA2-ES9004/482577AD003A079B/2DE4D7C6DB3318834825772100340EE7/8C438EFCF15F57CA4825877500147179" TargetMode="External"/><Relationship Id="rId43" Type="http://schemas.openxmlformats.org/officeDocument/2006/relationships/hyperlink" Target="notes://NTSSRV01_ES9999/482567740033CE07/00A053B6E5F5D75848256625002F493C/0D5F23928E5356BD48258632000A8DD7" TargetMode="External"/><Relationship Id="rId139" Type="http://schemas.openxmlformats.org/officeDocument/2006/relationships/hyperlink" Target="notes://NTSSRV01_ES9001/482568F50028A755/20FD738748DF3F3648256772001D8F8F/8EAF57D8759D803C482586DA001C6C67" TargetMode="External"/><Relationship Id="rId290" Type="http://schemas.openxmlformats.org/officeDocument/2006/relationships/hyperlink" Target="https://oadof.esunbank.com.tw/FormView/SystemChange?FormID=SC2021110900098&amp;Token=SYEK7jjGWif7SbYcmJkAHhczJuqntWdn" TargetMode="External"/><Relationship Id="rId304" Type="http://schemas.openxmlformats.org/officeDocument/2006/relationships/hyperlink" Target="notes://NTSSRVA2-ES9004/482577AD003A079B/2DE4D7C6DB3318834825772100340EE7/FFC474F627581E78482587BB00087EAD" TargetMode="External"/><Relationship Id="rId85" Type="http://schemas.openxmlformats.org/officeDocument/2006/relationships/hyperlink" Target="notes://NTSSRVA2-ES9004/482577AD003A079B/2DE4D7C6DB3318834825772100340EE7/D074B3C3292EF48348258670002B712F" TargetMode="External"/><Relationship Id="rId150" Type="http://schemas.openxmlformats.org/officeDocument/2006/relationships/hyperlink" Target="notes://NTSSRVA2-ES9004/482577AD003A079B/2DE4D7C6DB3318834825772100340EE7/A8180D4B0047D2EB482586FB0011D2D3" TargetMode="External"/><Relationship Id="rId192" Type="http://schemas.openxmlformats.org/officeDocument/2006/relationships/hyperlink" Target="https://oadof.esunbank.com.tw/FormView/SystemChange?FormID=SC2021072300014&amp;Token=7gCLinY7h2EwUiBjqButBU8oTcdbobkE" TargetMode="External"/><Relationship Id="rId206" Type="http://schemas.openxmlformats.org/officeDocument/2006/relationships/hyperlink" Target="notes://NTSSRVA2-ES9004/482577AD003A079B/2DE4D7C6DB3318834825772100340EE7/D87C7671E6C350F548258729000F982F" TargetMode="External"/><Relationship Id="rId248" Type="http://schemas.openxmlformats.org/officeDocument/2006/relationships/hyperlink" Target="notes://NTSSRVA2-ES9004/482577AD003A079B/2DE4D7C6DB3318834825772100340EE7/C5733FBB958AF44C4825873A002656BB" TargetMode="External"/><Relationship Id="rId12" Type="http://schemas.openxmlformats.org/officeDocument/2006/relationships/hyperlink" Target="notes://NTSSRVA2-ES9004/482577AD003A079B/52103D44AFA82DAD482578250020B1AA/B441327D92B4E53E48258608002424A0" TargetMode="External"/><Relationship Id="rId108" Type="http://schemas.openxmlformats.org/officeDocument/2006/relationships/hyperlink" Target="notes://NTSSRV01_ES9001/482568F50028A755/20FD738748DF3F3648256772001D8F8F/C27CAF0EAF556E2B48258685002A965D" TargetMode="External"/><Relationship Id="rId315" Type="http://schemas.openxmlformats.org/officeDocument/2006/relationships/drawing" Target="../drawings/drawing1.xml"/><Relationship Id="rId54" Type="http://schemas.openxmlformats.org/officeDocument/2006/relationships/hyperlink" Target="notes://NTSSRVA2-ES9004/482577AD003A079B/949327041579661F48257B48000FAC10/4EC782AA97A63F0E48258641000B7C92" TargetMode="External"/><Relationship Id="rId96" Type="http://schemas.openxmlformats.org/officeDocument/2006/relationships/hyperlink" Target="notes://NTSSRVA2-ES9004/482577AD003A079B/2DE4D7C6DB3318834825772100340EE7/AD5AE65CA6D1973E4825868200184694" TargetMode="External"/><Relationship Id="rId161" Type="http://schemas.openxmlformats.org/officeDocument/2006/relationships/hyperlink" Target="notes://NTSSRVA2-ES9004/482577AD003A079B/2DE4D7C6DB3318834825772100340EE7/FF7ADF785451851B4825870B0011AF8C" TargetMode="External"/><Relationship Id="rId217" Type="http://schemas.openxmlformats.org/officeDocument/2006/relationships/hyperlink" Target="https://oadof.esunbank.com.tw/FormView/SystemChange?FormID=SC2021081700024&amp;Token=vcBRxKWka8uvfR63pp7Jd2EJ5bxk8bjZ" TargetMode="External"/><Relationship Id="rId259" Type="http://schemas.openxmlformats.org/officeDocument/2006/relationships/hyperlink" Target="notes://NTSSRVA2-ES9004/482577AD003A079B/2DE4D7C6DB3318834825772100340EE7/4A8E2702F9F75BBD48258751001C2B29" TargetMode="External"/><Relationship Id="rId23" Type="http://schemas.openxmlformats.org/officeDocument/2006/relationships/hyperlink" Target="notes://NTSSRVA2-ES9004/482577AD003A079B/2DE4D7C6DB3318834825772100340EE7/4A528CEC2FDA2CAA48258610000B8154" TargetMode="External"/><Relationship Id="rId119" Type="http://schemas.openxmlformats.org/officeDocument/2006/relationships/hyperlink" Target="notes://NTSSRVA2-ES9004/482577AD003A079B/2DE4D7C6DB3318834825772100340EE7/FDE37B9D69ACA20F482586B7000F1548" TargetMode="External"/><Relationship Id="rId270" Type="http://schemas.openxmlformats.org/officeDocument/2006/relationships/hyperlink" Target="notes://NTSSRVA2-ES9004/482577AD003A079B/2DE4D7C6DB3318834825772100340EE7/82037E6F246AA44548258761002E03BC" TargetMode="External"/><Relationship Id="rId65" Type="http://schemas.openxmlformats.org/officeDocument/2006/relationships/hyperlink" Target="notes://NTSSRV01_ES9999/482567740033CE07/9031299E792CDAD7482565F50008E69B/BB2BAD81F88E70154825864C0005E2E2" TargetMode="External"/><Relationship Id="rId130" Type="http://schemas.openxmlformats.org/officeDocument/2006/relationships/hyperlink" Target="notes://NTSSRV01_ES9001/482568F50028A755/20FD738748DF3F3648256772001D8F8F/62A1F3A4D5D993E5482586D20032DA8D" TargetMode="External"/><Relationship Id="rId172" Type="http://schemas.openxmlformats.org/officeDocument/2006/relationships/hyperlink" Target="https://oadof.esunbank.com.tw/FormView/SystemChange?FormID=SC2021070700039&amp;Token=dFt9Kkc4yUd65rcxhPUWjBL7iMGDbScG" TargetMode="External"/><Relationship Id="rId228" Type="http://schemas.openxmlformats.org/officeDocument/2006/relationships/hyperlink" Target="notes://NTSSRVA2-ES9004/482577AD003A079B/2DE4D7C6DB3318834825772100340EE7/C7F045E79E7F5DD54825873600350E3C" TargetMode="External"/><Relationship Id="rId13" Type="http://schemas.openxmlformats.org/officeDocument/2006/relationships/hyperlink" Target="notes://NTSSRVA2-ES9004/482577AD003A079B/52103D44AFA82DAD482578250020B1AA/B441327D92B4E53E48258608002424A0" TargetMode="External"/><Relationship Id="rId109" Type="http://schemas.openxmlformats.org/officeDocument/2006/relationships/hyperlink" Target="https://oadof.esunbank.com.tw/FormView/SystemChange?FormID=SC2021031000005&amp;Token=XkLNkAYdTLjwtJSePkP6K2tdGowtZkTf" TargetMode="External"/><Relationship Id="rId260" Type="http://schemas.openxmlformats.org/officeDocument/2006/relationships/hyperlink" Target="notes://NTSSRVA2-ES9004/482577AD003A079B/2DE4D7C6DB3318834825772100340EE7/4A8E2702F9F75BBD48258751001C2B29" TargetMode="External"/><Relationship Id="rId281" Type="http://schemas.openxmlformats.org/officeDocument/2006/relationships/hyperlink" Target="notes://NTSSRVA2-ES9004/482577AD003A079B/1DA7D947D755A80548257ADB0009E460/04F058F34866A416482587750057FFE5" TargetMode="External"/><Relationship Id="rId316" Type="http://schemas.openxmlformats.org/officeDocument/2006/relationships/vmlDrawing" Target="../drawings/vmlDrawing1.vml"/><Relationship Id="rId34" Type="http://schemas.openxmlformats.org/officeDocument/2006/relationships/hyperlink" Target="notes://NTSSRVA2-ES9004/482577AD003A079B/2DE4D7C6DB3318834825772100340EE7/F4E3BB8FBF104AAE4825862B0012C1C9" TargetMode="External"/><Relationship Id="rId55" Type="http://schemas.openxmlformats.org/officeDocument/2006/relationships/hyperlink" Target="notes://NTSSRVA2-ES9004/482577AD003A079B/52103D44AFA82DAD482578250020B1AA/A0A76D4C79AFDD2B48258641001101D2" TargetMode="External"/><Relationship Id="rId76" Type="http://schemas.openxmlformats.org/officeDocument/2006/relationships/hyperlink" Target="notes://NTSSRV01_ES9999/482567740033CE07/9031299E792CDAD7482565F50008E69B/0B0C95B98652D7D548258655002A5632" TargetMode="External"/><Relationship Id="rId97" Type="http://schemas.openxmlformats.org/officeDocument/2006/relationships/hyperlink" Target="notes://NTSSRVA2-ES9004/482577AD003A079B/2DE4D7C6DB3318834825772100340EE7/AB1C05885F86C73A48258684002083E3" TargetMode="External"/><Relationship Id="rId120" Type="http://schemas.openxmlformats.org/officeDocument/2006/relationships/hyperlink" Target="notes://NTSSRVA2-ES9004/482577AD003A079B/2DE4D7C6DB3318834825772100340EE7/CAD5D7BEA3733C9C482586BF0032D55A" TargetMode="External"/><Relationship Id="rId141" Type="http://schemas.openxmlformats.org/officeDocument/2006/relationships/hyperlink" Target="notes://NTSSRVA2-ES9004/482577AD003A079B/2DE4D7C6DB3318834825772100340EE7/C749935E49C7B6B8482586E9001551F6" TargetMode="External"/><Relationship Id="rId7" Type="http://schemas.openxmlformats.org/officeDocument/2006/relationships/hyperlink" Target="notes://NTSSRVA2-ES9004/482577AD003A079B/2DE4D7C6DB3318834825772100340EE7/70BEF7068F74F5E94825860E001D23E7" TargetMode="External"/><Relationship Id="rId162" Type="http://schemas.openxmlformats.org/officeDocument/2006/relationships/hyperlink" Target="notes://NTSSRV01_ES9001/482568F50028A755/20FD738748DF3F3648256772001D8F8F/2A8C25538F8F10DA4825870B0002CA16" TargetMode="External"/><Relationship Id="rId183" Type="http://schemas.openxmlformats.org/officeDocument/2006/relationships/hyperlink" Target="https://oadof.esunbank.com.tw/FormView/SystemChange?FormID=SC2021071200065&amp;Token=ZJYd2XYEEhtFku4GZWvfsJJtftbawnL6" TargetMode="External"/><Relationship Id="rId218" Type="http://schemas.openxmlformats.org/officeDocument/2006/relationships/hyperlink" Target="https://oadof.esunbank.com.tw/FormView/SystemChange?FormID=SC2021081700024&amp;Token=vcBRxKWka8uvfR63pp7Jd2EJ5bxk8bjZ" TargetMode="External"/><Relationship Id="rId239" Type="http://schemas.openxmlformats.org/officeDocument/2006/relationships/hyperlink" Target="notes://NTSSRVA2-ES9004/482577AD003A079B/2DE4D7C6DB3318834825772100340EE7/C5733FBB958AF44C4825873A002656BB" TargetMode="External"/><Relationship Id="rId250" Type="http://schemas.openxmlformats.org/officeDocument/2006/relationships/hyperlink" Target="https://oadof.esunbank.com.tw/FormView/SystemChange?FormID=SC2021082600001&amp;Token=zAnPhHat6CtUVvdNrCak38ppwwxxHzbD" TargetMode="External"/><Relationship Id="rId271" Type="http://schemas.openxmlformats.org/officeDocument/2006/relationships/hyperlink" Target="notes://NTSSRVA2-ES9004/482577AD003A079B/2DE4D7C6DB3318834825772100340EE7/D8C48332AE1038AE4825876500167309" TargetMode="External"/><Relationship Id="rId292" Type="http://schemas.openxmlformats.org/officeDocument/2006/relationships/hyperlink" Target="notes://NTSSRVA2-ES9004/482577AD003A079B/2DE4D7C6DB3318834825772100340EE7/AE1D5DBFEE43E9624825878900294CC8" TargetMode="External"/><Relationship Id="rId306" Type="http://schemas.openxmlformats.org/officeDocument/2006/relationships/hyperlink" Target="https://oadof.esunbank.com.tw/FormView/SystemChange?FormID=SC2022010500091" TargetMode="External"/><Relationship Id="rId24" Type="http://schemas.openxmlformats.org/officeDocument/2006/relationships/hyperlink" Target="notes://NTSSRV01_ES9999/482567740033CE07/9031299E792CDAD7482565F50008E69B/EA5C2F038ADD49BF482586160007E914" TargetMode="External"/><Relationship Id="rId45" Type="http://schemas.openxmlformats.org/officeDocument/2006/relationships/hyperlink" Target="notes://NTSSRVA2-ES9004/482577AD003A079B/2DE4D7C6DB3318834825772100340EE7/70B806A86A7A20DF4825862D005574DA" TargetMode="External"/><Relationship Id="rId66" Type="http://schemas.openxmlformats.org/officeDocument/2006/relationships/hyperlink" Target="notes://NTSSRV01_ES9001/482568F50028A755/20FD738748DF3F3648256772001D8F8F/22C48879EAD3A28448258648003396D3" TargetMode="External"/><Relationship Id="rId87" Type="http://schemas.openxmlformats.org/officeDocument/2006/relationships/hyperlink" Target="notes://NTSSRVA2-ES9004/482577AD003A079B/2DE4D7C6DB3318834825772100340EE7/B20C4479ABFA25184825867100363CC2" TargetMode="External"/><Relationship Id="rId110" Type="http://schemas.openxmlformats.org/officeDocument/2006/relationships/hyperlink" Target="notes://NTSSRVA2-ES9004/482577AD003A079B/2DE4D7C6DB3318834825772100340EE7/DE6D11090F463E3A4825869B003CC1A3" TargetMode="External"/><Relationship Id="rId131" Type="http://schemas.openxmlformats.org/officeDocument/2006/relationships/hyperlink" Target="notes://NTSSRVA2-ES9004/482577AD003A079B/2DE4D7C6DB3318834825772100340EE7/F5C7B59EF287B302482586D2001E0EE0" TargetMode="External"/><Relationship Id="rId152" Type="http://schemas.openxmlformats.org/officeDocument/2006/relationships/hyperlink" Target="notes://NTSSRVA2-ES9004/482577AD003A079B/2DE4D7C6DB3318834825772100340EE7/4205CAE708371A6D482586FB00555EC5" TargetMode="External"/><Relationship Id="rId173" Type="http://schemas.openxmlformats.org/officeDocument/2006/relationships/hyperlink" Target="https://oadof.esunbank.com.tw/FormView/SystemChange?FormID=SC2021070700039&amp;Token=dFt9Kkc4yUd65rcxhPUWjBL7iMGDbScG" TargetMode="External"/><Relationship Id="rId194" Type="http://schemas.openxmlformats.org/officeDocument/2006/relationships/hyperlink" Target="notes://NTSSRVA2-ES9004/482577AD003A079B/2DE4D7C6DB3318834825772100340EE7/87EF076D352B6C444825871F007E22AD" TargetMode="External"/><Relationship Id="rId208" Type="http://schemas.openxmlformats.org/officeDocument/2006/relationships/hyperlink" Target="notes://NTSSRVA2-ES9004/482577AD003A079B/2DE4D7C6DB3318834825772100340EE7/4A6F4EC920F9A1444825872F002D93E4" TargetMode="External"/><Relationship Id="rId229" Type="http://schemas.openxmlformats.org/officeDocument/2006/relationships/hyperlink" Target="notes://NTSSRVA2-ES9004/482577AD003A079B/2DE4D7C6DB3318834825772100340EE7/C7F045E79E7F5DD54825873600350E3C" TargetMode="External"/><Relationship Id="rId240" Type="http://schemas.openxmlformats.org/officeDocument/2006/relationships/hyperlink" Target="notes://NTSSRVA2-ES9004/482577AD003A079B/2DE4D7C6DB3318834825772100340EE7/C5733FBB958AF44C4825873A002656BB" TargetMode="External"/><Relationship Id="rId261" Type="http://schemas.openxmlformats.org/officeDocument/2006/relationships/hyperlink" Target="notes://NTSSRVA2-ES9004/482577AD003A079B/2DE4D7C6DB3318834825772100340EE7/4A8E2702F9F75BBD48258751001C2B29" TargetMode="External"/><Relationship Id="rId14" Type="http://schemas.openxmlformats.org/officeDocument/2006/relationships/hyperlink" Target="notes://NTSSRVA2-ES9004/482577AD003A079B/D89A67292A57898448257B96002B0DBF/3BF522D23072F58E4825860A0012E4E4" TargetMode="External"/><Relationship Id="rId35" Type="http://schemas.openxmlformats.org/officeDocument/2006/relationships/hyperlink" Target="notes://NTSSRVA2-ES9004/482577AD003A079B/2DE4D7C6DB3318834825772100340EE7/385617A4A1989FD34825862C00184A69" TargetMode="External"/><Relationship Id="rId56" Type="http://schemas.openxmlformats.org/officeDocument/2006/relationships/hyperlink" Target="notes://NTSSRV01_ES9999/482567740033CE07/9031299E792CDAD7482565F50008E69B/90655816164D0DBE48258642000C9558" TargetMode="External"/><Relationship Id="rId77" Type="http://schemas.openxmlformats.org/officeDocument/2006/relationships/hyperlink" Target="notes://NTSSRVA2-ES9004/482577AD003A079B/2DE4D7C6DB3318834825772100340EE7/BB15A516BA5ED06E4825865500245B04" TargetMode="External"/><Relationship Id="rId100" Type="http://schemas.openxmlformats.org/officeDocument/2006/relationships/hyperlink" Target="notes://NTSSRVA2-ES9004/482577AD003A079B/2DE4D7C6DB3318834825772100340EE7/EA8585EE8FD2AC2F482586770032DDF6" TargetMode="External"/><Relationship Id="rId282" Type="http://schemas.openxmlformats.org/officeDocument/2006/relationships/hyperlink" Target="notes://NTSSRVA2-ES9004/482577AD003A079B/2DE4D7C6DB3318834825772100340EE7/63FB393BA9CA3BC74825877A00316347" TargetMode="External"/><Relationship Id="rId317" Type="http://schemas.openxmlformats.org/officeDocument/2006/relationships/ctrlProp" Target="../ctrlProps/ctrlProp1.xml"/><Relationship Id="rId8" Type="http://schemas.openxmlformats.org/officeDocument/2006/relationships/hyperlink" Target="notes://NTSSRVA2-ES9004/482577AD003A079B/2DE4D7C6DB3318834825772100340EE7/70BEF7068F74F5E94825860E001D23E7" TargetMode="External"/><Relationship Id="rId98" Type="http://schemas.openxmlformats.org/officeDocument/2006/relationships/hyperlink" Target="notes://NTSSRV01_ES9001/482568F50028A755/20FD738748DF3F3648256772001D8F8F/C27CAF0EAF556E2B48258685002A965D" TargetMode="External"/><Relationship Id="rId121" Type="http://schemas.openxmlformats.org/officeDocument/2006/relationships/hyperlink" Target="notes://NTSSRVA2-ES9004/482577AD003A079B/2DE4D7C6DB3318834825772100340EE7/C36A1D2B715C6BC6482586BF0026B15C" TargetMode="External"/><Relationship Id="rId142" Type="http://schemas.openxmlformats.org/officeDocument/2006/relationships/hyperlink" Target="notes://NTSSRVA2-ES9004/482577AD003A079B/52103D44AFA82DAD482578250020B1AA/74AF738C77A524BC482586E90031CDAE" TargetMode="External"/><Relationship Id="rId163" Type="http://schemas.openxmlformats.org/officeDocument/2006/relationships/hyperlink" Target="notes://NTSSRVA2-ES9004/482577AD003A079B/2DE4D7C6DB3318834825772100340EE7/5492727F4B40F6374825870B001AD3A1" TargetMode="External"/><Relationship Id="rId184" Type="http://schemas.openxmlformats.org/officeDocument/2006/relationships/hyperlink" Target="https://oadof.esunbank.com.tw/FormView/SystemChange?FormID=SC2021071200096&amp;Token=ZJYd2XYEEhtFku4GZWvfsJJtftbawnL6" TargetMode="External"/><Relationship Id="rId219" Type="http://schemas.openxmlformats.org/officeDocument/2006/relationships/hyperlink" Target="https://oadof.esunbank.com.tw/FormView/SystemChange?FormID=SC2021081700024&amp;Token=vcBRxKWka8uvfR63pp7Jd2EJ5bxk8bjZ" TargetMode="External"/><Relationship Id="rId230" Type="http://schemas.openxmlformats.org/officeDocument/2006/relationships/hyperlink" Target="https://oadof.esunbank.com.tw/FormView/SystemChange?FormID=SC2021082000002&amp;Token=ztvCV7zuQ9n45LXMnJRq8ydqpZht9Sxe" TargetMode="External"/><Relationship Id="rId251" Type="http://schemas.openxmlformats.org/officeDocument/2006/relationships/hyperlink" Target="notes://NTSSRVA2-ES9004/482577AD003A079B/2DE4D7C6DB3318834825772100340EE7/AC2298687FFD8EC94825873C005555EF" TargetMode="External"/><Relationship Id="rId25" Type="http://schemas.openxmlformats.org/officeDocument/2006/relationships/hyperlink" Target="notes://NTSSRV01_ES9999/482567740033CE07/9031299E792CDAD7482565F50008E69B/8CE045D6EF95717A48258618000A6ECB" TargetMode="External"/><Relationship Id="rId46" Type="http://schemas.openxmlformats.org/officeDocument/2006/relationships/hyperlink" Target="notes://NTSSRVA2-ES9004/482577AD003A079B/2DE4D7C6DB3318834825772100340EE7/421CEA74007D74D04825863A00157B50" TargetMode="External"/><Relationship Id="rId67" Type="http://schemas.openxmlformats.org/officeDocument/2006/relationships/hyperlink" Target="notes://NTSSRVA2-ES9004/482577AD003A079B/2DE4D7C6DB3318834825772100340EE7/95637EB5472B114F4825864D0013199D" TargetMode="External"/><Relationship Id="rId272" Type="http://schemas.openxmlformats.org/officeDocument/2006/relationships/hyperlink" Target="https://oaportal.esunbank.com.tw/Paper/CustomSearch?docCode=SC&amp;itemID=88&amp;searchContent=SC2021100500106&amp;pageCurrent=1&amp;pageSize=10" TargetMode="External"/><Relationship Id="rId293" Type="http://schemas.openxmlformats.org/officeDocument/2006/relationships/hyperlink" Target="notes://NTSSRVA2-ES9004/482577AD003A079B/2DE4D7C6DB3318834825772100340EE7/D047E664CA70B7154825878C0043D8F2" TargetMode="External"/><Relationship Id="rId307" Type="http://schemas.openxmlformats.org/officeDocument/2006/relationships/hyperlink" Target="https://oadof.esunbank.com.tw/FormView/EventManagement?FormId=EM2022011700027" TargetMode="External"/><Relationship Id="rId88" Type="http://schemas.openxmlformats.org/officeDocument/2006/relationships/hyperlink" Target="notes://NTSSRVA2-ES9004/482577AD003A079B/2DE4D7C6DB3318834825772100340EE7/51551B59D390E2E14825867F002722EF" TargetMode="External"/><Relationship Id="rId111" Type="http://schemas.openxmlformats.org/officeDocument/2006/relationships/hyperlink" Target="https://oadof.esunbank.com.tw/FormView/SystemChange?FormID=SC2021031800024&amp;Token=uoTcTeChKKhhWndTCKmjxCW8rEWWPYKS" TargetMode="External"/><Relationship Id="rId132" Type="http://schemas.openxmlformats.org/officeDocument/2006/relationships/hyperlink" Target="notes://NTSSRVA2-ES9004/482577AD003A079B/2DE4D7C6DB3318834825772100340EE7/262D08BD157E523D482586D400359C32" TargetMode="External"/><Relationship Id="rId153" Type="http://schemas.openxmlformats.org/officeDocument/2006/relationships/hyperlink" Target="notes://NTSSRV01_ES9001/482568F50028A755/20FD738748DF3F3648256772001D8F8F/12112C7C22FDA520482586FC002D9214" TargetMode="External"/><Relationship Id="rId174" Type="http://schemas.openxmlformats.org/officeDocument/2006/relationships/hyperlink" Target="https://oadof.esunbank.com.tw/FormView/SystemChange?FormID=SC2021070700039&amp;Token=dFt9Kkc4yUd65rcxhPUWjBL7iMGDbScG" TargetMode="External"/><Relationship Id="rId195" Type="http://schemas.openxmlformats.org/officeDocument/2006/relationships/hyperlink" Target="https://oadof.esunbank.com.tw/FormView/SystemChange?FormID=SC2021073000002&amp;Token=VoQ9BacSrfxsNXidfxgsGRNwajVZCmUj" TargetMode="External"/><Relationship Id="rId209" Type="http://schemas.openxmlformats.org/officeDocument/2006/relationships/hyperlink" Target="notes://NTSSRVA2-ES9004/482577AD003A079B/2DE4D7C6DB3318834825772100340EE7/4A6F4EC920F9A1444825872F002D93E4" TargetMode="External"/><Relationship Id="rId220" Type="http://schemas.openxmlformats.org/officeDocument/2006/relationships/hyperlink" Target="https://oadof.esunbank.com.tw/FormView/SystemChange?FormID=SC2021081700024&amp;Token=vcBRxKWka8uvfR63pp7Jd2EJ5bxk8bjZ" TargetMode="External"/><Relationship Id="rId241" Type="http://schemas.openxmlformats.org/officeDocument/2006/relationships/hyperlink" Target="notes://NTSSRVA2-ES9004/482577AD003A079B/2DE4D7C6DB3318834825772100340EE7/C5733FBB958AF44C4825873A002656BB" TargetMode="External"/><Relationship Id="rId15" Type="http://schemas.openxmlformats.org/officeDocument/2006/relationships/hyperlink" Target="notes://NTSSRV01_ES9001/482568F50028A755/20FD738748DF3F3648256772001D8F8F/E022D75DBDC9DE8E4825860F002DEFA6" TargetMode="External"/><Relationship Id="rId36" Type="http://schemas.openxmlformats.org/officeDocument/2006/relationships/hyperlink" Target="notes://NTSSRV01_ES9999/482567740033CE07/9031299E792CDAD7482565F50008E69B/98C1674200BC719E4825862C0020629F" TargetMode="External"/><Relationship Id="rId57" Type="http://schemas.openxmlformats.org/officeDocument/2006/relationships/hyperlink" Target="notes://NTSSRV01_ES9999/482567740033CE07/9031299E792CDAD7482565F50008E69B/90655816164D0DBE48258642000C9558" TargetMode="External"/><Relationship Id="rId262" Type="http://schemas.openxmlformats.org/officeDocument/2006/relationships/hyperlink" Target="notes://NTSSRVA2-ES9004/482577AD003A079B/2DE4D7C6DB3318834825772100340EE7/4A8E2702F9F75BBD48258751001C2B29" TargetMode="External"/><Relationship Id="rId283" Type="http://schemas.openxmlformats.org/officeDocument/2006/relationships/hyperlink" Target="notes://NTSSRVA2-ES9004/482577AD003A079B/2DE4D7C6DB3318834825772100340EE7/63FB393BA9CA3BC74825877A00316347" TargetMode="External"/><Relationship Id="rId318" Type="http://schemas.openxmlformats.org/officeDocument/2006/relationships/ctrlProp" Target="../ctrlProps/ctrlProp2.xml"/><Relationship Id="rId78" Type="http://schemas.openxmlformats.org/officeDocument/2006/relationships/hyperlink" Target="notes://NTSSRVA2-ES9004/482577AD003A079B/2DE4D7C6DB3318834825772100340EE7/BB15A516BA5ED06E4825865500245B04" TargetMode="External"/><Relationship Id="rId99" Type="http://schemas.openxmlformats.org/officeDocument/2006/relationships/hyperlink" Target="https://oadof.esunbank.com.tw/FormView/SystemChange?FormID=SC2021022400008&amp;Token=XAeqCUAszusySiYvPPTJzvmGGrAiLnfw" TargetMode="External"/><Relationship Id="rId101" Type="http://schemas.openxmlformats.org/officeDocument/2006/relationships/hyperlink" Target="notes://NTSSRVA2-ES9004/482577AD003A079B/2DE4D7C6DB3318834825772100340EE7/EA8585EE8FD2AC2F482586770032DDF6" TargetMode="External"/><Relationship Id="rId122" Type="http://schemas.openxmlformats.org/officeDocument/2006/relationships/hyperlink" Target="notes://NTSSRVA2-ES9004/482577AD003A079B/2DE4D7C6DB3318834825772100340EE7/AC35CE1EB4CE452F482586C4000F7B28" TargetMode="External"/><Relationship Id="rId143" Type="http://schemas.openxmlformats.org/officeDocument/2006/relationships/hyperlink" Target="https://oadof.esunbank.com.tw/FormView/SystemChange?FormID=SC2021060400049&amp;Token=NNYoqAKK4iBnNZVVvwJuVRR5uZkK3CGV" TargetMode="External"/><Relationship Id="rId164" Type="http://schemas.openxmlformats.org/officeDocument/2006/relationships/hyperlink" Target="https://oadof.esunbank.com.tw/FormView/SystemChange?FormID=SC2021070700033&amp;Token=dFt9Kkc4yUd65rcxhPUWjBL7iMGDbScG" TargetMode="External"/><Relationship Id="rId185" Type="http://schemas.openxmlformats.org/officeDocument/2006/relationships/hyperlink" Target="notes://NTSSRVA2-ES9004/482577AD003A079B/2DE4D7C6DB3318834825772100340EE7/A6FD57415C69341D4825870A0027594C" TargetMode="External"/><Relationship Id="rId9" Type="http://schemas.openxmlformats.org/officeDocument/2006/relationships/hyperlink" Target="notes://NTSSRVA2-ES9004/482577AD003A079B/D89A67292A57898448257B96002B0DBF/E22EFCC92A3881F14825860E00220649" TargetMode="External"/><Relationship Id="rId210" Type="http://schemas.openxmlformats.org/officeDocument/2006/relationships/hyperlink" Target="https://oadof.esunbank.com.tw/FormView/SystemChange?FormID=SC2021081300023&amp;Token=ZcncdrC722GmGtjBk3YaHnyytwLhgw4k" TargetMode="External"/><Relationship Id="rId26" Type="http://schemas.openxmlformats.org/officeDocument/2006/relationships/hyperlink" Target="notes://NTSSRVA2-ES9004/482577AD003A079B/2DE4D7C6DB3318834825772100340EE7/9C5653A45EFF22C3482586170029B5E5" TargetMode="External"/><Relationship Id="rId231" Type="http://schemas.openxmlformats.org/officeDocument/2006/relationships/hyperlink" Target="https://oadof.esunbank.com.tw/FormView/SystemChange?FormID=SC2021082000002&amp;Token=ztvCV7zuQ9n45LXMnJRq8ydqpZht9Sxe" TargetMode="External"/><Relationship Id="rId252" Type="http://schemas.openxmlformats.org/officeDocument/2006/relationships/hyperlink" Target="notes://NTSSRVA2-ES9004/482577AD003A079B/2DE4D7C6DB3318834825772100340EE7/119F09C1B42C12244825873A003CBB29" TargetMode="External"/><Relationship Id="rId273" Type="http://schemas.openxmlformats.org/officeDocument/2006/relationships/hyperlink" Target="notes://NTSSRVA2-ES9004/482577AD003A079B/2DE4D7C6DB3318834825772100340EE7/08000E3835C1F2984825876600336645" TargetMode="External"/><Relationship Id="rId294" Type="http://schemas.openxmlformats.org/officeDocument/2006/relationships/hyperlink" Target="notes://NTSSRVA2-ES9004/482577AD003A079B/2DE4D7C6DB3318834825772100340EE7/D047E664CA70B7154825878C0043D8F2" TargetMode="External"/><Relationship Id="rId308" Type="http://schemas.openxmlformats.org/officeDocument/2006/relationships/hyperlink" Target="https://oadof.esunbank.com.tw/FormView/SystemChange?FormId=SC2022011800103" TargetMode="External"/><Relationship Id="rId47" Type="http://schemas.openxmlformats.org/officeDocument/2006/relationships/hyperlink" Target="notes://NTSSRVA2-ES9004/482577AD003A079B/2DE4D7C6DB3318834825772100340EE7/15388F6F1AE2410048258638000C1CDA" TargetMode="External"/><Relationship Id="rId68" Type="http://schemas.openxmlformats.org/officeDocument/2006/relationships/hyperlink" Target="&#24453;&#22519;&#34892;sql" TargetMode="External"/><Relationship Id="rId89" Type="http://schemas.openxmlformats.org/officeDocument/2006/relationships/hyperlink" Target="notes://NTSSRV01_ES9999/482567740033CE07/9031299E792CDAD7482565F50008E69B/F903E5F8704CD12B48258680002CB9D2" TargetMode="External"/><Relationship Id="rId112" Type="http://schemas.openxmlformats.org/officeDocument/2006/relationships/hyperlink" Target="notes://NTSSRV01_ES9001/482568F50028A755/FF7E36D9177EF83348256772001D8F92/63466C3CE32B173E4825869600373512" TargetMode="External"/><Relationship Id="rId133" Type="http://schemas.openxmlformats.org/officeDocument/2006/relationships/hyperlink" Target="notes://NTSSRVA2-ES9004/482577AD003A079B/2DE4D7C6DB3318834825772100340EE7/262D08BD157E523D482586D400359C32" TargetMode="External"/><Relationship Id="rId154" Type="http://schemas.openxmlformats.org/officeDocument/2006/relationships/hyperlink" Target="notes://NTSSRVA2-ES9004/482577AD003A079B/2DE4D7C6DB3318834825772100340EE7/DB73CB3E523E858B482586FD00385E83" TargetMode="External"/><Relationship Id="rId175" Type="http://schemas.openxmlformats.org/officeDocument/2006/relationships/hyperlink" Target="https://oadof.esunbank.com.tw/FormView/SystemChange?FormID=SC2021070700039&amp;Token=dFt9Kkc4yUd65rcxhPUWjBL7iMGDbScG" TargetMode="External"/><Relationship Id="rId196" Type="http://schemas.openxmlformats.org/officeDocument/2006/relationships/hyperlink" Target="notes://NTSSRVA2-ES9004/482577AD003A079B/2DE4D7C6DB3318834825772100340EE7/FEEE0F9C613B47574825872200119284" TargetMode="External"/><Relationship Id="rId200" Type="http://schemas.openxmlformats.org/officeDocument/2006/relationships/hyperlink" Target="notes://NTSSRVA2-ES9004/482577AD003A079B/2DE4D7C6DB3318834825772100340EE7/62CA1780193B0EC34825872500416976" TargetMode="External"/><Relationship Id="rId16" Type="http://schemas.openxmlformats.org/officeDocument/2006/relationships/hyperlink" Target="notes://NTSSRV01_ES9001/482568F50028A755/20FD738748DF3F3648256772001D8F8F/E022D75DBDC9DE8E4825860F002DEFA6" TargetMode="External"/><Relationship Id="rId221" Type="http://schemas.openxmlformats.org/officeDocument/2006/relationships/hyperlink" Target="https://oadof.esunbank.com.tw/FormView/SystemChange?FormID=SC2021081700025&amp;Token=vcBRxKWka8uvfR63pp7Jd2EJ5bxk8bjZ" TargetMode="External"/><Relationship Id="rId242" Type="http://schemas.openxmlformats.org/officeDocument/2006/relationships/hyperlink" Target="notes://NTSSRVA2-ES9004/482577AD003A079B/2DE4D7C6DB3318834825772100340EE7/C5733FBB958AF44C4825873A002656BB" TargetMode="External"/><Relationship Id="rId263" Type="http://schemas.openxmlformats.org/officeDocument/2006/relationships/hyperlink" Target="notes://NTSSRVA2-ES9004/482577AD003A079B/2DE4D7C6DB3318834825772100340EE7/4A8E2702F9F75BBD48258751001C2B29" TargetMode="External"/><Relationship Id="rId284" Type="http://schemas.openxmlformats.org/officeDocument/2006/relationships/hyperlink" Target="notes://NTSSRVA2-ES9004/482577AD003A079B/2DE4D7C6DB3318834825772100340EE7/63FB393BA9CA3BC74825877A00316347" TargetMode="External"/><Relationship Id="rId319" Type="http://schemas.openxmlformats.org/officeDocument/2006/relationships/ctrlProp" Target="../ctrlProps/ctrlProp3.xml"/><Relationship Id="rId37" Type="http://schemas.openxmlformats.org/officeDocument/2006/relationships/hyperlink" Target="notes://NTSSRVA2-ES9004/482577AD003A079B/2DE4D7C6DB3318834825772100340EE7/D6C763340A6AD3F14825862A002A3148" TargetMode="External"/><Relationship Id="rId58" Type="http://schemas.openxmlformats.org/officeDocument/2006/relationships/hyperlink" Target="notes://NTSSRV01_ES9999/482567740033CE07/9031299E792CDAD7482565F50008E69B/F18EA85138A97FF24825864200211443" TargetMode="External"/><Relationship Id="rId79" Type="http://schemas.openxmlformats.org/officeDocument/2006/relationships/hyperlink" Target="notes://NTSSRVA2-ES9004/482577AD003A079B/2DE4D7C6DB3318834825772100340EE7/BB15A516BA5ED06E4825865500245B04" TargetMode="External"/><Relationship Id="rId102" Type="http://schemas.openxmlformats.org/officeDocument/2006/relationships/hyperlink" Target="notes://NTSSRV01_ES9001/482568F50028A755/20FD738748DF3F3648256772001D8F8F/C27CAF0EAF556E2B48258685002A965D" TargetMode="External"/><Relationship Id="rId123" Type="http://schemas.openxmlformats.org/officeDocument/2006/relationships/hyperlink" Target="notes://NTSSRVA2-ES9004/482577AD003A079B/2DE4D7C6DB3318834825772100340EE7/476D73444F9B401F482586CB000E0EB0" TargetMode="External"/><Relationship Id="rId144" Type="http://schemas.openxmlformats.org/officeDocument/2006/relationships/hyperlink" Target="https://oadof.esunbank.com.tw/FormView/SystemChange?FormID=SC2021060400049&amp;Token=NNYoqAKK4iBnNZVVvwJuVRR5uZkK3CGV" TargetMode="External"/><Relationship Id="rId90" Type="http://schemas.openxmlformats.org/officeDocument/2006/relationships/hyperlink" Target="notes://NTSSRVA2-ES9004/482577AD003A079B/2DE4D7C6DB3318834825772100340EE7/D3E47C2AE18F3773482586800023B1DC" TargetMode="External"/><Relationship Id="rId165" Type="http://schemas.openxmlformats.org/officeDocument/2006/relationships/hyperlink" Target="https://oadof.esunbank.com.tw/FormView/SystemChange?FormID=SC2021070700039&amp;Token=dFt9Kkc4yUd65rcxhPUWjBL7iMGDbScG" TargetMode="External"/><Relationship Id="rId186" Type="http://schemas.openxmlformats.org/officeDocument/2006/relationships/hyperlink" Target="notes://NTSSRVA2-ES9004/482577AD003A079B/2DE4D7C6DB3318834825772100340EE7/E3BC57A2F29B110C4825871700301ACE" TargetMode="External"/><Relationship Id="rId211" Type="http://schemas.openxmlformats.org/officeDocument/2006/relationships/hyperlink" Target="https://oadof.esunbank.com.tw/FormView/SystemChange?FormID=SC2021081300023&amp;Token=ZcncdrC722GmGtjBk3YaHnyytwLhgw4k" TargetMode="External"/><Relationship Id="rId232" Type="http://schemas.openxmlformats.org/officeDocument/2006/relationships/hyperlink" Target="https://oadof.esunbank.com.tw/FormView/SystemChange?FormID=SC2021082000002&amp;Token=ztvCV7zuQ9n45LXMnJRq8ydqpZht9Sxe" TargetMode="External"/><Relationship Id="rId253" Type="http://schemas.openxmlformats.org/officeDocument/2006/relationships/hyperlink" Target="notes://NTSSRVA2-ES9004/482577AD003A079B/2DE4D7C6DB3318834825772100340EE7/AC2298687FFD8EC94825873C005555EF" TargetMode="External"/><Relationship Id="rId274" Type="http://schemas.openxmlformats.org/officeDocument/2006/relationships/hyperlink" Target="notes://NTSSRVA2-ES9004/482577AD003A079B/2DE4D7C6DB3318834825772100340EE7/38260F0D1D0EFFD44825876D00116ECB" TargetMode="External"/><Relationship Id="rId295" Type="http://schemas.openxmlformats.org/officeDocument/2006/relationships/hyperlink" Target="https://oadof.esunbank.com.tw/FormView/SystemChange?FormID=SC2021111500032&amp;Token=MeqKWKdTbLS4LcAP3watiVbdZcgtV5eS" TargetMode="External"/><Relationship Id="rId309" Type="http://schemas.openxmlformats.org/officeDocument/2006/relationships/hyperlink" Target="https://oadof.esunbank.com.tw/FormView/EventManagement?FormID=EM2022011900024&amp;Token=" TargetMode="External"/><Relationship Id="rId27" Type="http://schemas.openxmlformats.org/officeDocument/2006/relationships/hyperlink" Target="notes://NTSSRVA2-ES9004/482577AD003A079B/2DE4D7C6DB3318834825772100340EE7/1744A2FC272F2E9648258622002DE64A" TargetMode="External"/><Relationship Id="rId48" Type="http://schemas.openxmlformats.org/officeDocument/2006/relationships/hyperlink" Target="notes://NTSSRV01_ES9999/482567740033CE07/9031299E792CDAD7482565F50008E69B/630D9A06853642F14825863A002BD5F5" TargetMode="External"/><Relationship Id="rId69" Type="http://schemas.openxmlformats.org/officeDocument/2006/relationships/hyperlink" Target="notes://NTSSRVA2-ES9004/482577AD003A079B/52103D44AFA82DAD482578250020B1AA/9D5035C122F418E6482586460023A66B" TargetMode="External"/><Relationship Id="rId113" Type="http://schemas.openxmlformats.org/officeDocument/2006/relationships/hyperlink" Target="https://oadof.esunbank.com.tw/FormView/SystemChange?FormID=SC2021032200013&amp;Token=jRBezEhHujrTkhXMg453XschCGk5gak5" TargetMode="External"/><Relationship Id="rId134" Type="http://schemas.openxmlformats.org/officeDocument/2006/relationships/hyperlink" Target="https://oadof.esunbank.com.tw/Form/PopupFinish?FormId=SC2021051400027&amp;Btn=%E5%82%B3%E9%80%81&amp;token=kKvFe5WyWsN8LbApLXecTHUrmMTQVmWq" TargetMode="External"/><Relationship Id="rId320" Type="http://schemas.openxmlformats.org/officeDocument/2006/relationships/comments" Target="../comments1.xml"/><Relationship Id="rId80" Type="http://schemas.openxmlformats.org/officeDocument/2006/relationships/hyperlink" Target="notes://NTSSRV01_ES9999/482567740033CE07/9031299E792CDAD7482565F50008E69B/FF02A8F40A52815A482586560013FEAD" TargetMode="External"/><Relationship Id="rId155" Type="http://schemas.openxmlformats.org/officeDocument/2006/relationships/hyperlink" Target="notes://NTSSRV01_ES9001/482568F50028A755/20FD738748DF3F3648256772001D8F8F/12112C7C22FDA520482586FC002D9214" TargetMode="External"/><Relationship Id="rId176" Type="http://schemas.openxmlformats.org/officeDocument/2006/relationships/hyperlink" Target="notes://NTSSRVA2-ES9004/482577AD003A079B/2DE4D7C6DB3318834825772100340EE7/2DE5141C8527765F4825870B00277822" TargetMode="External"/><Relationship Id="rId197" Type="http://schemas.openxmlformats.org/officeDocument/2006/relationships/hyperlink" Target="https://oadof.esunbank.com.tw/FormView/SystemChange?FormID=SC2021073000047&amp;Token=VoQ9BacSrfxsNXidfxgsGRNwajVZCmUj" TargetMode="External"/><Relationship Id="rId201" Type="http://schemas.openxmlformats.org/officeDocument/2006/relationships/hyperlink" Target="notes://NTSSRVA2-ES9004/482577AD003A079B/2DE4D7C6DB3318834825772100340EE7/62CA1780193B0EC34825872500416976" TargetMode="External"/><Relationship Id="rId222" Type="http://schemas.openxmlformats.org/officeDocument/2006/relationships/hyperlink" Target="https://oadof.esunbank.com.tw/FormView/SystemChange?FormID=SC2021081700034&amp;Token=vcBRxKWka8uvfR63pp7Jd2EJ5bxk8bjZ" TargetMode="External"/><Relationship Id="rId243" Type="http://schemas.openxmlformats.org/officeDocument/2006/relationships/hyperlink" Target="notes://NTSSRVA2-ES9004/482577AD003A079B/2DE4D7C6DB3318834825772100340EE7/C5733FBB958AF44C4825873A002656BB" TargetMode="External"/><Relationship Id="rId264" Type="http://schemas.openxmlformats.org/officeDocument/2006/relationships/hyperlink" Target="notes://NTSSRVA2-ES9004/482577AD003A079B/2DE4D7C6DB3318834825772100340EE7/4A8E2702F9F75BBD48258751001C2B29" TargetMode="External"/><Relationship Id="rId285" Type="http://schemas.openxmlformats.org/officeDocument/2006/relationships/hyperlink" Target="notes://NTSSRVA2-ES9004/482577AD003A079B/2DE4D7C6DB3318834825772100340EE7/BAB173AD96D9A69648258787000C1EE6" TargetMode="External"/><Relationship Id="rId17" Type="http://schemas.openxmlformats.org/officeDocument/2006/relationships/hyperlink" Target="notes://NTSSRV01_ES9999/482567740033CE07/9031299E792CDAD7482565F50008E69B/86CA9043CEA2871148258610001063E8" TargetMode="External"/><Relationship Id="rId38" Type="http://schemas.openxmlformats.org/officeDocument/2006/relationships/hyperlink" Target="notes://NTSSRV01_ES9999/482567740033CE07/9031299E792CDAD7482565F50008E69B/F60DB041DE35518E4825862B002CEF4A" TargetMode="External"/><Relationship Id="rId59" Type="http://schemas.openxmlformats.org/officeDocument/2006/relationships/hyperlink" Target="notes://NTSSRV01_ES9999/482567740033CE07/9031299E792CDAD7482565F50008E69B/58ADCC15561BC7764825864200218C94" TargetMode="External"/><Relationship Id="rId103" Type="http://schemas.openxmlformats.org/officeDocument/2006/relationships/hyperlink" Target="notes://NTSSRV01_ES9001/482568F50028A755/20FD738748DF3F3648256772001D8F8F/59DC2137844C68E248258688002C37C9" TargetMode="External"/><Relationship Id="rId124" Type="http://schemas.openxmlformats.org/officeDocument/2006/relationships/hyperlink" Target="notes://NTSSRVA2-ES9004/482577AD003A079B/2DE4D7C6DB3318834825772100340EE7/16DC30805BFA45C6482586CC00269F9D" TargetMode="External"/><Relationship Id="rId310" Type="http://schemas.openxmlformats.org/officeDocument/2006/relationships/hyperlink" Target="https://oadof.esunbank.com.tw/FormView/SystemChange?FormId=SC2022012100028" TargetMode="External"/><Relationship Id="rId70" Type="http://schemas.openxmlformats.org/officeDocument/2006/relationships/hyperlink" Target="notes://NTSSRV01_ES9999/482567740033CE07/9031299E792CDAD7482565F50008E69B/A939FAD724A15A0548258653002BC6FB" TargetMode="External"/><Relationship Id="rId91" Type="http://schemas.openxmlformats.org/officeDocument/2006/relationships/hyperlink" Target="notes://NTSSRVA2-ES9004/482577AD003A079B/2DE4D7C6DB3318834825772100340EE7/7D9EC46F8C9BE153482586800032387D" TargetMode="External"/><Relationship Id="rId145" Type="http://schemas.openxmlformats.org/officeDocument/2006/relationships/hyperlink" Target="notes://NTSSRVA2-ES9004/482577AD003A079B/2DE4D7C6DB3318834825772100340EE7/DC97F01524C28991482586ED000F8EF3" TargetMode="External"/><Relationship Id="rId166" Type="http://schemas.openxmlformats.org/officeDocument/2006/relationships/hyperlink" Target="https://oadof.esunbank.com.tw/FormView/SystemChange?FormID=SC2021070700039&amp;Token=dFt9Kkc4yUd65rcxhPUWjBL7iMGDbScG" TargetMode="External"/><Relationship Id="rId187" Type="http://schemas.openxmlformats.org/officeDocument/2006/relationships/hyperlink" Target="notes://NTSSRVA2-ES9004/482577AD003A079B/2DE4D7C6DB3318834825772100340EE7/26E1FB8515DD13E4482587180009365F" TargetMode="External"/><Relationship Id="rId1" Type="http://schemas.openxmlformats.org/officeDocument/2006/relationships/hyperlink" Target="notes://NTSSRVA2-ES9004/482577AD003A079B/D89A67292A57898448257B96002B0DBF/614FFB2950ED2BDC48258606002C3FAC" TargetMode="External"/><Relationship Id="rId212" Type="http://schemas.openxmlformats.org/officeDocument/2006/relationships/hyperlink" Target="notes://NTSSRVA2-ES9004/482577AD003A079B/2DE4D7C6DB3318834825772100340EE7/D28A717B7867EC5648258733002AE951" TargetMode="External"/><Relationship Id="rId233" Type="http://schemas.openxmlformats.org/officeDocument/2006/relationships/hyperlink" Target="https://oadof.esunbank.com.tw/FormView/SystemChange?FormID=SC2021082000002&amp;Token=ztvCV7zuQ9n45LXMnJRq8ydqpZht9Sxe" TargetMode="External"/><Relationship Id="rId254" Type="http://schemas.openxmlformats.org/officeDocument/2006/relationships/hyperlink" Target="notes://NTSSRVA2-ES9004/482577AD003A079B/2DE4D7C6DB3318834825772100340EE7/DDCC43C2111BF49C4825873D000684D8" TargetMode="External"/><Relationship Id="rId28" Type="http://schemas.openxmlformats.org/officeDocument/2006/relationships/hyperlink" Target="notes://NTSSRVA2-ES9004/482577AD003A079B/2DE4D7C6DB3318834825772100340EE7/F84EC6ED7B6165DB4825862600302D88" TargetMode="External"/><Relationship Id="rId49" Type="http://schemas.openxmlformats.org/officeDocument/2006/relationships/hyperlink" Target="notes://NTSSRV01_ES9999/482567740033CE07/9031299E792CDAD7482565F50008E69B/D520B6096F5401E8482586410010D23C" TargetMode="External"/><Relationship Id="rId114" Type="http://schemas.openxmlformats.org/officeDocument/2006/relationships/hyperlink" Target="notes://NTSSRVA2-ES9004/482577AD003A079B/52103D44AFA82DAD482578250020B1AA/29D5F863BD116682482586950018C743w" TargetMode="External"/><Relationship Id="rId275" Type="http://schemas.openxmlformats.org/officeDocument/2006/relationships/hyperlink" Target="notes://NTSSRVA2-ES9004/482577AD003A079B/2DE4D7C6DB3318834825772100340EE7/B92B71541AE790114825876F0021B527" TargetMode="External"/><Relationship Id="rId296" Type="http://schemas.openxmlformats.org/officeDocument/2006/relationships/hyperlink" Target="https://oadof.esunbank.com.tw/FormView/SystemChange?FormID=SC2021111500032&amp;Token=MeqKWKdTbLS4LcAP3watiVbdZcgtV5eS" TargetMode="External"/><Relationship Id="rId300" Type="http://schemas.openxmlformats.org/officeDocument/2006/relationships/hyperlink" Target="notes://NTSSRVA2-ES9004/482577AD003A079B/2DE4D7C6DB3318834825772100340EE7/944C25947876F7464825879000307E24" TargetMode="External"/><Relationship Id="rId60" Type="http://schemas.openxmlformats.org/officeDocument/2006/relationships/hyperlink" Target="notes://NTSSRVA2-ES9004/482577AD003A079B/2DE4D7C6DB3318834825772100340EE7/08802A56B5DF7DF14825863F007C08EA" TargetMode="External"/><Relationship Id="rId81" Type="http://schemas.openxmlformats.org/officeDocument/2006/relationships/hyperlink" Target="notes://NTSSRVA2-ES9004/482577AD003A079B/2DE4D7C6DB3318834825772100340EE7/8AFB5F7926771E4D482586480030BF81" TargetMode="External"/><Relationship Id="rId135" Type="http://schemas.openxmlformats.org/officeDocument/2006/relationships/hyperlink" Target="notes://NTSSRVA2-ES9004/482577AD003A079B/2DE4D7C6DB3318834825772100340EE7/C90E84B2EAE6AC8B482586D4003BD452" TargetMode="External"/><Relationship Id="rId156" Type="http://schemas.openxmlformats.org/officeDocument/2006/relationships/hyperlink" Target="https://oadof.esunbank.com.tw/FormView/SystemChange?FormID=SC2021062500031" TargetMode="External"/><Relationship Id="rId177" Type="http://schemas.openxmlformats.org/officeDocument/2006/relationships/hyperlink" Target="notes://NTSSRVA2-ES9004/482577AD003A079B/2DE4D7C6DB3318834825772100340EE7/2F1EE0EF5C8A17B44825870B003CF89E" TargetMode="External"/><Relationship Id="rId198" Type="http://schemas.openxmlformats.org/officeDocument/2006/relationships/hyperlink" Target="notes://NTSSRVA2-ES9004/482577AD003A079B/2DE4D7C6DB3318834825772100340EE7/62CA1780193B0EC34825872500416976" TargetMode="External"/><Relationship Id="rId202" Type="http://schemas.openxmlformats.org/officeDocument/2006/relationships/hyperlink" Target="notes://NTSSRVA2-ES9004/482577AD003A079B/2DE4D7C6DB3318834825772100340EE7/CE55FB2C6B20476B482587260009DD95" TargetMode="External"/><Relationship Id="rId223" Type="http://schemas.openxmlformats.org/officeDocument/2006/relationships/hyperlink" Target="notes://NTSSRVA2-ES9004/482577AD003A079B/2DE4D7C6DB3318834825772100340EE7/CA2C3BBEB483836B48258735001D4EA0" TargetMode="External"/><Relationship Id="rId244" Type="http://schemas.openxmlformats.org/officeDocument/2006/relationships/hyperlink" Target="notes://NTSSRVA2-ES9004/482577AD003A079B/2DE4D7C6DB3318834825772100340EE7/C5733FBB958AF44C4825873A002656BB" TargetMode="External"/><Relationship Id="rId18" Type="http://schemas.openxmlformats.org/officeDocument/2006/relationships/hyperlink" Target="notes://NTSSRV01_ES9999/482567740033CE07/9031299E792CDAD7482565F50008E69B/86CA9043CEA2871148258610001063E8" TargetMode="External"/><Relationship Id="rId39" Type="http://schemas.openxmlformats.org/officeDocument/2006/relationships/hyperlink" Target="notes://NTSSRVA2-ES9004/482577AD003A079B/2DE4D7C6DB3318834825772100340EE7/70B806A86A7A20DF4825862D005574DA" TargetMode="External"/><Relationship Id="rId265" Type="http://schemas.openxmlformats.org/officeDocument/2006/relationships/hyperlink" Target="notes://NTSSRVA2-ES9004/482577AD003A079B/2DE4D7C6DB3318834825772100340EE7/4A8E2702F9F75BBD48258751001C2B29" TargetMode="External"/><Relationship Id="rId286" Type="http://schemas.openxmlformats.org/officeDocument/2006/relationships/hyperlink" Target="otes://NTSSRVA2-ES9004/482577AD003A079B/2DE4D7C6DB3318834825772100340EE7/D8DCF6DF82C4A7D54825878800058614" TargetMode="External"/><Relationship Id="rId50" Type="http://schemas.openxmlformats.org/officeDocument/2006/relationships/hyperlink" Target="notes://NTSSRV01_ES9999/482567740033CE07/9031299E792CDAD7482565F50008E69B/40C02BF8BFF2A2DA48258641001F5585" TargetMode="External"/><Relationship Id="rId104" Type="http://schemas.openxmlformats.org/officeDocument/2006/relationships/hyperlink" Target="https://oadof.esunbank.com.tw/FormView/SystemChange?FormID=SC2021030400001&amp;Token=jQ2ACDybYYEwtcGxdtH8CBFg9PuHGJWE" TargetMode="External"/><Relationship Id="rId125" Type="http://schemas.openxmlformats.org/officeDocument/2006/relationships/hyperlink" Target="notes://NTSSRV01_ES9001/482568F50028A755/20FD738748DF3F3648256772001D8F8F/156E413871A26701482586CA0014A2F4" TargetMode="External"/><Relationship Id="rId146" Type="http://schemas.openxmlformats.org/officeDocument/2006/relationships/hyperlink" Target="https://oadof.esunbank.com.tw/FormView/SystemChange?FormID=SC2021060800001&amp;Token=y9V6vyorMyfzdxaMVLUhwMgQmoTjcaUL" TargetMode="External"/><Relationship Id="rId167" Type="http://schemas.openxmlformats.org/officeDocument/2006/relationships/hyperlink" Target="https://oadof.esunbank.com.tw/FormView/SystemChange?FormID=SC2021070700039&amp;Token=dFt9Kkc4yUd65rcxhPUWjBL7iMGDbScG" TargetMode="External"/><Relationship Id="rId188" Type="http://schemas.openxmlformats.org/officeDocument/2006/relationships/hyperlink" Target="https://oadof.esunbank.com.tw/FormView/SystemChange?FormID=SC2021072000073&amp;Token=AE8HUh7e9coGNqcUEjpa4THaAfFoSDhQ" TargetMode="External"/><Relationship Id="rId311" Type="http://schemas.openxmlformats.org/officeDocument/2006/relationships/hyperlink" Target="https://oadof.esunbank.com.tw/FormView/EventManagement?FormId=EM2022012800013" TargetMode="External"/><Relationship Id="rId71" Type="http://schemas.openxmlformats.org/officeDocument/2006/relationships/hyperlink" Target="notes://NTSSRV01_ES9999/482567740033CE07/9031299E792CDAD7482565F50008E69B/B0B2B88CE85BD3ED48258653002C6D7F" TargetMode="External"/><Relationship Id="rId92" Type="http://schemas.openxmlformats.org/officeDocument/2006/relationships/hyperlink" Target="notes://NTSSRV01_ES9999/482567740033CE07/9031299E792CDAD7482565F50008E69B/C2E7CC2EB126EE84482586810009703D" TargetMode="External"/><Relationship Id="rId213" Type="http://schemas.openxmlformats.org/officeDocument/2006/relationships/hyperlink" Target="notes://NTSSRVA2-ES9004/482577AD003A079B/2DE4D7C6DB3318834825772100340EE7/15B66AF3F4F9AA74482587330042BB86" TargetMode="External"/><Relationship Id="rId234" Type="http://schemas.openxmlformats.org/officeDocument/2006/relationships/hyperlink" Target="https://oadof.esunbank.com.tw/FormView/SystemChange?FormID=SC2021082000002&amp;Token=ztvCV7zuQ9n45LXMnJRq8ydqpZht9Sxe" TargetMode="External"/><Relationship Id="rId2" Type="http://schemas.openxmlformats.org/officeDocument/2006/relationships/hyperlink" Target="notes://NTSSRVA2-ES9004/482577AD003A079B/52103D44AFA82DAD482578250020B1AA/A31A42240544E17348258606003D9B74" TargetMode="External"/><Relationship Id="rId29" Type="http://schemas.openxmlformats.org/officeDocument/2006/relationships/hyperlink" Target="notes://NTSSRVA2-ES9004/482577AD003A079B/2DE4D7C6DB3318834825772100340EE7/F84EC6ED7B6165DB4825862600302D88" TargetMode="External"/><Relationship Id="rId255" Type="http://schemas.openxmlformats.org/officeDocument/2006/relationships/hyperlink" Target="notes://NTSSRVA2-ES9004/482577AD003A079B/2DE4D7C6DB3318834825772100340EE7/F1EEB3D61551B32A4825873E0009DC35" TargetMode="External"/><Relationship Id="rId276" Type="http://schemas.openxmlformats.org/officeDocument/2006/relationships/hyperlink" Target="https://oadof.esunbank.com.tw/FormView/SystemChange?FormID=SC2021101500052&amp;Token=eUiSEwxsn2yzwjrPuGdJtUrubXa4cm8y" TargetMode="External"/><Relationship Id="rId297" Type="http://schemas.openxmlformats.org/officeDocument/2006/relationships/hyperlink" Target="notes://NTSSRVA2-ES9004/482577AD003A079B/2DE4D7C6DB3318834825772100340EE7/A0B7FEE9A7ED7DD14825877C0020F6B1" TargetMode="External"/><Relationship Id="rId40" Type="http://schemas.openxmlformats.org/officeDocument/2006/relationships/hyperlink" Target="notes://NTSSRVA2-ES9004/482577AD003A079B/2DE4D7C6DB3318834825772100340EE7/65F89565CA921355482586330010F8B9" TargetMode="External"/><Relationship Id="rId115" Type="http://schemas.openxmlformats.org/officeDocument/2006/relationships/hyperlink" Target="notes://NTSSRV01_ES9001/482568F50028A755/20FD738748DF3F3648256772001D8F8F/6DFA4AA0BC4463AA482586A700083FB9" TargetMode="External"/><Relationship Id="rId136" Type="http://schemas.openxmlformats.org/officeDocument/2006/relationships/hyperlink" Target="https://oadof.esunbank.com.tw/Form/PopupFinish?FormId=SC2021051700070&amp;Btn=%E5%82%B3%E9%80%81&amp;token=78VxL7Xva3KGWecrrsRks9Xtyg4j76Xw" TargetMode="External"/><Relationship Id="rId157" Type="http://schemas.openxmlformats.org/officeDocument/2006/relationships/hyperlink" Target="https://oadof.esunbank.com.tw/FormView/SystemChange?FormID=SC2021062500032" TargetMode="External"/><Relationship Id="rId178" Type="http://schemas.openxmlformats.org/officeDocument/2006/relationships/hyperlink" Target="https://oadof.esunbank.com.tw/FormView/SystemChange?FormID=SC2021071200015&amp;Token=ZJYd2XYEEhtFku4GZWvfsJJtftbawnL6" TargetMode="External"/><Relationship Id="rId301" Type="http://schemas.openxmlformats.org/officeDocument/2006/relationships/hyperlink" Target="notes://NTSSRVA2-ES9004/482577AD003A079B/2DE4D7C6DB3318834825772100340EE7/944C25947876F7464825879000307E24" TargetMode="External"/><Relationship Id="rId61" Type="http://schemas.openxmlformats.org/officeDocument/2006/relationships/hyperlink" Target="notes://NTSSRVA2-ES9004/482577AD003A079B/2DE4D7C6DB3318834825772100340EE7/8AFB5F7926771E4D482586480030BF81" TargetMode="External"/><Relationship Id="rId82" Type="http://schemas.openxmlformats.org/officeDocument/2006/relationships/hyperlink" Target="notes://NTSSRV01_ES9001/482568F50028A755/20FD738748DF3F3648256772001D8F8F/48136E7BA36D8703482586570008F4A7" TargetMode="External"/><Relationship Id="rId199" Type="http://schemas.openxmlformats.org/officeDocument/2006/relationships/hyperlink" Target="notes://NTSSRVA2-ES9004/482577AD003A079B/2DE4D7C6DB3318834825772100340EE7/62CA1780193B0EC34825872500416976" TargetMode="External"/><Relationship Id="rId203" Type="http://schemas.openxmlformats.org/officeDocument/2006/relationships/hyperlink" Target="notes://NTSSRVA2-ES9004/482577AD003A079B/2DE4D7C6DB3318834825772100340EE7/D1DF5983DC63179448258726001E19B2" TargetMode="External"/><Relationship Id="rId19" Type="http://schemas.openxmlformats.org/officeDocument/2006/relationships/hyperlink" Target="notes://NTSSRV01_ES9999/482567740033CE07/00A053B6E5F5D75848256625002F493C/C8451468C9F63F60482586100010CCE4" TargetMode="External"/><Relationship Id="rId224" Type="http://schemas.openxmlformats.org/officeDocument/2006/relationships/hyperlink" Target="notes://NTSSRVA2-ES9004/482577AD003A079B/2DE4D7C6DB3318834825772100340EE7/FBB95A56B5D53EB0482587350037C73C" TargetMode="External"/><Relationship Id="rId245" Type="http://schemas.openxmlformats.org/officeDocument/2006/relationships/hyperlink" Target="notes://NTSSRVA2-ES9004/482577AD003A079B/2DE4D7C6DB3318834825772100340EE7/C5733FBB958AF44C4825873A002656BB" TargetMode="External"/><Relationship Id="rId266" Type="http://schemas.openxmlformats.org/officeDocument/2006/relationships/hyperlink" Target="notes://NTSSRVA2-ES9004/482577AD003A079B/2DE4D7C6DB3318834825772100340EE7/4A8E2702F9F75BBD48258751001C2B29" TargetMode="External"/><Relationship Id="rId287" Type="http://schemas.openxmlformats.org/officeDocument/2006/relationships/hyperlink" Target="notes://NTSSRVA2-ES9004/482577AD003A079B/2DE4D7C6DB3318834825772100340EE7/477DCA372DD09A04482587870034BCF8" TargetMode="External"/><Relationship Id="rId30" Type="http://schemas.openxmlformats.org/officeDocument/2006/relationships/hyperlink" Target="notes://NTSSRVA2-ES9004/482577AD003A079B/2DE4D7C6DB3318834825772100340EE7/F84EC6ED7B6165DB4825862600302D88" TargetMode="External"/><Relationship Id="rId105" Type="http://schemas.openxmlformats.org/officeDocument/2006/relationships/hyperlink" Target="notes://NTSSRVA2-ES9004/482577AD003A079B/2DE4D7C6DB3318834825772100340EE7/F6FF7CBB846AC71348258686002A01F9" TargetMode="External"/><Relationship Id="rId126" Type="http://schemas.openxmlformats.org/officeDocument/2006/relationships/hyperlink" Target="notes://NTSSRV01_ES9001/482568F50028A755/20FD738748DF3F3648256772001D8F8F/156E413871A26701482586CA0014A2F4" TargetMode="External"/><Relationship Id="rId147" Type="http://schemas.openxmlformats.org/officeDocument/2006/relationships/hyperlink" Target="notes://NTSSRVA2-ES9004/482577AD003A079B/2DE4D7C6DB3318834825772100340EE7/81DA68ACBD3921F4482586EF001044DF" TargetMode="External"/><Relationship Id="rId168" Type="http://schemas.openxmlformats.org/officeDocument/2006/relationships/hyperlink" Target="https://oadof.esunbank.com.tw/FormView/SystemChange?FormID=SC2021070700039&amp;Token=dFt9Kkc4yUd65rcxhPUWjBL7iMGDbScG" TargetMode="External"/><Relationship Id="rId312" Type="http://schemas.openxmlformats.org/officeDocument/2006/relationships/hyperlink" Target="https://oadof.esunbank.com.tw/FormView/SystemChange?FormId=SC2022012800032" TargetMode="External"/><Relationship Id="rId51" Type="http://schemas.openxmlformats.org/officeDocument/2006/relationships/hyperlink" Target="notes://NTSSRVA2-ES9004/482577AD003A079B/949327041579661F48257B48000FAC10/050C5A340727DDB04825863B00167B81" TargetMode="External"/><Relationship Id="rId72" Type="http://schemas.openxmlformats.org/officeDocument/2006/relationships/hyperlink" Target="notes://NTSSRV01_ES9999/482567740033CE07/9031299E792CDAD7482565F50008E69B/D4290A79E87E0FCC48258653002DACB3" TargetMode="External"/><Relationship Id="rId93" Type="http://schemas.openxmlformats.org/officeDocument/2006/relationships/hyperlink" Target="notes://NTSSRVA2-ES9004/482577AD003A079B/2DE4D7C6DB3318834825772100340EE7/27E67E776EE1DF4B48258681001F651E" TargetMode="External"/><Relationship Id="rId189" Type="http://schemas.openxmlformats.org/officeDocument/2006/relationships/hyperlink" Target="notes://NTSSRVA2-ES9004/482577AD003A079B/2DE4D7C6DB3318834825772100340EE7/29C5F445C68395A74825871A0002C50B" TargetMode="External"/><Relationship Id="rId3" Type="http://schemas.openxmlformats.org/officeDocument/2006/relationships/hyperlink" Target="notes://NTSSRVA2-ES9004/482577AD003A079B/2DE4D7C6DB3318834825772100340EE7/95FEBB92EED188524825860D005F9B4B" TargetMode="External"/><Relationship Id="rId214" Type="http://schemas.openxmlformats.org/officeDocument/2006/relationships/hyperlink" Target="https://oadof.esunbank.com.tw/FormView/SystemChange?FormID=SC2021081700002&amp;Token=vcBRxKWka8uvfR63pp7Jd2EJ5bxk8bjZ" TargetMode="External"/><Relationship Id="rId235" Type="http://schemas.openxmlformats.org/officeDocument/2006/relationships/hyperlink" Target="notes://NTSSRVA2-ES9004/482577AD003A079B/2DE4D7C6DB3318834825772100340EE7/C5CF67B09D58420648258739000C5F99" TargetMode="External"/><Relationship Id="rId256" Type="http://schemas.openxmlformats.org/officeDocument/2006/relationships/hyperlink" Target="notes://NTSSRVA2-ES9004/482577AD003A079B/2DE4D7C6DB3318834825772100340EE7/6448ACF7E03BF47048258744001074AE" TargetMode="External"/><Relationship Id="rId277" Type="http://schemas.openxmlformats.org/officeDocument/2006/relationships/hyperlink" Target="https://oadof.esunbank.com.tw/FormView/SystemChange?FormID=SC2021101800069&amp;Token=fLb5pk879GCQGV4GcLUY8eh26un5Env9" TargetMode="External"/><Relationship Id="rId298" Type="http://schemas.openxmlformats.org/officeDocument/2006/relationships/hyperlink" Target="https://oadof.esunbank.com.tw/FormView/SystemChange?FormID=SC2021111600041&amp;Token=Hd5WBz2gQpq3At4uxHBLfKudCje2Tt4a" TargetMode="External"/><Relationship Id="rId116" Type="http://schemas.openxmlformats.org/officeDocument/2006/relationships/hyperlink" Target="https://oadof.esunbank.com.tw/FormView/SystemChange?FormID=SC2021032900012&amp;Token=2DgStFBbR5hYX2wxPeswdoRa2eyzwCvy" TargetMode="External"/><Relationship Id="rId137" Type="http://schemas.openxmlformats.org/officeDocument/2006/relationships/hyperlink" Target="notes://NTSSRVA2-ES9004/482577AD003A079B/2DE4D7C6DB3318834825772100340EE7/FDC94BC176A3DEE8482586DB000F9BD5" TargetMode="External"/><Relationship Id="rId158" Type="http://schemas.openxmlformats.org/officeDocument/2006/relationships/hyperlink" Target="notes://NTSSRVA2-ES9004/482577AD003A079B/2DE4D7C6DB3318834825772100340EE7/772555F117D31BF548258702000FD67F" TargetMode="External"/><Relationship Id="rId302" Type="http://schemas.openxmlformats.org/officeDocument/2006/relationships/hyperlink" Target="notes://NTSSRVA2-ES9004/482577AD003A079B/2DE4D7C6DB3318834825772100340EE7/F5E7F439705A7F54482587A5001C5DD7" TargetMode="External"/><Relationship Id="rId20" Type="http://schemas.openxmlformats.org/officeDocument/2006/relationships/hyperlink" Target="notes://NTSSRV01_ES9001/482568F50028A755/20FD738748DF3F3648256772001D8F8F/EEFA02AA002B63024825860F001D3FA2" TargetMode="External"/><Relationship Id="rId41" Type="http://schemas.openxmlformats.org/officeDocument/2006/relationships/hyperlink" Target="notes://NTSSRV01_ES9001/482568F50028A755/FF7E36D9177EF83348256772001D8F92/CC9F6B591BE24CCF48258631002DE6C7" TargetMode="External"/><Relationship Id="rId62" Type="http://schemas.openxmlformats.org/officeDocument/2006/relationships/hyperlink" Target="notes://NTSSRVA2-ES9004/482577AD003A079B/D89A67292A57898448257B96002B0DBF/E8500CB1DDFA2312482586490012D01F" TargetMode="External"/><Relationship Id="rId83" Type="http://schemas.openxmlformats.org/officeDocument/2006/relationships/hyperlink" Target="notes://NTSSRV01_ES9999/482567740033CE07/9031299E792CDAD7482565F50008E69B/F637F4B6B8C73D0948258661002DFE90" TargetMode="External"/><Relationship Id="rId179" Type="http://schemas.openxmlformats.org/officeDocument/2006/relationships/hyperlink" Target="https://oadof.esunbank.com.tw/FormView/SystemChange?FormID=SC2021070800012&amp;Token=gGcFVdkmqzqLvAaZZipMzLox3C7kfbV7" TargetMode="External"/><Relationship Id="rId190" Type="http://schemas.openxmlformats.org/officeDocument/2006/relationships/hyperlink" Target="https://oadof.esunbank.com.tw/FormView/SystemChange?FormID=SC2021072200044&amp;Token=JesZMXT8iSNHeRPfaumx932PKPLHWunt" TargetMode="External"/><Relationship Id="rId204" Type="http://schemas.openxmlformats.org/officeDocument/2006/relationships/hyperlink" Target="notes://NTSSRVA2-ES9004/482577AD003A079B/2DE4D7C6DB3318834825772100340EE7/21903F3449965BA84825871E000BFF9A" TargetMode="External"/><Relationship Id="rId225" Type="http://schemas.openxmlformats.org/officeDocument/2006/relationships/hyperlink" Target="notes://NTSSRVA2-ES9004/482577AD003A079B/2DE4D7C6DB3318834825772100340EE7/C7F045E79E7F5DD54825873600350E3C" TargetMode="External"/><Relationship Id="rId246" Type="http://schemas.openxmlformats.org/officeDocument/2006/relationships/hyperlink" Target="notes://NTSSRVA2-ES9004/482577AD003A079B/2DE4D7C6DB3318834825772100340EE7/C5733FBB958AF44C4825873A002656BB" TargetMode="External"/><Relationship Id="rId267" Type="http://schemas.openxmlformats.org/officeDocument/2006/relationships/hyperlink" Target="notes://NTSSRVA2-ES9004/482577AD003A079B/2DE4D7C6DB3318834825772100340EE7/4A8E2702F9F75BBD48258751001C2B29" TargetMode="External"/><Relationship Id="rId288" Type="http://schemas.openxmlformats.org/officeDocument/2006/relationships/hyperlink" Target="https://oadof.esunbank.com.tw/FormView/SystemChange?FormID=SC2021110900013" TargetMode="External"/><Relationship Id="rId106" Type="http://schemas.openxmlformats.org/officeDocument/2006/relationships/hyperlink" Target="notes://NTSSRVA2-ES9004/482577AD003A079B/2DE4D7C6DB3318834825772100340EE7/635D33342EE8B2EE48258685000F4596" TargetMode="External"/><Relationship Id="rId127" Type="http://schemas.openxmlformats.org/officeDocument/2006/relationships/hyperlink" Target="notes://NTSSRVA2-ES9004/482577AD003A079B/2DE4D7C6DB3318834825772100340EE7/5ABF11D4AB964372482586CD005A48F9" TargetMode="External"/><Relationship Id="rId313" Type="http://schemas.openxmlformats.org/officeDocument/2006/relationships/hyperlink" Target="https://oadof.esunbank.com.tw/FormView/SystemChange?FormId=SC2022020800050" TargetMode="External"/><Relationship Id="rId10" Type="http://schemas.openxmlformats.org/officeDocument/2006/relationships/hyperlink" Target="notes://NTSSRVA2-ES9004/482577AD003A079B/52103D44AFA82DAD482578250020B1AA/B441327D92B4E53E48258608002424A0" TargetMode="External"/><Relationship Id="rId31" Type="http://schemas.openxmlformats.org/officeDocument/2006/relationships/hyperlink" Target="notes://NTSSRV01_ES9999/482567740033CE07/9031299E792CDAD7482565F50008E69B/EF288F0F17075260482586260036588C" TargetMode="External"/><Relationship Id="rId52" Type="http://schemas.openxmlformats.org/officeDocument/2006/relationships/hyperlink" Target="notes://NTSSRVA2-ES9004/482577AD003A079B/949327041579661F48257B48000FAC10/050C5A340727DDB04825863B00167B81" TargetMode="External"/><Relationship Id="rId73" Type="http://schemas.openxmlformats.org/officeDocument/2006/relationships/hyperlink" Target="notes://NTSSRV01_ES9999/482567740033CE07/9031299E792CDAD7482565F50008E69B/09375034DF79015448258653002E5850" TargetMode="External"/><Relationship Id="rId94" Type="http://schemas.openxmlformats.org/officeDocument/2006/relationships/hyperlink" Target="notes://NTSSRV01_ES9999/482567740033CE07/9031299E792CDAD7482565F50008E69B/1D87451092A8E7A2482586820003B0BF" TargetMode="External"/><Relationship Id="rId148" Type="http://schemas.openxmlformats.org/officeDocument/2006/relationships/hyperlink" Target="https://oadof.esunbank.com.tw/FormView/SystemChange?FormID=SC2021060300044&amp;Token=4Xgk5XHvkAcQW8uHLpctpXR8AfY4FmQ7" TargetMode="External"/><Relationship Id="rId169" Type="http://schemas.openxmlformats.org/officeDocument/2006/relationships/hyperlink" Target="https://oadof.esunbank.com.tw/FormView/SystemChange?FormID=SC2021070700039&amp;Token=dFt9Kkc4yUd65rcxhPUWjBL7iMGDbScG" TargetMode="External"/><Relationship Id="rId4" Type="http://schemas.openxmlformats.org/officeDocument/2006/relationships/hyperlink" Target="notes://NTSSRVA2-ES9004/482577AD003A079B/2DE4D7C6DB3318834825772100340EE7/981ADDDE29432D5A4825860D0026CC27" TargetMode="External"/><Relationship Id="rId180" Type="http://schemas.openxmlformats.org/officeDocument/2006/relationships/hyperlink" Target="notes://NTSSRVA2-ES9004/482577AD003A079B/2DE4D7C6DB3318834825772100340EE7/22B041CAB93FE7FC4825870C002DEE64" TargetMode="External"/><Relationship Id="rId215" Type="http://schemas.openxmlformats.org/officeDocument/2006/relationships/hyperlink" Target="https://oadof.esunbank.com.tw/FormView/SystemChange?FormID=SC2021081700004&amp;Token=vcBRxKWka8uvfR63pp7Jd2EJ5bxk8bjZ" TargetMode="External"/><Relationship Id="rId236" Type="http://schemas.openxmlformats.org/officeDocument/2006/relationships/hyperlink" Target="notes://NTSSRVA2-ES9004/482577AD003A079B/2DE4D7C6DB3318834825772100340EE7/D630BA1C69104AD8482587370034A975" TargetMode="External"/><Relationship Id="rId257" Type="http://schemas.openxmlformats.org/officeDocument/2006/relationships/hyperlink" Target="notes://NTSSRVA2-ES9004/482577AD003A079B/2DE4D7C6DB3318834825772100340EE7/33947AC96EDED4B64825874B0016AF70" TargetMode="External"/><Relationship Id="rId278" Type="http://schemas.openxmlformats.org/officeDocument/2006/relationships/hyperlink" Target="notes://NTSSRVA2-ES9004/482577AD003A079B/2DE4D7C6DB3318834825772100340EE7/1194E4AB888362CF48258776000240D0" TargetMode="External"/><Relationship Id="rId303" Type="http://schemas.openxmlformats.org/officeDocument/2006/relationships/hyperlink" Target="notes://NTSSRVA2-ES9004/482577AD003A079B/2DE4D7C6DB3318834825772100340EE7/8EFD4C6720BDD502482587AB00092683" TargetMode="External"/><Relationship Id="rId42" Type="http://schemas.openxmlformats.org/officeDocument/2006/relationships/hyperlink" Target="notes://NTSSRV01_ES9001/482568F50028A755/FF7E36D9177EF83348256772001D8F92/CC9F6B591BE24CCF48258631002DE6C7" TargetMode="External"/><Relationship Id="rId84" Type="http://schemas.openxmlformats.org/officeDocument/2006/relationships/hyperlink" Target="notes://NTSSRVA2-ES9004/482577AD003A079B/2DE4D7C6DB3318834825772100340EE7/2494591734A0C4F948258665001E5C57" TargetMode="External"/><Relationship Id="rId138" Type="http://schemas.openxmlformats.org/officeDocument/2006/relationships/hyperlink" Target="notes://NTSSRVA2-ES9004/482577AD003A079B/2DE4D7C6DB3318834825772100340EE7/CF9FDADE9516C78F482586DA0012FD03" TargetMode="External"/><Relationship Id="rId191" Type="http://schemas.openxmlformats.org/officeDocument/2006/relationships/hyperlink" Target="notes://NTSSRVA2-ES9004/482577AD003A079B/2DE4D7C6DB3318834825772100340EE7/082D44E40EE7422F4825871A003E3EE9" TargetMode="External"/><Relationship Id="rId205" Type="http://schemas.openxmlformats.org/officeDocument/2006/relationships/hyperlink" Target="https://oadof.esunbank.com.tw/FormView/SystemChange?FormID=SC2021080500002&amp;Token=yupAfYsiDSkd6GMK4fGPKLFejzwKDRjE" TargetMode="External"/><Relationship Id="rId247" Type="http://schemas.openxmlformats.org/officeDocument/2006/relationships/hyperlink" Target="notes://NTSSRVA2-ES9004/482577AD003A079B/2DE4D7C6DB3318834825772100340EE7/C5733FBB958AF44C4825873A002656BB" TargetMode="External"/><Relationship Id="rId107" Type="http://schemas.openxmlformats.org/officeDocument/2006/relationships/hyperlink" Target="notes://NTSSRVA2-ES9004/482577AD003A079B/2DE4D7C6DB3318834825772100340EE7/36DA4141D6A8922948258693007DE086" TargetMode="External"/><Relationship Id="rId289" Type="http://schemas.openxmlformats.org/officeDocument/2006/relationships/hyperlink" Target="https://oadof.esunbank.com.tw/FormView/SystemChange?FormID=SC2021110900098&amp;Token=SYEK7jjGWif7SbYcmJkAHhczJuqntWdn" TargetMode="External"/><Relationship Id="rId11" Type="http://schemas.openxmlformats.org/officeDocument/2006/relationships/hyperlink" Target="notes://NTSSRVA2-ES9004/482577AD003A079B/52103D44AFA82DAD482578250020B1AA/B441327D92B4E53E48258608002424A0" TargetMode="External"/><Relationship Id="rId53" Type="http://schemas.openxmlformats.org/officeDocument/2006/relationships/hyperlink" Target="notes://NTSSRVA2-ES9004/482577AD003A079B/949327041579661F48257B48000FAC10/08802A56B5DF7DF14825863F007C08EA" TargetMode="External"/><Relationship Id="rId149" Type="http://schemas.openxmlformats.org/officeDocument/2006/relationships/hyperlink" Target="notes://NTSSRVA2-ES9004/482577AD003A079B/2DE4D7C6DB3318834825772100340EE7/A8180D4B0047D2EB482586FB0011D2D3" TargetMode="External"/><Relationship Id="rId314" Type="http://schemas.openxmlformats.org/officeDocument/2006/relationships/printerSettings" Target="../printerSettings/printerSettings1.bin"/><Relationship Id="rId95" Type="http://schemas.openxmlformats.org/officeDocument/2006/relationships/hyperlink" Target="notes://NTSSRV01_ES9999/482567740033CE07/9031299E792CDAD7482565F50008E69B/B210C88DF50109AC48258682002CF192" TargetMode="External"/><Relationship Id="rId160" Type="http://schemas.openxmlformats.org/officeDocument/2006/relationships/hyperlink" Target="https://oadof.esunbank.com.tw/FormView/SystemChange?FormID=SC2021070500042&amp;Token=funVXZiXsKjdQ86jh64os7xBgbrqEfgf" TargetMode="External"/><Relationship Id="rId216" Type="http://schemas.openxmlformats.org/officeDocument/2006/relationships/hyperlink" Target="notes://NTSSRVA2-ES9004/482577AD003A079B/2DE4D7C6DB3318834825772100340EE7/784C963F2052B1BF4825873400077E24" TargetMode="External"/><Relationship Id="rId258" Type="http://schemas.openxmlformats.org/officeDocument/2006/relationships/hyperlink" Target="notes://NTSSRVA2-ES9004/482577AD003A079B/2DE4D7C6DB3318834825772100340EE7/4A8E2702F9F75BBD48258751001C2B29" TargetMode="External"/><Relationship Id="rId22" Type="http://schemas.openxmlformats.org/officeDocument/2006/relationships/hyperlink" Target="notes://NTSSRV01_ES9999/482567740033CE07/9031299E792CDAD7482565F50008E69B/8A58FFE27B82D76E482586110013EDA8" TargetMode="External"/><Relationship Id="rId64" Type="http://schemas.openxmlformats.org/officeDocument/2006/relationships/hyperlink" Target="notes://NTSSRV01_ES9999/482567740033CE07/9031299E792CDAD7482565F50008E69B/CDE9CB02D60FDCDD4825864D000B5023" TargetMode="External"/><Relationship Id="rId118" Type="http://schemas.openxmlformats.org/officeDocument/2006/relationships/hyperlink" Target="notes://NTSSRVA2-ES9004/482577AD003A079B/2DE4D7C6DB3318834825772100340EE7/A64AD36820F15A31482586B0000FDDB9" TargetMode="External"/><Relationship Id="rId171" Type="http://schemas.openxmlformats.org/officeDocument/2006/relationships/hyperlink" Target="https://oadof.esunbank.com.tw/FormView/SystemChange?FormID=SC2021070700039&amp;Token=dFt9Kkc4yUd65rcxhPUWjBL7iMGDbScG" TargetMode="External"/><Relationship Id="rId227" Type="http://schemas.openxmlformats.org/officeDocument/2006/relationships/hyperlink" Target="notes://NTSSRVA2-ES9004/482577AD003A079B/2DE4D7C6DB3318834825772100340EE7/C7F045E79E7F5DD54825873600350E3C" TargetMode="External"/><Relationship Id="rId269" Type="http://schemas.openxmlformats.org/officeDocument/2006/relationships/hyperlink" Target="notes://NTSSRVA2-ES9004/482577AD003A079B/2DE4D7C6DB3318834825772100340EE7/CF122949B9AF13B64825875A0025E04D" TargetMode="External"/><Relationship Id="rId33" Type="http://schemas.openxmlformats.org/officeDocument/2006/relationships/hyperlink" Target="notes://NTSSRV01_ES9999/482567740033CE07/9031299E792CDAD7482565F50008E69B/EF288F0F17075260482586260036588C" TargetMode="External"/><Relationship Id="rId129" Type="http://schemas.openxmlformats.org/officeDocument/2006/relationships/hyperlink" Target="notes://NTSSRVA2-ES9004/482577AD003A079B/52103D44AFA82DAD482578250020B1AA/D69E894DEB85565A482586CA0028DC83" TargetMode="External"/><Relationship Id="rId280" Type="http://schemas.openxmlformats.org/officeDocument/2006/relationships/hyperlink" Target="notes://NTSSRVA2-ES9004/482577AD003A079B/2DE4D7C6DB3318834825772100340EE7/8C438EFCF15F57CA4825877500147179" TargetMode="External"/><Relationship Id="rId75" Type="http://schemas.openxmlformats.org/officeDocument/2006/relationships/hyperlink" Target="notes://NTSSRV01_ES9999/482567740033CE07/9031299E792CDAD7482565F50008E69B/0B0C95B98652D7D548258655002A5632" TargetMode="External"/><Relationship Id="rId140" Type="http://schemas.openxmlformats.org/officeDocument/2006/relationships/hyperlink" Target="notes://NTSSRV01_ES9001/482568F50028A755/20FD738748DF3F3648256772001D8F8F/8EAF57D8759D803C482586DA001C6C67" TargetMode="External"/><Relationship Id="rId182" Type="http://schemas.openxmlformats.org/officeDocument/2006/relationships/hyperlink" Target="notes://NTSSRVA2-ES9004/482577AD003A079B/2DE4D7C6DB3318834825772100340EE7/0AA83DDB3AF86B0148258710002741A6" TargetMode="External"/><Relationship Id="rId6" Type="http://schemas.openxmlformats.org/officeDocument/2006/relationships/hyperlink" Target="notes://NTSSRVA2-ES9004/482577AD003A079B/52103D44AFA82DAD482578250020B1AA/DA75C44F9FBB7F13482586070020E0CD" TargetMode="External"/><Relationship Id="rId238" Type="http://schemas.openxmlformats.org/officeDocument/2006/relationships/hyperlink" Target="notes://NTSSRVA2-ES9004/482577AD003A079B/2DE4D7C6DB3318834825772100340EE7/9CF6D2E73993DE3D4825873A000EE451" TargetMode="External"/><Relationship Id="rId291" Type="http://schemas.openxmlformats.org/officeDocument/2006/relationships/hyperlink" Target="notes://NTSSRVA2-ES9004/482577AD003A079B/2DE4D7C6DB3318834825772100340EE7/451A7B467DC5940448258789001ECD19" TargetMode="External"/><Relationship Id="rId305" Type="http://schemas.openxmlformats.org/officeDocument/2006/relationships/hyperlink" Target="https://oadof.esunbank.com.tw/FormView/SystemChange?FormID=SC2022010500091" TargetMode="External"/><Relationship Id="rId44" Type="http://schemas.openxmlformats.org/officeDocument/2006/relationships/hyperlink" Target="notes://NTSSRV01_ES9999/482567740033CE07/00A053B6E5F5D75848256625002F493C/0D5F23928E5356BD48258632000A8DD7" TargetMode="External"/><Relationship Id="rId86" Type="http://schemas.openxmlformats.org/officeDocument/2006/relationships/hyperlink" Target="notes://NTSSRV01_ES9999/482567740033CE07/9031299E792CDAD7482565F50008E69B/9C78B2F817E4453E48258672001EC792" TargetMode="External"/><Relationship Id="rId151" Type="http://schemas.openxmlformats.org/officeDocument/2006/relationships/hyperlink" Target="https://oadof.esunbank.com.tw/FormView/SystemChange?FormID=SC2021062200003" TargetMode="External"/><Relationship Id="rId193" Type="http://schemas.openxmlformats.org/officeDocument/2006/relationships/hyperlink" Target="notes://NTSSRVA2-ES9004/482577AD003A079B/2DE4D7C6DB3318834825772100340EE7/21903F3449965BA84825871E000BFF9A" TargetMode="External"/><Relationship Id="rId207" Type="http://schemas.openxmlformats.org/officeDocument/2006/relationships/hyperlink" Target="https://oadof.esunbank.com.tw/FormView/SystemChange?FormID=SC2021080600020&amp;Token=n8pNGRXWrtsWepYqhDAu8P3hxfWS9wif" TargetMode="External"/><Relationship Id="rId249" Type="http://schemas.openxmlformats.org/officeDocument/2006/relationships/hyperlink" Target="notes://NTSSRVA2-ES9004/482577AD003A079B/2DE4D7C6DB3318834825772100340EE7/AC2298687FFD8EC94825873C005555E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sunny.liu-19432@email.esunbank.com.tw" TargetMode="External"/><Relationship Id="rId18" Type="http://schemas.openxmlformats.org/officeDocument/2006/relationships/hyperlink" Target="mailto:e31217-19598@email.esunbank.com.tw" TargetMode="External"/><Relationship Id="rId26" Type="http://schemas.openxmlformats.org/officeDocument/2006/relationships/hyperlink" Target="mailto:e31217-19598@email.esunbank.com.tw" TargetMode="External"/><Relationship Id="rId3" Type="http://schemas.openxmlformats.org/officeDocument/2006/relationships/hyperlink" Target="mailto:kylehsu-19348@email.esunbank.com.tw" TargetMode="External"/><Relationship Id="rId21" Type="http://schemas.openxmlformats.org/officeDocument/2006/relationships/hyperlink" Target="mailto:rjchenl-18442@email.esunbank.com.tw" TargetMode="External"/><Relationship Id="rId34" Type="http://schemas.openxmlformats.org/officeDocument/2006/relationships/printerSettings" Target="../printerSettings/printerSettings3.bin"/><Relationship Id="rId7" Type="http://schemas.openxmlformats.org/officeDocument/2006/relationships/hyperlink" Target="mailto:joanne-17774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hyperlink" Target="mailto:tram-18693@email.esunbank.com.tw" TargetMode="External"/><Relationship Id="rId25" Type="http://schemas.openxmlformats.org/officeDocument/2006/relationships/hyperlink" Target="mailto:tram-18693@email.esunbank.com.tw" TargetMode="External"/><Relationship Id="rId3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hus-11092@email.esunbank.com.tw" TargetMode="External"/><Relationship Id="rId16" Type="http://schemas.openxmlformats.org/officeDocument/2006/relationships/hyperlink" Target="mailto:tram-18693@email.esunbank.com.tw" TargetMode="External"/><Relationship Id="rId20" Type="http://schemas.openxmlformats.org/officeDocument/2006/relationships/hyperlink" Target="mailto:rjchenl-18442@email.esunbank.com.tw" TargetMode="External"/><Relationship Id="rId29" Type="http://schemas.openxmlformats.org/officeDocument/2006/relationships/hyperlink" Target="mailto:pce-04503@email.esunbank.com.tw" TargetMode="External"/><Relationship Id="rId1" Type="http://schemas.openxmlformats.org/officeDocument/2006/relationships/hyperlink" Target="mailto:pce-04503@email.esunbank.com.tw" TargetMode="External"/><Relationship Id="rId6" Type="http://schemas.openxmlformats.org/officeDocument/2006/relationships/hyperlink" Target="mailto:e31217-19598@email.esunbank.com.tw" TargetMode="External"/><Relationship Id="rId11" Type="http://schemas.openxmlformats.org/officeDocument/2006/relationships/hyperlink" Target="mailto:kylehsu-19348@email.esunbank.com.tw" TargetMode="External"/><Relationship Id="rId24" Type="http://schemas.openxmlformats.org/officeDocument/2006/relationships/hyperlink" Target="mailto:coolplay1030-18595@email.esunbank.com.tw" TargetMode="External"/><Relationship Id="rId32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sunny.liu-19432@email.esunbank.com.tw" TargetMode="External"/><Relationship Id="rId15" Type="http://schemas.openxmlformats.org/officeDocument/2006/relationships/hyperlink" Target="mailto:tram-18693@email.esunbank.com.tw" TargetMode="External"/><Relationship Id="rId23" Type="http://schemas.openxmlformats.org/officeDocument/2006/relationships/hyperlink" Target="mailto:rjchenl-18442@email.esunbank.com.tw" TargetMode="External"/><Relationship Id="rId28" Type="http://schemas.openxmlformats.org/officeDocument/2006/relationships/hyperlink" Target="mailto:coolplay1030-18595@email.esunbank.com.tw" TargetMode="External"/><Relationship Id="rId10" Type="http://schemas.openxmlformats.org/officeDocument/2006/relationships/hyperlink" Target="mailto:macjohn-19357@email.esunbank.com.tw" TargetMode="External"/><Relationship Id="rId19" Type="http://schemas.openxmlformats.org/officeDocument/2006/relationships/hyperlink" Target="mailto:rjchenl-18442@email.esunbank.com.tw" TargetMode="External"/><Relationship Id="rId31" Type="http://schemas.openxmlformats.org/officeDocument/2006/relationships/hyperlink" Target="mailto:juiling-21991@email.esunbank.com.tw" TargetMode="External"/><Relationship Id="rId4" Type="http://schemas.openxmlformats.org/officeDocument/2006/relationships/hyperlink" Target="mailto:macjohn-19357@email.esunbank.com.tw" TargetMode="External"/><Relationship Id="rId9" Type="http://schemas.openxmlformats.org/officeDocument/2006/relationships/hyperlink" Target="mailto:sunny.liu-19432@email.esunbank.com.tw" TargetMode="External"/><Relationship Id="rId14" Type="http://schemas.openxmlformats.org/officeDocument/2006/relationships/hyperlink" Target="mailto:tram-18693@email.esunbank.com.tw" TargetMode="External"/><Relationship Id="rId22" Type="http://schemas.openxmlformats.org/officeDocument/2006/relationships/hyperlink" Target="mailto:e31217-19598@email.esunbank.com.tw" TargetMode="External"/><Relationship Id="rId27" Type="http://schemas.openxmlformats.org/officeDocument/2006/relationships/hyperlink" Target="mailto:rjchenl-18442@email.esunbank.com.tw" TargetMode="External"/><Relationship Id="rId30" Type="http://schemas.openxmlformats.org/officeDocument/2006/relationships/hyperlink" Target="mailto:sunny.liu-19432@email.esunbank.com.tw" TargetMode="External"/><Relationship Id="rId8" Type="http://schemas.openxmlformats.org/officeDocument/2006/relationships/hyperlink" Target="mailto:pce-04503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QP1048576"/>
  <sheetViews>
    <sheetView showGridLines="0" tabSelected="1" zoomScale="55" zoomScaleNormal="55" workbookViewId="0">
      <pane xSplit="3" ySplit="4" topLeftCell="D371" activePane="bottomRight" state="frozen"/>
      <selection pane="topRight" activeCell="D1" sqref="D1"/>
      <selection pane="bottomLeft" activeCell="A5" sqref="A5"/>
      <selection pane="bottomRight" activeCell="G389" sqref="G389"/>
    </sheetView>
  </sheetViews>
  <sheetFormatPr defaultRowHeight="16.5" outlineLevelCol="1" x14ac:dyDescent="0.25"/>
  <cols>
    <col min="1" max="1" width="34" bestFit="1" customWidth="1"/>
    <col min="2" max="2" width="39.375" style="21" bestFit="1" customWidth="1"/>
    <col min="3" max="3" width="21.75" style="26" bestFit="1" customWidth="1"/>
    <col min="4" max="4" width="29.75" bestFit="1" customWidth="1"/>
    <col min="5" max="5" width="23.75" bestFit="1" customWidth="1"/>
    <col min="6" max="6" width="21.375" customWidth="1"/>
    <col min="7" max="7" width="21.25" style="1" bestFit="1" customWidth="1"/>
    <col min="8" max="8" width="13.625" customWidth="1"/>
    <col min="9" max="9" width="17.625" style="23" bestFit="1" customWidth="1"/>
    <col min="10" max="10" width="19.75" style="17" bestFit="1" customWidth="1"/>
    <col min="11" max="11" width="21" style="24" customWidth="1"/>
    <col min="12" max="12" width="21.25" style="17" bestFit="1" customWidth="1"/>
    <col min="13" max="13" width="12.625" style="17" customWidth="1"/>
    <col min="14" max="14" width="12" style="17" customWidth="1"/>
    <col min="15" max="15" width="35.375" customWidth="1" outlineLevel="1"/>
    <col min="16" max="16" width="60.375" customWidth="1" outlineLevel="1"/>
    <col min="17" max="18" width="19.25" customWidth="1" outlineLevel="1"/>
    <col min="19" max="19" width="18.5" style="17" customWidth="1"/>
    <col min="20" max="20" width="32.625" customWidth="1"/>
    <col min="21" max="21" width="23.25" customWidth="1"/>
    <col min="22" max="22" width="64.375" customWidth="1"/>
    <col min="23" max="23" width="26.875" customWidth="1"/>
    <col min="24" max="25" width="36.625" bestFit="1" customWidth="1"/>
    <col min="26" max="26" width="34" bestFit="1" customWidth="1"/>
    <col min="27" max="27" width="14.625" style="47" bestFit="1" customWidth="1"/>
    <col min="28" max="30" width="9" customWidth="1"/>
    <col min="31" max="31" width="30.875" bestFit="1" customWidth="1"/>
    <col min="32" max="32" width="22.25" bestFit="1" customWidth="1"/>
  </cols>
  <sheetData>
    <row r="1" spans="1:32" x14ac:dyDescent="0.25">
      <c r="B1" s="21" t="str">
        <f>IF(COUNTIF(R:R,"mail")=0,"","有待寄信")</f>
        <v>有待寄信</v>
      </c>
      <c r="I1" s="26"/>
    </row>
    <row r="2" spans="1:32" x14ac:dyDescent="0.25">
      <c r="I2" s="26"/>
    </row>
    <row r="3" spans="1:32" x14ac:dyDescent="0.25">
      <c r="I3" s="26"/>
      <c r="R3" t="s">
        <v>3357</v>
      </c>
      <c r="X3" t="s">
        <v>1455</v>
      </c>
      <c r="AE3" t="s">
        <v>1455</v>
      </c>
    </row>
    <row r="4" spans="1:32" s="21" customFormat="1" x14ac:dyDescent="0.25">
      <c r="A4" s="3" t="s">
        <v>26</v>
      </c>
      <c r="B4" s="4" t="s">
        <v>25</v>
      </c>
      <c r="C4" s="27" t="s">
        <v>53</v>
      </c>
      <c r="D4" s="3" t="s">
        <v>19</v>
      </c>
      <c r="E4" s="3" t="s">
        <v>313</v>
      </c>
      <c r="F4" s="3" t="s">
        <v>49</v>
      </c>
      <c r="G4" s="28" t="s">
        <v>304</v>
      </c>
      <c r="H4" s="3" t="s">
        <v>48</v>
      </c>
      <c r="I4" s="27" t="s">
        <v>135</v>
      </c>
      <c r="J4" s="18" t="s">
        <v>288</v>
      </c>
      <c r="K4" s="3" t="s">
        <v>291</v>
      </c>
      <c r="L4" s="18" t="s">
        <v>286</v>
      </c>
      <c r="M4" s="18" t="s">
        <v>287</v>
      </c>
      <c r="N4" s="18" t="s">
        <v>290</v>
      </c>
      <c r="O4" s="19" t="s">
        <v>95</v>
      </c>
      <c r="P4" s="19" t="s">
        <v>96</v>
      </c>
      <c r="Q4" s="19" t="s">
        <v>97</v>
      </c>
      <c r="R4" s="19" t="s">
        <v>179</v>
      </c>
      <c r="S4" s="3" t="s">
        <v>295</v>
      </c>
      <c r="T4" s="20" t="s">
        <v>23</v>
      </c>
      <c r="U4" s="20" t="s">
        <v>22</v>
      </c>
      <c r="V4" s="20" t="s">
        <v>24</v>
      </c>
      <c r="W4" s="20" t="s">
        <v>2312</v>
      </c>
      <c r="X4" s="20" t="s">
        <v>0</v>
      </c>
      <c r="Y4" s="20" t="s">
        <v>263</v>
      </c>
      <c r="Z4" s="20" t="s">
        <v>1544</v>
      </c>
      <c r="AA4" s="48" t="s">
        <v>808</v>
      </c>
      <c r="AB4" s="20" t="s">
        <v>1974</v>
      </c>
      <c r="AC4" s="20" t="s">
        <v>2314</v>
      </c>
      <c r="AD4" s="20" t="s">
        <v>271</v>
      </c>
      <c r="AE4" s="20" t="s">
        <v>272</v>
      </c>
      <c r="AF4" s="20" t="s">
        <v>273</v>
      </c>
    </row>
    <row r="5" spans="1:32" x14ac:dyDescent="0.25">
      <c r="A5" s="4" t="str">
        <f t="shared" ref="A5:A32" si="0">"'"&amp;X5&amp;"',"</f>
        <v>'1603451891680366-3530530-31-02',</v>
      </c>
      <c r="B5" s="4" t="str">
        <f t="shared" ref="B5:B27" si="1">"'"&amp;T5&amp;"',"</f>
        <v>'1603451891883653-3530541-86-02',</v>
      </c>
      <c r="C5" s="15" t="s">
        <v>60</v>
      </c>
      <c r="D5" s="5" t="s">
        <v>61</v>
      </c>
      <c r="E5" s="5" t="str">
        <f>IF(F5&lt;&gt;"","DONE","")</f>
        <v>DONE</v>
      </c>
      <c r="F5" s="30" t="s">
        <v>3649</v>
      </c>
      <c r="G5" s="29" t="str">
        <f>IF(H5&lt;&gt;"","DONE","")</f>
        <v>DONE</v>
      </c>
      <c r="H5" s="5" t="s">
        <v>334</v>
      </c>
      <c r="I5" s="22" t="s">
        <v>27</v>
      </c>
      <c r="J5" s="16"/>
      <c r="K5" s="25"/>
      <c r="L5" s="16"/>
      <c r="M5" s="16" t="str">
        <f t="shared" ref="M5:M36" si="2">IF($L5&lt;&gt;"",IF($L5="清除同步失敗註記","UPDATE CIFX.TB_SERVICE_EXECUTION_CONTROL SET EXECUTION_STATE = "&amp;"'"&amp;"EXECUTED"&amp;"'"&amp;", ap_server_EXECUTING = NULL WHERE SERVICE_EXECUTION_CONTROL_ID IN ("&amp;"'"&amp;$Y5&amp;"'"&amp;")and execution_type = "&amp;"'"&amp;"STAGE1_EXECUTION"&amp;"'"&amp;"",IF($L5="重送CIP電文","UPDATE CIFX.TB_SERVICE_EXECUTION_CONTROL SET EXECUTION_STATE = "&amp;"'"&amp;"TO_EXECUTE"&amp;"'"&amp;",RESULT_CODE = NULL,EXECUTING_TIMESTAMP = null,EXECUTED_TIMESTAMP = null,ap_server_EXECUTING = NULL WHERE SERVICE_EXECUTION_CONTROL_ID IN ("&amp;"'"&amp;$Y5&amp;"'"&amp;") AND EXECUTION_TYPE = "&amp;"'"&amp;"STAGE1_EXECUTION"&amp;"'"&amp;"","沒有對應")),"")</f>
        <v/>
      </c>
      <c r="N5" s="16" t="str">
        <f t="shared" ref="N5:N36" si="3">IF($L5&lt;&gt;"","SELECT EXECUTION_TYPE,SERVICE_INTERCHANGE_ID,CIRCI_KEY,EXECUTION_STATE FROM CIFX.TB_SERVICE_EXECUTION_CONTROL WHERE SERVICE_EXECUTION_CONTROL_ID IN ("&amp;"'"&amp;$Y5&amp;"'"&amp;") AND EXECUTION_TYPE = "&amp;"'"&amp;"STAGE1_EXECUTION"&amp;"'"&amp;"","")</f>
        <v/>
      </c>
      <c r="O5" s="7">
        <v>11</v>
      </c>
      <c r="P5" s="7">
        <v>22</v>
      </c>
      <c r="Q5" s="7" t="s">
        <v>235</v>
      </c>
      <c r="R5" s="7"/>
      <c r="S5" s="16"/>
      <c r="T5" s="4" t="s">
        <v>335</v>
      </c>
      <c r="U5" s="4" t="s">
        <v>17</v>
      </c>
      <c r="V5" s="4" t="s">
        <v>332</v>
      </c>
      <c r="W5" s="4"/>
      <c r="X5" s="4" t="s">
        <v>336</v>
      </c>
      <c r="Y5" s="4"/>
      <c r="Z5" s="4"/>
      <c r="AA5" s="37" t="s">
        <v>39</v>
      </c>
      <c r="AB5" s="4"/>
      <c r="AC5" s="4"/>
      <c r="AD5" s="4" t="s">
        <v>337</v>
      </c>
      <c r="AE5" s="4"/>
      <c r="AF5" s="4"/>
    </row>
    <row r="6" spans="1:32" x14ac:dyDescent="0.25">
      <c r="A6" s="4" t="str">
        <f t="shared" si="0"/>
        <v>'1603291471153167-3171007-57-01',</v>
      </c>
      <c r="B6" s="4" t="str">
        <f t="shared" si="1"/>
        <v>'1603291674917878-3177380-56-02',</v>
      </c>
      <c r="C6" s="15"/>
      <c r="D6" s="5"/>
      <c r="E6" s="5" t="str">
        <f t="shared" ref="E6:E69" si="4">IF(F6&lt;&gt;"","DONE","")</f>
        <v>DONE</v>
      </c>
      <c r="F6" s="30" t="s">
        <v>333</v>
      </c>
      <c r="G6" s="29" t="str">
        <f t="shared" ref="G6:G67" si="5">IF(H6&lt;&gt;"","DONE","")</f>
        <v>DONE</v>
      </c>
      <c r="H6" s="5" t="s">
        <v>334</v>
      </c>
      <c r="I6" s="22" t="s">
        <v>27</v>
      </c>
      <c r="J6" s="16"/>
      <c r="K6" s="25"/>
      <c r="L6" s="16"/>
      <c r="M6" s="16" t="str">
        <f t="shared" si="2"/>
        <v/>
      </c>
      <c r="N6" s="16" t="str">
        <f t="shared" si="3"/>
        <v/>
      </c>
      <c r="O6" s="7" t="s">
        <v>314</v>
      </c>
      <c r="P6" s="7" t="s">
        <v>338</v>
      </c>
      <c r="Q6" s="7" t="s">
        <v>296</v>
      </c>
      <c r="R6" s="7"/>
      <c r="S6" s="16"/>
      <c r="T6" s="4" t="s">
        <v>339</v>
      </c>
      <c r="U6" s="4" t="s">
        <v>17</v>
      </c>
      <c r="V6" s="4" t="s">
        <v>332</v>
      </c>
      <c r="W6" s="4"/>
      <c r="X6" s="4" t="s">
        <v>340</v>
      </c>
      <c r="Y6" s="4"/>
      <c r="Z6" s="4"/>
      <c r="AA6" s="37" t="s">
        <v>29</v>
      </c>
      <c r="AB6" s="4"/>
      <c r="AC6" s="4"/>
      <c r="AD6" s="4" t="s">
        <v>341</v>
      </c>
      <c r="AE6" s="4"/>
      <c r="AF6" s="4"/>
    </row>
    <row r="7" spans="1:32" x14ac:dyDescent="0.25">
      <c r="A7" s="4" t="str">
        <f t="shared" si="0"/>
        <v>'1603291674701964-3177341-48-02',</v>
      </c>
      <c r="B7" s="4" t="str">
        <f t="shared" si="1"/>
        <v>'1603291638094428-3171071-27-01',</v>
      </c>
      <c r="C7" s="15"/>
      <c r="D7" s="5"/>
      <c r="E7" s="5" t="str">
        <f t="shared" si="4"/>
        <v>DONE</v>
      </c>
      <c r="F7" s="30" t="s">
        <v>333</v>
      </c>
      <c r="G7" s="29" t="str">
        <f t="shared" si="5"/>
        <v>DONE</v>
      </c>
      <c r="H7" s="5" t="s">
        <v>334</v>
      </c>
      <c r="I7" s="22" t="s">
        <v>27</v>
      </c>
      <c r="J7" s="16"/>
      <c r="K7" s="25"/>
      <c r="L7" s="16"/>
      <c r="M7" s="16" t="str">
        <f t="shared" si="2"/>
        <v/>
      </c>
      <c r="N7" s="16" t="str">
        <f t="shared" si="3"/>
        <v/>
      </c>
      <c r="O7" s="7" t="s">
        <v>314</v>
      </c>
      <c r="P7" s="7" t="s">
        <v>338</v>
      </c>
      <c r="Q7" s="7" t="s">
        <v>296</v>
      </c>
      <c r="R7" s="7"/>
      <c r="S7" s="16"/>
      <c r="T7" s="4" t="s">
        <v>342</v>
      </c>
      <c r="U7" s="4" t="s">
        <v>17</v>
      </c>
      <c r="V7" s="4" t="s">
        <v>332</v>
      </c>
      <c r="W7" s="4"/>
      <c r="X7" s="4" t="s">
        <v>343</v>
      </c>
      <c r="Y7" s="4"/>
      <c r="Z7" s="4"/>
      <c r="AA7" s="37" t="s">
        <v>30</v>
      </c>
      <c r="AB7" s="4"/>
      <c r="AC7" s="4"/>
      <c r="AD7" s="4" t="s">
        <v>344</v>
      </c>
      <c r="AE7" s="4"/>
      <c r="AF7" s="4"/>
    </row>
    <row r="8" spans="1:32" x14ac:dyDescent="0.25">
      <c r="A8" s="4" t="str">
        <f t="shared" si="0"/>
        <v>'1603291430440417-3171071-30-01',</v>
      </c>
      <c r="B8" s="4" t="str">
        <f t="shared" si="1"/>
        <v>'1603291593462505-3171127-88-01',</v>
      </c>
      <c r="C8" s="15"/>
      <c r="D8" s="5"/>
      <c r="E8" s="5" t="str">
        <f t="shared" si="4"/>
        <v>DONE</v>
      </c>
      <c r="F8" s="30" t="s">
        <v>333</v>
      </c>
      <c r="G8" s="29" t="str">
        <f t="shared" si="5"/>
        <v>DONE</v>
      </c>
      <c r="H8" s="5" t="s">
        <v>334</v>
      </c>
      <c r="I8" s="22" t="s">
        <v>27</v>
      </c>
      <c r="J8" s="16"/>
      <c r="K8" s="25"/>
      <c r="L8" s="16"/>
      <c r="M8" s="16" t="str">
        <f t="shared" si="2"/>
        <v/>
      </c>
      <c r="N8" s="16" t="str">
        <f t="shared" si="3"/>
        <v/>
      </c>
      <c r="O8" s="7"/>
      <c r="P8" s="7"/>
      <c r="Q8" s="7"/>
      <c r="R8" s="7"/>
      <c r="S8" s="16"/>
      <c r="T8" s="4" t="s">
        <v>345</v>
      </c>
      <c r="U8" s="4" t="s">
        <v>17</v>
      </c>
      <c r="V8" s="4" t="s">
        <v>332</v>
      </c>
      <c r="W8" s="4"/>
      <c r="X8" s="4" t="s">
        <v>346</v>
      </c>
      <c r="Y8" s="4"/>
      <c r="Z8" s="4"/>
      <c r="AA8" s="37" t="s">
        <v>31</v>
      </c>
      <c r="AB8" s="4"/>
      <c r="AC8" s="4"/>
      <c r="AD8" s="4" t="s">
        <v>347</v>
      </c>
      <c r="AE8" s="4"/>
      <c r="AF8" s="4"/>
    </row>
    <row r="9" spans="1:32" x14ac:dyDescent="0.25">
      <c r="A9" s="4" t="str">
        <f t="shared" si="0"/>
        <v>'1603291509487458-3171071-04-01',</v>
      </c>
      <c r="B9" s="4" t="str">
        <f t="shared" si="1"/>
        <v>'1603291509669519-3171071-12-01',</v>
      </c>
      <c r="C9" s="15"/>
      <c r="D9" s="5"/>
      <c r="E9" s="5" t="str">
        <f t="shared" si="4"/>
        <v>DONE</v>
      </c>
      <c r="F9" s="30" t="s">
        <v>333</v>
      </c>
      <c r="G9" s="29" t="str">
        <f t="shared" si="5"/>
        <v>DONE</v>
      </c>
      <c r="H9" s="5" t="s">
        <v>334</v>
      </c>
      <c r="I9" s="22" t="s">
        <v>27</v>
      </c>
      <c r="J9" s="16"/>
      <c r="K9" s="25"/>
      <c r="L9" s="16"/>
      <c r="M9" s="16" t="str">
        <f t="shared" si="2"/>
        <v/>
      </c>
      <c r="N9" s="16" t="str">
        <f t="shared" si="3"/>
        <v/>
      </c>
      <c r="O9" s="7"/>
      <c r="P9" s="7"/>
      <c r="Q9" s="7"/>
      <c r="R9" s="7"/>
      <c r="S9" s="16"/>
      <c r="T9" s="4" t="s">
        <v>348</v>
      </c>
      <c r="U9" s="4" t="s">
        <v>17</v>
      </c>
      <c r="V9" s="4" t="s">
        <v>332</v>
      </c>
      <c r="W9" s="4"/>
      <c r="X9" s="4" t="s">
        <v>349</v>
      </c>
      <c r="Y9" s="4"/>
      <c r="Z9" s="4"/>
      <c r="AA9" s="37" t="s">
        <v>32</v>
      </c>
      <c r="AB9" s="4"/>
      <c r="AC9" s="4"/>
      <c r="AD9" s="4" t="s">
        <v>350</v>
      </c>
      <c r="AE9" s="4"/>
      <c r="AF9" s="4"/>
    </row>
    <row r="10" spans="1:32" x14ac:dyDescent="0.25">
      <c r="A10" s="4" t="str">
        <f t="shared" si="0"/>
        <v>'1603291358449531-3170913-77-01',</v>
      </c>
      <c r="B10" s="4" t="str">
        <f t="shared" si="1"/>
        <v>'1603291471516408-3171079-71-01',</v>
      </c>
      <c r="C10" s="15"/>
      <c r="D10" s="5"/>
      <c r="E10" s="5" t="str">
        <f t="shared" si="4"/>
        <v>DONE</v>
      </c>
      <c r="F10" s="30" t="s">
        <v>333</v>
      </c>
      <c r="G10" s="29" t="str">
        <f t="shared" si="5"/>
        <v>DONE</v>
      </c>
      <c r="H10" s="5" t="s">
        <v>334</v>
      </c>
      <c r="I10" s="22" t="s">
        <v>27</v>
      </c>
      <c r="J10" s="16"/>
      <c r="K10" s="25"/>
      <c r="L10" s="16"/>
      <c r="M10" s="16" t="str">
        <f t="shared" si="2"/>
        <v/>
      </c>
      <c r="N10" s="16" t="str">
        <f t="shared" si="3"/>
        <v/>
      </c>
      <c r="O10" s="7"/>
      <c r="P10" s="7"/>
      <c r="Q10" s="7"/>
      <c r="R10" s="7"/>
      <c r="S10" s="16"/>
      <c r="T10" s="4" t="s">
        <v>351</v>
      </c>
      <c r="U10" s="4" t="s">
        <v>17</v>
      </c>
      <c r="V10" s="4" t="s">
        <v>332</v>
      </c>
      <c r="W10" s="4"/>
      <c r="X10" s="4" t="s">
        <v>352</v>
      </c>
      <c r="Y10" s="4"/>
      <c r="Z10" s="4"/>
      <c r="AA10" s="37" t="s">
        <v>33</v>
      </c>
      <c r="AB10" s="4"/>
      <c r="AC10" s="4"/>
      <c r="AD10" s="4" t="s">
        <v>353</v>
      </c>
      <c r="AE10" s="4"/>
      <c r="AF10" s="4"/>
    </row>
    <row r="11" spans="1:32" x14ac:dyDescent="0.25">
      <c r="A11" s="4" t="str">
        <f t="shared" si="0"/>
        <v>'1603291637924143-3171071-13-01',</v>
      </c>
      <c r="B11" s="4" t="str">
        <f t="shared" si="1"/>
        <v>'1603291430619363-3171071-50-01',</v>
      </c>
      <c r="C11" s="15"/>
      <c r="D11" s="5"/>
      <c r="E11" s="5" t="str">
        <f t="shared" si="4"/>
        <v>DONE</v>
      </c>
      <c r="F11" s="30" t="s">
        <v>333</v>
      </c>
      <c r="G11" s="29" t="str">
        <f t="shared" si="5"/>
        <v>DONE</v>
      </c>
      <c r="H11" s="5" t="s">
        <v>334</v>
      </c>
      <c r="I11" s="22" t="s">
        <v>27</v>
      </c>
      <c r="J11" s="16"/>
      <c r="K11" s="25"/>
      <c r="L11" s="16"/>
      <c r="M11" s="16" t="str">
        <f t="shared" si="2"/>
        <v/>
      </c>
      <c r="N11" s="16" t="str">
        <f t="shared" si="3"/>
        <v/>
      </c>
      <c r="O11" s="7"/>
      <c r="P11" s="7"/>
      <c r="Q11" s="7"/>
      <c r="R11" s="7"/>
      <c r="S11" s="16"/>
      <c r="T11" s="4" t="s">
        <v>354</v>
      </c>
      <c r="U11" s="4" t="s">
        <v>17</v>
      </c>
      <c r="V11" s="4" t="s">
        <v>332</v>
      </c>
      <c r="W11" s="4"/>
      <c r="X11" s="4" t="s">
        <v>355</v>
      </c>
      <c r="Y11" s="4"/>
      <c r="Z11" s="4"/>
      <c r="AA11" s="37" t="s">
        <v>34</v>
      </c>
      <c r="AB11" s="4"/>
      <c r="AC11" s="4"/>
      <c r="AD11" s="4" t="s">
        <v>356</v>
      </c>
      <c r="AE11" s="4"/>
      <c r="AF11" s="4"/>
    </row>
    <row r="12" spans="1:32" x14ac:dyDescent="0.25">
      <c r="A12" s="4" t="str">
        <f t="shared" si="0"/>
        <v>'1603291593196452-3177339-75-02',</v>
      </c>
      <c r="B12" s="4" t="str">
        <f t="shared" si="1"/>
        <v>'1603291358872359-3170980-03-01',</v>
      </c>
      <c r="C12" s="15"/>
      <c r="D12" s="5"/>
      <c r="E12" s="5" t="str">
        <f t="shared" si="4"/>
        <v>DONE</v>
      </c>
      <c r="F12" s="30" t="s">
        <v>333</v>
      </c>
      <c r="G12" s="29" t="str">
        <f t="shared" si="5"/>
        <v>DONE</v>
      </c>
      <c r="H12" s="5" t="s">
        <v>334</v>
      </c>
      <c r="I12" s="22" t="s">
        <v>27</v>
      </c>
      <c r="J12" s="16"/>
      <c r="K12" s="25"/>
      <c r="L12" s="16"/>
      <c r="M12" s="16" t="str">
        <f t="shared" si="2"/>
        <v/>
      </c>
      <c r="N12" s="16" t="str">
        <f t="shared" si="3"/>
        <v/>
      </c>
      <c r="O12" s="7"/>
      <c r="P12" s="7"/>
      <c r="Q12" s="7"/>
      <c r="R12" s="7"/>
      <c r="S12" s="16"/>
      <c r="T12" s="4" t="s">
        <v>357</v>
      </c>
      <c r="U12" s="4" t="s">
        <v>17</v>
      </c>
      <c r="V12" s="4" t="s">
        <v>332</v>
      </c>
      <c r="W12" s="4"/>
      <c r="X12" s="4" t="s">
        <v>358</v>
      </c>
      <c r="Y12" s="4"/>
      <c r="Z12" s="4"/>
      <c r="AA12" s="37" t="s">
        <v>35</v>
      </c>
      <c r="AB12" s="4"/>
      <c r="AC12" s="4"/>
      <c r="AD12" s="4" t="s">
        <v>359</v>
      </c>
      <c r="AE12" s="4"/>
      <c r="AF12" s="4"/>
    </row>
    <row r="13" spans="1:32" x14ac:dyDescent="0.25">
      <c r="A13" s="4" t="str">
        <f t="shared" si="0"/>
        <v>'1603290622847104-3176674-26-02',</v>
      </c>
      <c r="B13" s="4" t="str">
        <f t="shared" si="1"/>
        <v>'1603291304980740-3170928-97-01',</v>
      </c>
      <c r="C13" s="15"/>
      <c r="D13" s="5"/>
      <c r="E13" s="5" t="str">
        <f t="shared" si="4"/>
        <v>DONE</v>
      </c>
      <c r="F13" s="30" t="s">
        <v>333</v>
      </c>
      <c r="G13" s="29" t="str">
        <f t="shared" si="5"/>
        <v>DONE</v>
      </c>
      <c r="H13" s="5" t="s">
        <v>334</v>
      </c>
      <c r="I13" s="22" t="s">
        <v>27</v>
      </c>
      <c r="J13" s="16"/>
      <c r="K13" s="25"/>
      <c r="L13" s="16"/>
      <c r="M13" s="16" t="str">
        <f t="shared" si="2"/>
        <v/>
      </c>
      <c r="N13" s="16" t="str">
        <f t="shared" si="3"/>
        <v/>
      </c>
      <c r="O13" s="7"/>
      <c r="P13" s="7"/>
      <c r="Q13" s="7"/>
      <c r="R13" s="7"/>
      <c r="S13" s="16"/>
      <c r="T13" s="4" t="s">
        <v>360</v>
      </c>
      <c r="U13" s="4" t="s">
        <v>17</v>
      </c>
      <c r="V13" s="4" t="s">
        <v>332</v>
      </c>
      <c r="W13" s="4"/>
      <c r="X13" s="4" t="s">
        <v>361</v>
      </c>
      <c r="Y13" s="4"/>
      <c r="Z13" s="4"/>
      <c r="AA13" s="37" t="s">
        <v>2</v>
      </c>
      <c r="AB13" s="4"/>
      <c r="AC13" s="4"/>
      <c r="AD13" s="4" t="s">
        <v>362</v>
      </c>
      <c r="AE13" s="4"/>
      <c r="AF13" s="4"/>
    </row>
    <row r="14" spans="1:32" x14ac:dyDescent="0.25">
      <c r="A14" s="4" t="str">
        <f t="shared" si="0"/>
        <v>'1603290723781042-3169839-19-01',</v>
      </c>
      <c r="B14" s="4" t="str">
        <f t="shared" si="1"/>
        <v>'1603291267462531-3177090-60-02',</v>
      </c>
      <c r="C14" s="15"/>
      <c r="D14" s="5"/>
      <c r="E14" s="5" t="str">
        <f t="shared" si="4"/>
        <v>DONE</v>
      </c>
      <c r="F14" s="30" t="s">
        <v>333</v>
      </c>
      <c r="G14" s="29" t="str">
        <f t="shared" si="5"/>
        <v>DONE</v>
      </c>
      <c r="H14" s="5" t="s">
        <v>334</v>
      </c>
      <c r="I14" s="22" t="s">
        <v>27</v>
      </c>
      <c r="J14" s="16"/>
      <c r="K14" s="25"/>
      <c r="L14" s="16"/>
      <c r="M14" s="16" t="str">
        <f t="shared" si="2"/>
        <v/>
      </c>
      <c r="N14" s="16" t="str">
        <f t="shared" si="3"/>
        <v/>
      </c>
      <c r="O14" s="7"/>
      <c r="P14" s="7"/>
      <c r="Q14" s="7"/>
      <c r="R14" s="7"/>
      <c r="S14" s="16"/>
      <c r="T14" s="4" t="s">
        <v>363</v>
      </c>
      <c r="U14" s="4" t="s">
        <v>17</v>
      </c>
      <c r="V14" s="4" t="s">
        <v>332</v>
      </c>
      <c r="W14" s="4"/>
      <c r="X14" s="4" t="s">
        <v>364</v>
      </c>
      <c r="Y14" s="4"/>
      <c r="Z14" s="4"/>
      <c r="AA14" s="37" t="s">
        <v>3</v>
      </c>
      <c r="AB14" s="4"/>
      <c r="AC14" s="4"/>
      <c r="AD14" s="4" t="s">
        <v>365</v>
      </c>
      <c r="AE14" s="4"/>
      <c r="AF14" s="4"/>
    </row>
    <row r="15" spans="1:32" x14ac:dyDescent="0.25">
      <c r="A15" s="4" t="str">
        <f t="shared" si="0"/>
        <v>'1603290920903201-3176674-25-02',</v>
      </c>
      <c r="B15" s="4" t="str">
        <f t="shared" si="1"/>
        <v>'1603291184798324-3171075-03-01',</v>
      </c>
      <c r="C15" s="15"/>
      <c r="D15" s="5"/>
      <c r="E15" s="5" t="str">
        <f t="shared" si="4"/>
        <v>DONE</v>
      </c>
      <c r="F15" s="30" t="s">
        <v>333</v>
      </c>
      <c r="G15" s="29" t="str">
        <f t="shared" si="5"/>
        <v>DONE</v>
      </c>
      <c r="H15" s="5" t="s">
        <v>334</v>
      </c>
      <c r="I15" s="22" t="s">
        <v>27</v>
      </c>
      <c r="J15" s="16"/>
      <c r="K15" s="25"/>
      <c r="L15" s="16"/>
      <c r="M15" s="16" t="str">
        <f t="shared" si="2"/>
        <v/>
      </c>
      <c r="N15" s="16" t="str">
        <f t="shared" si="3"/>
        <v/>
      </c>
      <c r="O15" s="7"/>
      <c r="P15" s="7"/>
      <c r="Q15" s="7"/>
      <c r="R15" s="7"/>
      <c r="S15" s="16"/>
      <c r="T15" s="4" t="s">
        <v>366</v>
      </c>
      <c r="U15" s="4" t="s">
        <v>17</v>
      </c>
      <c r="V15" s="4" t="s">
        <v>332</v>
      </c>
      <c r="W15" s="4"/>
      <c r="X15" s="4" t="s">
        <v>367</v>
      </c>
      <c r="Y15" s="4"/>
      <c r="Z15" s="4"/>
      <c r="AA15" s="37" t="s">
        <v>4</v>
      </c>
      <c r="AB15" s="4"/>
      <c r="AC15" s="4"/>
      <c r="AD15" s="4" t="s">
        <v>368</v>
      </c>
      <c r="AE15" s="4"/>
      <c r="AF15" s="4"/>
    </row>
    <row r="16" spans="1:32" x14ac:dyDescent="0.25">
      <c r="A16" s="4" t="str">
        <f t="shared" si="0"/>
        <v>'1603290964580748-3176741-61-02',</v>
      </c>
      <c r="B16" s="4" t="str">
        <f t="shared" si="1"/>
        <v>'1603291110570929-3170491-22-01',</v>
      </c>
      <c r="C16" s="15"/>
      <c r="D16" s="5"/>
      <c r="E16" s="5" t="str">
        <f t="shared" si="4"/>
        <v>DONE</v>
      </c>
      <c r="F16" s="30" t="s">
        <v>333</v>
      </c>
      <c r="G16" s="29" t="str">
        <f t="shared" si="5"/>
        <v>DONE</v>
      </c>
      <c r="H16" s="5" t="s">
        <v>334</v>
      </c>
      <c r="I16" s="22" t="s">
        <v>27</v>
      </c>
      <c r="J16" s="16"/>
      <c r="K16" s="25"/>
      <c r="L16" s="16"/>
      <c r="M16" s="16" t="str">
        <f t="shared" si="2"/>
        <v/>
      </c>
      <c r="N16" s="16" t="str">
        <f t="shared" si="3"/>
        <v/>
      </c>
      <c r="O16" s="7"/>
      <c r="P16" s="7"/>
      <c r="Q16" s="7"/>
      <c r="R16" s="7"/>
      <c r="S16" s="16"/>
      <c r="T16" s="4" t="s">
        <v>369</v>
      </c>
      <c r="U16" s="4" t="s">
        <v>17</v>
      </c>
      <c r="V16" s="4" t="s">
        <v>332</v>
      </c>
      <c r="W16" s="4"/>
      <c r="X16" s="4" t="s">
        <v>370</v>
      </c>
      <c r="Y16" s="4"/>
      <c r="Z16" s="4"/>
      <c r="AA16" s="37" t="s">
        <v>5</v>
      </c>
      <c r="AB16" s="4"/>
      <c r="AC16" s="4"/>
      <c r="AD16" s="4" t="s">
        <v>371</v>
      </c>
      <c r="AE16" s="4"/>
      <c r="AF16" s="4"/>
    </row>
    <row r="17" spans="1:32" x14ac:dyDescent="0.25">
      <c r="A17" s="4" t="str">
        <f t="shared" si="0"/>
        <v>'1603291184512338-3171062-89-01',</v>
      </c>
      <c r="B17" s="4" t="str">
        <f t="shared" si="1"/>
        <v>'1603291051927456-3176884-21-02',</v>
      </c>
      <c r="C17" s="15"/>
      <c r="D17" s="5"/>
      <c r="E17" s="5" t="str">
        <f t="shared" si="4"/>
        <v>DONE</v>
      </c>
      <c r="F17" s="30" t="s">
        <v>333</v>
      </c>
      <c r="G17" s="29" t="str">
        <f t="shared" si="5"/>
        <v>DONE</v>
      </c>
      <c r="H17" s="5" t="s">
        <v>334</v>
      </c>
      <c r="I17" s="22" t="s">
        <v>27</v>
      </c>
      <c r="J17" s="16"/>
      <c r="K17" s="25"/>
      <c r="L17" s="16"/>
      <c r="M17" s="16" t="str">
        <f t="shared" si="2"/>
        <v/>
      </c>
      <c r="N17" s="16" t="str">
        <f t="shared" si="3"/>
        <v/>
      </c>
      <c r="O17" s="7"/>
      <c r="P17" s="7"/>
      <c r="Q17" s="7"/>
      <c r="R17" s="7"/>
      <c r="S17" s="16"/>
      <c r="T17" s="4" t="s">
        <v>372</v>
      </c>
      <c r="U17" s="4" t="s">
        <v>17</v>
      </c>
      <c r="V17" s="4" t="s">
        <v>332</v>
      </c>
      <c r="W17" s="4"/>
      <c r="X17" s="4" t="s">
        <v>373</v>
      </c>
      <c r="Y17" s="4"/>
      <c r="Z17" s="4"/>
      <c r="AA17" s="37" t="s">
        <v>6</v>
      </c>
      <c r="AB17" s="4"/>
      <c r="AC17" s="4"/>
      <c r="AD17" s="4" t="s">
        <v>374</v>
      </c>
      <c r="AE17" s="4"/>
      <c r="AF17" s="4"/>
    </row>
    <row r="18" spans="1:32" x14ac:dyDescent="0.25">
      <c r="A18" s="4" t="str">
        <f t="shared" si="0"/>
        <v>'1603290682435752-3169839-23-01',</v>
      </c>
      <c r="B18" s="4" t="str">
        <f t="shared" si="1"/>
        <v>'1603290999218340-3176868-87-02',</v>
      </c>
      <c r="C18" s="15"/>
      <c r="D18" s="5"/>
      <c r="E18" s="5" t="str">
        <f t="shared" si="4"/>
        <v>DONE</v>
      </c>
      <c r="F18" s="30" t="s">
        <v>333</v>
      </c>
      <c r="G18" s="29" t="str">
        <f t="shared" si="5"/>
        <v>DONE</v>
      </c>
      <c r="H18" s="5" t="s">
        <v>334</v>
      </c>
      <c r="I18" s="22" t="s">
        <v>27</v>
      </c>
      <c r="J18" s="16"/>
      <c r="K18" s="25"/>
      <c r="L18" s="16"/>
      <c r="M18" s="16" t="str">
        <f t="shared" si="2"/>
        <v/>
      </c>
      <c r="N18" s="16" t="str">
        <f t="shared" si="3"/>
        <v/>
      </c>
      <c r="O18" s="7"/>
      <c r="P18" s="7"/>
      <c r="Q18" s="7"/>
      <c r="R18" s="7"/>
      <c r="S18" s="16"/>
      <c r="T18" s="4" t="s">
        <v>375</v>
      </c>
      <c r="U18" s="4" t="s">
        <v>17</v>
      </c>
      <c r="V18" s="4" t="s">
        <v>332</v>
      </c>
      <c r="W18" s="4"/>
      <c r="X18" s="4" t="s">
        <v>376</v>
      </c>
      <c r="Y18" s="4"/>
      <c r="Z18" s="4"/>
      <c r="AA18" s="37" t="s">
        <v>7</v>
      </c>
      <c r="AB18" s="4"/>
      <c r="AC18" s="4"/>
      <c r="AD18" s="4" t="s">
        <v>377</v>
      </c>
      <c r="AE18" s="4"/>
      <c r="AF18" s="4"/>
    </row>
    <row r="19" spans="1:32" x14ac:dyDescent="0.25">
      <c r="A19" s="4" t="str">
        <f t="shared" si="0"/>
        <v>'1603290998787668-3170318-61-01',</v>
      </c>
      <c r="B19" s="4" t="str">
        <f t="shared" si="1"/>
        <v>'1603290964901477-3170331-81-01',</v>
      </c>
      <c r="C19" s="15"/>
      <c r="D19" s="5"/>
      <c r="E19" s="5" t="str">
        <f t="shared" si="4"/>
        <v>DONE</v>
      </c>
      <c r="F19" s="30" t="s">
        <v>333</v>
      </c>
      <c r="G19" s="29" t="str">
        <f t="shared" si="5"/>
        <v>DONE</v>
      </c>
      <c r="H19" s="5" t="s">
        <v>334</v>
      </c>
      <c r="I19" s="22" t="s">
        <v>27</v>
      </c>
      <c r="J19" s="16"/>
      <c r="K19" s="25"/>
      <c r="L19" s="16"/>
      <c r="M19" s="16" t="str">
        <f t="shared" si="2"/>
        <v/>
      </c>
      <c r="N19" s="16" t="str">
        <f t="shared" si="3"/>
        <v/>
      </c>
      <c r="O19" s="7"/>
      <c r="P19" s="7"/>
      <c r="Q19" s="7"/>
      <c r="R19" s="7"/>
      <c r="S19" s="16"/>
      <c r="T19" s="4" t="s">
        <v>378</v>
      </c>
      <c r="U19" s="4" t="s">
        <v>17</v>
      </c>
      <c r="V19" s="4" t="s">
        <v>332</v>
      </c>
      <c r="W19" s="4"/>
      <c r="X19" s="4" t="s">
        <v>379</v>
      </c>
      <c r="Y19" s="4"/>
      <c r="Z19" s="4"/>
      <c r="AA19" s="37" t="s">
        <v>8</v>
      </c>
      <c r="AB19" s="4"/>
      <c r="AC19" s="4"/>
      <c r="AD19" s="4" t="s">
        <v>380</v>
      </c>
      <c r="AE19" s="4"/>
      <c r="AF19" s="4"/>
    </row>
    <row r="20" spans="1:32" x14ac:dyDescent="0.25">
      <c r="A20" s="4" t="str">
        <f t="shared" si="0"/>
        <v>'1603290762779835-3176601-65-02',</v>
      </c>
      <c r="B20" s="4" t="str">
        <f t="shared" si="1"/>
        <v>'1603290921093447-3176685-38-02',</v>
      </c>
      <c r="C20" s="15"/>
      <c r="D20" s="5"/>
      <c r="E20" s="5" t="str">
        <f t="shared" si="4"/>
        <v>DONE</v>
      </c>
      <c r="F20" s="30" t="s">
        <v>333</v>
      </c>
      <c r="G20" s="29" t="str">
        <f t="shared" si="5"/>
        <v>DONE</v>
      </c>
      <c r="H20" s="5" t="s">
        <v>334</v>
      </c>
      <c r="I20" s="22" t="s">
        <v>27</v>
      </c>
      <c r="J20" s="16"/>
      <c r="K20" s="25"/>
      <c r="L20" s="16"/>
      <c r="M20" s="16" t="str">
        <f t="shared" si="2"/>
        <v/>
      </c>
      <c r="N20" s="16" t="str">
        <f t="shared" si="3"/>
        <v/>
      </c>
      <c r="O20" s="7"/>
      <c r="P20" s="7"/>
      <c r="Q20" s="7"/>
      <c r="R20" s="7"/>
      <c r="S20" s="16"/>
      <c r="T20" s="4" t="s">
        <v>381</v>
      </c>
      <c r="U20" s="4" t="s">
        <v>17</v>
      </c>
      <c r="V20" s="4" t="s">
        <v>332</v>
      </c>
      <c r="W20" s="4"/>
      <c r="X20" s="4" t="s">
        <v>382</v>
      </c>
      <c r="Y20" s="4"/>
      <c r="Z20" s="4"/>
      <c r="AA20" s="37" t="s">
        <v>9</v>
      </c>
      <c r="AB20" s="4"/>
      <c r="AC20" s="4"/>
      <c r="AD20" s="4" t="s">
        <v>383</v>
      </c>
      <c r="AE20" s="4"/>
      <c r="AF20" s="4"/>
    </row>
    <row r="21" spans="1:32" x14ac:dyDescent="0.25">
      <c r="A21" s="4" t="str">
        <f t="shared" si="0"/>
        <v>'1603291304740648-3170866-76-01',</v>
      </c>
      <c r="B21" s="4" t="str">
        <f t="shared" si="1"/>
        <v>'1603290882009958-3170213-46-01',</v>
      </c>
      <c r="C21" s="15"/>
      <c r="D21" s="5"/>
      <c r="E21" s="5" t="str">
        <f t="shared" si="4"/>
        <v>DONE</v>
      </c>
      <c r="F21" s="30" t="s">
        <v>333</v>
      </c>
      <c r="G21" s="29" t="str">
        <f t="shared" si="5"/>
        <v>DONE</v>
      </c>
      <c r="H21" s="5" t="s">
        <v>334</v>
      </c>
      <c r="I21" s="22" t="s">
        <v>27</v>
      </c>
      <c r="J21" s="16"/>
      <c r="K21" s="25"/>
      <c r="L21" s="16"/>
      <c r="M21" s="16" t="str">
        <f t="shared" si="2"/>
        <v/>
      </c>
      <c r="N21" s="16" t="str">
        <f t="shared" si="3"/>
        <v/>
      </c>
      <c r="O21" s="7"/>
      <c r="P21" s="7"/>
      <c r="Q21" s="7"/>
      <c r="R21" s="7"/>
      <c r="S21" s="16"/>
      <c r="T21" s="4" t="s">
        <v>384</v>
      </c>
      <c r="U21" s="4" t="s">
        <v>17</v>
      </c>
      <c r="V21" s="4" t="s">
        <v>332</v>
      </c>
      <c r="W21" s="4"/>
      <c r="X21" s="4" t="s">
        <v>385</v>
      </c>
      <c r="Y21" s="4"/>
      <c r="Z21" s="4"/>
      <c r="AA21" s="37" t="s">
        <v>10</v>
      </c>
      <c r="AB21" s="4"/>
      <c r="AC21" s="4"/>
      <c r="AD21" s="4" t="s">
        <v>386</v>
      </c>
      <c r="AE21" s="4"/>
      <c r="AF21" s="4"/>
    </row>
    <row r="22" spans="1:32" x14ac:dyDescent="0.25">
      <c r="A22" s="4" t="str">
        <f t="shared" si="0"/>
        <v>'1603290837385225-3170148-61-01',</v>
      </c>
      <c r="B22" s="4" t="str">
        <f t="shared" si="1"/>
        <v>'1603290837629000-3170207-87-01',</v>
      </c>
      <c r="C22" s="15"/>
      <c r="D22" s="5"/>
      <c r="E22" s="5" t="str">
        <f t="shared" si="4"/>
        <v>DONE</v>
      </c>
      <c r="F22" s="30" t="s">
        <v>333</v>
      </c>
      <c r="G22" s="29" t="str">
        <f t="shared" si="5"/>
        <v>DONE</v>
      </c>
      <c r="H22" s="5" t="s">
        <v>334</v>
      </c>
      <c r="I22" s="22" t="s">
        <v>27</v>
      </c>
      <c r="J22" s="16"/>
      <c r="K22" s="25"/>
      <c r="L22" s="16"/>
      <c r="M22" s="16" t="str">
        <f t="shared" si="2"/>
        <v/>
      </c>
      <c r="N22" s="16" t="str">
        <f t="shared" si="3"/>
        <v/>
      </c>
      <c r="O22" s="7"/>
      <c r="P22" s="7"/>
      <c r="Q22" s="7"/>
      <c r="R22" s="7"/>
      <c r="S22" s="16"/>
      <c r="T22" s="4" t="s">
        <v>387</v>
      </c>
      <c r="U22" s="4" t="s">
        <v>17</v>
      </c>
      <c r="V22" s="4" t="s">
        <v>332</v>
      </c>
      <c r="W22" s="4"/>
      <c r="X22" s="4" t="s">
        <v>388</v>
      </c>
      <c r="Y22" s="4"/>
      <c r="Z22" s="4"/>
      <c r="AA22" s="37" t="s">
        <v>11</v>
      </c>
      <c r="AB22" s="4"/>
      <c r="AC22" s="4"/>
      <c r="AD22" s="4" t="s">
        <v>389</v>
      </c>
      <c r="AE22" s="4"/>
      <c r="AF22" s="4"/>
    </row>
    <row r="23" spans="1:32" x14ac:dyDescent="0.25">
      <c r="A23" s="4" t="str">
        <f t="shared" si="0"/>
        <v>'1603290799641969-3170070-66-01',</v>
      </c>
      <c r="B23" s="4" t="str">
        <f t="shared" si="1"/>
        <v>'1603290799841545-3176689-80-02',</v>
      </c>
      <c r="C23" s="15"/>
      <c r="D23" s="5"/>
      <c r="E23" s="5" t="str">
        <f t="shared" si="4"/>
        <v>DONE</v>
      </c>
      <c r="F23" s="30" t="s">
        <v>333</v>
      </c>
      <c r="G23" s="29" t="str">
        <f t="shared" si="5"/>
        <v>DONE</v>
      </c>
      <c r="H23" s="5" t="s">
        <v>334</v>
      </c>
      <c r="I23" s="22" t="s">
        <v>27</v>
      </c>
      <c r="J23" s="16"/>
      <c r="K23" s="25"/>
      <c r="L23" s="16"/>
      <c r="M23" s="16" t="str">
        <f t="shared" si="2"/>
        <v/>
      </c>
      <c r="N23" s="16" t="str">
        <f t="shared" si="3"/>
        <v/>
      </c>
      <c r="O23" s="7"/>
      <c r="P23" s="7"/>
      <c r="Q23" s="7"/>
      <c r="R23" s="7"/>
      <c r="S23" s="16"/>
      <c r="T23" s="4" t="s">
        <v>390</v>
      </c>
      <c r="U23" s="4" t="s">
        <v>17</v>
      </c>
      <c r="V23" s="4" t="s">
        <v>332</v>
      </c>
      <c r="W23" s="4"/>
      <c r="X23" s="4" t="s">
        <v>391</v>
      </c>
      <c r="Y23" s="4"/>
      <c r="Z23" s="4"/>
      <c r="AA23" s="37" t="s">
        <v>12</v>
      </c>
      <c r="AB23" s="4"/>
      <c r="AC23" s="4"/>
      <c r="AD23" s="4" t="s">
        <v>392</v>
      </c>
      <c r="AE23" s="4"/>
      <c r="AF23" s="4"/>
    </row>
    <row r="24" spans="1:32" x14ac:dyDescent="0.25">
      <c r="A24" s="4" t="str">
        <f t="shared" si="0"/>
        <v>'1603290881793116-3170188-21-01',</v>
      </c>
      <c r="B24" s="4" t="str">
        <f t="shared" si="1"/>
        <v>'1603290763239672-3176689-02-02',</v>
      </c>
      <c r="C24" s="15" t="s">
        <v>59</v>
      </c>
      <c r="D24" s="5" t="s">
        <v>58</v>
      </c>
      <c r="E24" s="5" t="str">
        <f t="shared" si="4"/>
        <v>DONE</v>
      </c>
      <c r="F24" s="30" t="s">
        <v>333</v>
      </c>
      <c r="G24" s="29" t="str">
        <f t="shared" si="5"/>
        <v>DONE</v>
      </c>
      <c r="H24" s="5" t="s">
        <v>334</v>
      </c>
      <c r="I24" s="22" t="s">
        <v>27</v>
      </c>
      <c r="J24" s="16"/>
      <c r="K24" s="25"/>
      <c r="L24" s="16"/>
      <c r="M24" s="16" t="str">
        <f t="shared" si="2"/>
        <v/>
      </c>
      <c r="N24" s="16" t="str">
        <f t="shared" si="3"/>
        <v/>
      </c>
      <c r="O24" s="7"/>
      <c r="P24" s="7"/>
      <c r="Q24" s="7"/>
      <c r="R24" s="7"/>
      <c r="S24" s="16"/>
      <c r="T24" s="4" t="s">
        <v>393</v>
      </c>
      <c r="U24" s="4" t="s">
        <v>17</v>
      </c>
      <c r="V24" s="4" t="s">
        <v>332</v>
      </c>
      <c r="W24" s="4"/>
      <c r="X24" s="4" t="s">
        <v>394</v>
      </c>
      <c r="Y24" s="4"/>
      <c r="Z24" s="4"/>
      <c r="AA24" s="37" t="s">
        <v>13</v>
      </c>
      <c r="AB24" s="4"/>
      <c r="AC24" s="4"/>
      <c r="AD24" s="4" t="s">
        <v>395</v>
      </c>
      <c r="AE24" s="4"/>
      <c r="AF24" s="4"/>
    </row>
    <row r="25" spans="1:32" x14ac:dyDescent="0.25">
      <c r="A25" s="4" t="str">
        <f t="shared" si="0"/>
        <v>'1603291110251497-3170444-95-01',</v>
      </c>
      <c r="B25" s="4" t="str">
        <f t="shared" si="1"/>
        <v>'1603290724004269-3169859-37-01',</v>
      </c>
      <c r="C25" s="15" t="s">
        <v>59</v>
      </c>
      <c r="D25" s="5" t="s">
        <v>58</v>
      </c>
      <c r="E25" s="5" t="str">
        <f t="shared" si="4"/>
        <v>DONE</v>
      </c>
      <c r="F25" s="30" t="s">
        <v>333</v>
      </c>
      <c r="G25" s="29" t="str">
        <f t="shared" si="5"/>
        <v>DONE</v>
      </c>
      <c r="H25" s="5" t="s">
        <v>334</v>
      </c>
      <c r="I25" s="22" t="s">
        <v>27</v>
      </c>
      <c r="J25" s="16"/>
      <c r="K25" s="25"/>
      <c r="L25" s="16"/>
      <c r="M25" s="16" t="str">
        <f t="shared" si="2"/>
        <v/>
      </c>
      <c r="N25" s="16" t="str">
        <f t="shared" si="3"/>
        <v/>
      </c>
      <c r="O25" s="7"/>
      <c r="P25" s="7"/>
      <c r="Q25" s="7"/>
      <c r="R25" s="7"/>
      <c r="S25" s="16"/>
      <c r="T25" s="4" t="s">
        <v>396</v>
      </c>
      <c r="U25" s="4" t="s">
        <v>17</v>
      </c>
      <c r="V25" s="4" t="s">
        <v>332</v>
      </c>
      <c r="W25" s="4"/>
      <c r="X25" s="4" t="s">
        <v>397</v>
      </c>
      <c r="Y25" s="4"/>
      <c r="Z25" s="4"/>
      <c r="AA25" s="37" t="s">
        <v>14</v>
      </c>
      <c r="AB25" s="4"/>
      <c r="AC25" s="4"/>
      <c r="AD25" s="4" t="s">
        <v>398</v>
      </c>
      <c r="AE25" s="4"/>
      <c r="AF25" s="4"/>
    </row>
    <row r="26" spans="1:32" x14ac:dyDescent="0.25">
      <c r="A26" s="4" t="str">
        <f t="shared" si="0"/>
        <v>'1603291267234238-3177070-46-02',</v>
      </c>
      <c r="B26" s="4" t="str">
        <f t="shared" si="1"/>
        <v>'1603290682654418-3169859-49-01',</v>
      </c>
      <c r="C26" s="15" t="s">
        <v>59</v>
      </c>
      <c r="D26" s="5" t="s">
        <v>58</v>
      </c>
      <c r="E26" s="5" t="str">
        <f t="shared" si="4"/>
        <v>DONE</v>
      </c>
      <c r="F26" s="30" t="s">
        <v>333</v>
      </c>
      <c r="G26" s="29" t="str">
        <f t="shared" si="5"/>
        <v>DONE</v>
      </c>
      <c r="H26" s="5" t="s">
        <v>334</v>
      </c>
      <c r="I26" s="22" t="s">
        <v>27</v>
      </c>
      <c r="J26" s="16"/>
      <c r="K26" s="25"/>
      <c r="L26" s="16"/>
      <c r="M26" s="16" t="str">
        <f t="shared" si="2"/>
        <v/>
      </c>
      <c r="N26" s="16" t="str">
        <f t="shared" si="3"/>
        <v/>
      </c>
      <c r="O26" s="7"/>
      <c r="P26" s="7"/>
      <c r="Q26" s="7"/>
      <c r="R26" s="7"/>
      <c r="S26" s="16"/>
      <c r="T26" s="4" t="s">
        <v>399</v>
      </c>
      <c r="U26" s="4" t="s">
        <v>17</v>
      </c>
      <c r="V26" s="4" t="s">
        <v>332</v>
      </c>
      <c r="W26" s="4"/>
      <c r="X26" s="4" t="s">
        <v>400</v>
      </c>
      <c r="Y26" s="4"/>
      <c r="Z26" s="4"/>
      <c r="AA26" s="37" t="s">
        <v>15</v>
      </c>
      <c r="AB26" s="4"/>
      <c r="AC26" s="4"/>
      <c r="AD26" s="4" t="s">
        <v>401</v>
      </c>
      <c r="AE26" s="4"/>
      <c r="AF26" s="4"/>
    </row>
    <row r="27" spans="1:32" x14ac:dyDescent="0.25">
      <c r="A27" s="4" t="str">
        <f t="shared" si="0"/>
        <v>'1603291051699177-3176868-13-02',</v>
      </c>
      <c r="B27" s="4" t="str">
        <f t="shared" si="1"/>
        <v>'1603290623153948-3176685-53-02',</v>
      </c>
      <c r="C27" s="15" t="s">
        <v>59</v>
      </c>
      <c r="D27" s="5" t="s">
        <v>58</v>
      </c>
      <c r="E27" s="5" t="str">
        <f t="shared" si="4"/>
        <v>DONE</v>
      </c>
      <c r="F27" s="30" t="s">
        <v>333</v>
      </c>
      <c r="G27" s="29" t="str">
        <f t="shared" si="5"/>
        <v>DONE</v>
      </c>
      <c r="H27" s="5" t="s">
        <v>334</v>
      </c>
      <c r="I27" s="22" t="s">
        <v>27</v>
      </c>
      <c r="J27" s="16"/>
      <c r="K27" s="25"/>
      <c r="L27" s="16"/>
      <c r="M27" s="16" t="str">
        <f t="shared" si="2"/>
        <v/>
      </c>
      <c r="N27" s="16" t="str">
        <f t="shared" si="3"/>
        <v/>
      </c>
      <c r="O27" s="7"/>
      <c r="P27" s="7"/>
      <c r="Q27" s="7"/>
      <c r="R27" s="7"/>
      <c r="S27" s="16"/>
      <c r="T27" s="4" t="s">
        <v>402</v>
      </c>
      <c r="U27" s="4" t="s">
        <v>17</v>
      </c>
      <c r="V27" s="4" t="s">
        <v>332</v>
      </c>
      <c r="W27" s="4"/>
      <c r="X27" s="4" t="s">
        <v>403</v>
      </c>
      <c r="Y27" s="4"/>
      <c r="Z27" s="4"/>
      <c r="AA27" s="37" t="s">
        <v>16</v>
      </c>
      <c r="AB27" s="4"/>
      <c r="AC27" s="4"/>
      <c r="AD27" s="4" t="s">
        <v>404</v>
      </c>
      <c r="AE27" s="4"/>
      <c r="AF27" s="4"/>
    </row>
    <row r="28" spans="1:32" x14ac:dyDescent="0.25">
      <c r="A28" s="4" t="str">
        <f t="shared" si="0"/>
        <v>'',</v>
      </c>
      <c r="B28" s="4" t="str">
        <f t="shared" ref="B28:B35" si="6">"'"&amp;T28&amp;"',"</f>
        <v>'1603212962945655-2995889-13-02',</v>
      </c>
      <c r="C28" s="15" t="s">
        <v>55</v>
      </c>
      <c r="D28" s="5" t="s">
        <v>21</v>
      </c>
      <c r="E28" s="5" t="str">
        <f t="shared" si="4"/>
        <v/>
      </c>
      <c r="F28" s="30"/>
      <c r="G28" s="29" t="str">
        <f t="shared" si="5"/>
        <v/>
      </c>
      <c r="H28" s="5"/>
      <c r="I28" s="22" t="s">
        <v>27</v>
      </c>
      <c r="J28" s="16"/>
      <c r="K28" s="25"/>
      <c r="L28" s="16"/>
      <c r="M28" s="16" t="str">
        <f t="shared" si="2"/>
        <v/>
      </c>
      <c r="N28" s="16" t="str">
        <f t="shared" si="3"/>
        <v/>
      </c>
      <c r="O28" s="7"/>
      <c r="P28" s="7"/>
      <c r="Q28" s="7"/>
      <c r="R28" s="7"/>
      <c r="S28" s="16"/>
      <c r="T28" s="4" t="s">
        <v>405</v>
      </c>
      <c r="U28" s="4" t="s">
        <v>17</v>
      </c>
      <c r="V28" s="4" t="s">
        <v>406</v>
      </c>
      <c r="W28" s="4"/>
      <c r="X28" s="4"/>
      <c r="Y28" s="4"/>
      <c r="Z28" s="4"/>
      <c r="AA28" s="37"/>
      <c r="AB28" s="4"/>
      <c r="AC28" s="4"/>
      <c r="AD28" s="4"/>
      <c r="AE28" s="4"/>
      <c r="AF28" s="4"/>
    </row>
    <row r="29" spans="1:32" x14ac:dyDescent="0.25">
      <c r="A29" s="4" t="str">
        <f t="shared" si="0"/>
        <v>'1603201955074996-2973599-20-01',</v>
      </c>
      <c r="B29" s="4" t="str">
        <f t="shared" si="6"/>
        <v>'1603201955846484-2965738-41-02',</v>
      </c>
      <c r="C29" s="15" t="s">
        <v>60</v>
      </c>
      <c r="D29" s="5" t="s">
        <v>52</v>
      </c>
      <c r="E29" s="5" t="str">
        <f t="shared" si="4"/>
        <v>DONE</v>
      </c>
      <c r="F29" s="30" t="s">
        <v>333</v>
      </c>
      <c r="G29" s="29" t="str">
        <f t="shared" si="5"/>
        <v>DONE</v>
      </c>
      <c r="H29" s="5" t="s">
        <v>334</v>
      </c>
      <c r="I29" s="22" t="s">
        <v>27</v>
      </c>
      <c r="J29" s="16"/>
      <c r="K29" s="25"/>
      <c r="L29" s="16"/>
      <c r="M29" s="16" t="str">
        <f t="shared" si="2"/>
        <v/>
      </c>
      <c r="N29" s="16" t="str">
        <f t="shared" si="3"/>
        <v/>
      </c>
      <c r="O29" s="7"/>
      <c r="P29" s="7"/>
      <c r="Q29" s="7"/>
      <c r="R29" s="7"/>
      <c r="S29" s="16"/>
      <c r="T29" s="4" t="s">
        <v>407</v>
      </c>
      <c r="U29" s="4" t="s">
        <v>17</v>
      </c>
      <c r="V29" s="4" t="s">
        <v>408</v>
      </c>
      <c r="W29" s="4"/>
      <c r="X29" s="4" t="s">
        <v>409</v>
      </c>
      <c r="Y29" s="4"/>
      <c r="Z29" s="4"/>
      <c r="AA29" s="37" t="s">
        <v>50</v>
      </c>
      <c r="AB29" s="4"/>
      <c r="AC29" s="4"/>
      <c r="AD29" s="4" t="s">
        <v>410</v>
      </c>
      <c r="AE29" s="4"/>
      <c r="AF29" s="4"/>
    </row>
    <row r="30" spans="1:32" x14ac:dyDescent="0.25">
      <c r="A30" s="4" t="str">
        <f t="shared" si="0"/>
        <v>'1603200827883415-2963538-87-02',</v>
      </c>
      <c r="B30" s="4" t="str">
        <f t="shared" si="6"/>
        <v>'1603200828152833-2964675-05-02',</v>
      </c>
      <c r="C30" s="15" t="s">
        <v>60</v>
      </c>
      <c r="D30" s="5" t="s">
        <v>51</v>
      </c>
      <c r="E30" s="5" t="str">
        <f t="shared" si="4"/>
        <v>DONE</v>
      </c>
      <c r="F30" s="30" t="s">
        <v>333</v>
      </c>
      <c r="G30" s="29" t="str">
        <f t="shared" si="5"/>
        <v>DONE</v>
      </c>
      <c r="H30" s="5" t="s">
        <v>334</v>
      </c>
      <c r="I30" s="22" t="s">
        <v>27</v>
      </c>
      <c r="J30" s="16"/>
      <c r="K30" s="25"/>
      <c r="L30" s="16"/>
      <c r="M30" s="16" t="str">
        <f t="shared" si="2"/>
        <v/>
      </c>
      <c r="N30" s="16" t="str">
        <f t="shared" si="3"/>
        <v/>
      </c>
      <c r="O30" s="7"/>
      <c r="P30" s="7"/>
      <c r="Q30" s="7"/>
      <c r="R30" s="7"/>
      <c r="S30" s="16"/>
      <c r="T30" s="4" t="s">
        <v>411</v>
      </c>
      <c r="U30" s="4" t="s">
        <v>17</v>
      </c>
      <c r="V30" s="4" t="s">
        <v>412</v>
      </c>
      <c r="W30" s="4"/>
      <c r="X30" s="4" t="s">
        <v>413</v>
      </c>
      <c r="Y30" s="4"/>
      <c r="Z30" s="4"/>
      <c r="AA30" s="37" t="s">
        <v>42</v>
      </c>
      <c r="AB30" s="4"/>
      <c r="AC30" s="4"/>
      <c r="AD30" s="4" t="s">
        <v>414</v>
      </c>
      <c r="AE30" s="4"/>
      <c r="AF30" s="4"/>
    </row>
    <row r="31" spans="1:32" x14ac:dyDescent="0.25">
      <c r="A31" s="4" t="str">
        <f t="shared" si="0"/>
        <v>'1603134099646946-2817345-05-02',</v>
      </c>
      <c r="B31" s="4" t="str">
        <f t="shared" si="6"/>
        <v>'1603134100098913-2817367-38-02',</v>
      </c>
      <c r="C31" s="15" t="s">
        <v>60</v>
      </c>
      <c r="D31" s="5" t="s">
        <v>20</v>
      </c>
      <c r="E31" s="5" t="str">
        <f t="shared" si="4"/>
        <v>DONE</v>
      </c>
      <c r="F31" s="30" t="s">
        <v>333</v>
      </c>
      <c r="G31" s="29" t="str">
        <f t="shared" si="5"/>
        <v>DONE</v>
      </c>
      <c r="H31" s="5" t="s">
        <v>334</v>
      </c>
      <c r="I31" s="22" t="s">
        <v>27</v>
      </c>
      <c r="J31" s="16"/>
      <c r="K31" s="25"/>
      <c r="L31" s="16"/>
      <c r="M31" s="16" t="str">
        <f t="shared" si="2"/>
        <v/>
      </c>
      <c r="N31" s="16" t="str">
        <f t="shared" si="3"/>
        <v/>
      </c>
      <c r="O31" s="7"/>
      <c r="P31" s="7"/>
      <c r="Q31" s="7"/>
      <c r="R31" s="7"/>
      <c r="S31" s="16"/>
      <c r="T31" s="4" t="s">
        <v>415</v>
      </c>
      <c r="U31" s="4" t="s">
        <v>17</v>
      </c>
      <c r="V31" s="4" t="s">
        <v>416</v>
      </c>
      <c r="W31" s="4"/>
      <c r="X31" s="4" t="s">
        <v>417</v>
      </c>
      <c r="Y31" s="4"/>
      <c r="Z31" s="4"/>
      <c r="AA31" s="37" t="s">
        <v>43</v>
      </c>
      <c r="AB31" s="4"/>
      <c r="AC31" s="4"/>
      <c r="AD31" s="4" t="s">
        <v>418</v>
      </c>
      <c r="AE31" s="4"/>
      <c r="AF31" s="4"/>
    </row>
    <row r="32" spans="1:32" x14ac:dyDescent="0.25">
      <c r="A32" s="4" t="str">
        <f t="shared" si="0"/>
        <v>'1603123195183248-2798438-32-01',</v>
      </c>
      <c r="B32" s="4" t="str">
        <f t="shared" si="6"/>
        <v>'1603123195433264-2787209-01-02',</v>
      </c>
      <c r="C32" s="15" t="s">
        <v>71</v>
      </c>
      <c r="D32" s="5" t="s">
        <v>40</v>
      </c>
      <c r="E32" s="5" t="str">
        <f t="shared" si="4"/>
        <v>DONE</v>
      </c>
      <c r="F32" s="30" t="s">
        <v>419</v>
      </c>
      <c r="G32" s="29" t="str">
        <f t="shared" si="5"/>
        <v>DONE</v>
      </c>
      <c r="H32" s="5" t="s">
        <v>420</v>
      </c>
      <c r="I32" s="22" t="s">
        <v>27</v>
      </c>
      <c r="J32" s="16"/>
      <c r="K32" s="25"/>
      <c r="L32" s="16"/>
      <c r="M32" s="16" t="str">
        <f t="shared" si="2"/>
        <v/>
      </c>
      <c r="N32" s="16" t="str">
        <f t="shared" si="3"/>
        <v/>
      </c>
      <c r="O32" s="7"/>
      <c r="P32" s="7"/>
      <c r="Q32" s="7"/>
      <c r="R32" s="7"/>
      <c r="S32" s="16" t="s">
        <v>421</v>
      </c>
      <c r="T32" s="4" t="s">
        <v>422</v>
      </c>
      <c r="U32" s="4" t="s">
        <v>17</v>
      </c>
      <c r="V32" s="4" t="s">
        <v>406</v>
      </c>
      <c r="W32" s="4"/>
      <c r="X32" s="4" t="s">
        <v>423</v>
      </c>
      <c r="Y32" s="4"/>
      <c r="Z32" s="4"/>
      <c r="AA32" s="37">
        <v>81699054</v>
      </c>
      <c r="AB32" s="4"/>
      <c r="AC32" s="4"/>
      <c r="AD32" s="4" t="s">
        <v>424</v>
      </c>
      <c r="AE32" s="4"/>
      <c r="AF32" s="4"/>
    </row>
    <row r="33" spans="1:32" x14ac:dyDescent="0.25">
      <c r="A33" s="4" t="str">
        <f>"'"&amp;X33&amp;"',"</f>
        <v>'1602862312042479-2249205-78-02',</v>
      </c>
      <c r="B33" s="4" t="str">
        <f t="shared" si="6"/>
        <v>'1602862322179843-2249231-24-02',</v>
      </c>
      <c r="C33" s="15"/>
      <c r="D33" s="5"/>
      <c r="E33" s="5" t="str">
        <f t="shared" si="4"/>
        <v/>
      </c>
      <c r="F33" s="30"/>
      <c r="G33" s="29" t="str">
        <f t="shared" si="5"/>
        <v/>
      </c>
      <c r="H33" s="5"/>
      <c r="I33" s="22" t="s">
        <v>28</v>
      </c>
      <c r="J33" s="16"/>
      <c r="K33" s="25"/>
      <c r="L33" s="16"/>
      <c r="M33" s="16" t="str">
        <f t="shared" si="2"/>
        <v/>
      </c>
      <c r="N33" s="16" t="str">
        <f t="shared" si="3"/>
        <v/>
      </c>
      <c r="O33" s="7"/>
      <c r="P33" s="7"/>
      <c r="Q33" s="7"/>
      <c r="R33" s="7"/>
      <c r="S33" s="16"/>
      <c r="T33" s="4" t="s">
        <v>425</v>
      </c>
      <c r="U33" s="4" t="s">
        <v>17</v>
      </c>
      <c r="V33" s="4" t="s">
        <v>426</v>
      </c>
      <c r="W33" s="4"/>
      <c r="X33" s="4" t="s">
        <v>427</v>
      </c>
      <c r="Y33" s="4"/>
      <c r="Z33" s="4"/>
      <c r="AA33" s="37"/>
      <c r="AB33" s="4"/>
      <c r="AC33" s="4"/>
      <c r="AD33" s="4"/>
      <c r="AE33" s="4"/>
      <c r="AF33" s="4"/>
    </row>
    <row r="34" spans="1:32" x14ac:dyDescent="0.25">
      <c r="A34" s="4" t="str">
        <f t="shared" ref="A34:A35" si="7">"'"&amp;X34&amp;"',"</f>
        <v>'1602856781722986-2237069-45-01',</v>
      </c>
      <c r="B34" s="4" t="str">
        <f t="shared" si="6"/>
        <v>'1602856792110125-2237087-33-01',</v>
      </c>
      <c r="C34" s="15"/>
      <c r="D34" s="5"/>
      <c r="E34" s="5" t="str">
        <f t="shared" si="4"/>
        <v/>
      </c>
      <c r="F34" s="30"/>
      <c r="G34" s="29" t="str">
        <f t="shared" si="5"/>
        <v/>
      </c>
      <c r="H34" s="5"/>
      <c r="I34" s="22" t="s">
        <v>27</v>
      </c>
      <c r="J34" s="16"/>
      <c r="K34" s="25"/>
      <c r="L34" s="16"/>
      <c r="M34" s="16" t="str">
        <f t="shared" si="2"/>
        <v/>
      </c>
      <c r="N34" s="16" t="str">
        <f t="shared" si="3"/>
        <v/>
      </c>
      <c r="O34" s="7"/>
      <c r="P34" s="7"/>
      <c r="Q34" s="7"/>
      <c r="R34" s="7"/>
      <c r="S34" s="16"/>
      <c r="T34" s="4" t="s">
        <v>428</v>
      </c>
      <c r="U34" s="4" t="s">
        <v>17</v>
      </c>
      <c r="V34" s="4" t="s">
        <v>426</v>
      </c>
      <c r="W34" s="4"/>
      <c r="X34" s="4" t="s">
        <v>429</v>
      </c>
      <c r="Y34" s="4"/>
      <c r="Z34" s="4"/>
      <c r="AA34" s="37"/>
      <c r="AB34" s="4"/>
      <c r="AC34" s="4"/>
      <c r="AD34" s="4"/>
      <c r="AE34" s="4"/>
      <c r="AF34" s="4"/>
    </row>
    <row r="35" spans="1:32" x14ac:dyDescent="0.25">
      <c r="A35" s="4" t="str">
        <f t="shared" si="7"/>
        <v>'',</v>
      </c>
      <c r="B35" s="4" t="str">
        <f t="shared" si="6"/>
        <v>'1602845898427883-2205704-59-01',</v>
      </c>
      <c r="C35" s="15"/>
      <c r="D35" s="5"/>
      <c r="E35" s="5" t="str">
        <f t="shared" si="4"/>
        <v/>
      </c>
      <c r="F35" s="30"/>
      <c r="G35" s="29" t="str">
        <f t="shared" si="5"/>
        <v/>
      </c>
      <c r="H35" s="5"/>
      <c r="I35" s="22" t="s">
        <v>60</v>
      </c>
      <c r="J35" s="16"/>
      <c r="K35" s="25"/>
      <c r="L35" s="16"/>
      <c r="M35" s="16" t="str">
        <f t="shared" si="2"/>
        <v/>
      </c>
      <c r="N35" s="16" t="str">
        <f t="shared" si="3"/>
        <v/>
      </c>
      <c r="O35" s="7"/>
      <c r="P35" s="7"/>
      <c r="Q35" s="7"/>
      <c r="R35" s="7"/>
      <c r="S35" s="16"/>
      <c r="T35" s="4" t="s">
        <v>430</v>
      </c>
      <c r="U35" s="4" t="s">
        <v>17</v>
      </c>
      <c r="V35" s="4" t="s">
        <v>406</v>
      </c>
      <c r="W35" s="4"/>
      <c r="X35" s="4"/>
      <c r="Y35" s="4"/>
      <c r="Z35" s="4"/>
      <c r="AA35" s="37"/>
      <c r="AB35" s="4"/>
      <c r="AC35" s="4"/>
      <c r="AD35" s="4"/>
      <c r="AE35" s="4"/>
      <c r="AF35" s="4"/>
    </row>
    <row r="36" spans="1:32" x14ac:dyDescent="0.25">
      <c r="A36" s="4" t="str">
        <f t="shared" ref="A36:A92" si="8">"'"&amp;X36&amp;"',"</f>
        <v>'1603724342502887-4110387-04-01',</v>
      </c>
      <c r="B36" s="4" t="str">
        <f t="shared" ref="B36:B92" si="9">"'"&amp;T36&amp;"',"</f>
        <v>'1603724342705289-4112782-37-02',</v>
      </c>
      <c r="C36" s="15" t="s">
        <v>74</v>
      </c>
      <c r="D36" s="5" t="s">
        <v>47</v>
      </c>
      <c r="E36" s="5" t="str">
        <f t="shared" si="4"/>
        <v/>
      </c>
      <c r="F36" s="30"/>
      <c r="G36" s="29" t="str">
        <f t="shared" si="5"/>
        <v>DONE</v>
      </c>
      <c r="H36" s="5" t="s">
        <v>334</v>
      </c>
      <c r="I36" s="22" t="s">
        <v>73</v>
      </c>
      <c r="J36" s="16"/>
      <c r="K36" s="25"/>
      <c r="L36" s="16"/>
      <c r="M36" s="16" t="str">
        <f t="shared" si="2"/>
        <v/>
      </c>
      <c r="N36" s="16" t="str">
        <f t="shared" si="3"/>
        <v/>
      </c>
      <c r="O36" s="7"/>
      <c r="P36" s="7"/>
      <c r="Q36" s="7"/>
      <c r="R36" s="7"/>
      <c r="S36" s="16" t="s">
        <v>431</v>
      </c>
      <c r="T36" s="4" t="s">
        <v>432</v>
      </c>
      <c r="U36" s="4" t="s">
        <v>17</v>
      </c>
      <c r="V36" s="4" t="s">
        <v>332</v>
      </c>
      <c r="W36" s="4"/>
      <c r="X36" s="4" t="s">
        <v>433</v>
      </c>
      <c r="Y36" s="4"/>
      <c r="Z36" s="4"/>
      <c r="AA36" s="37" t="s">
        <v>69</v>
      </c>
      <c r="AB36" s="4"/>
      <c r="AC36" s="4"/>
      <c r="AD36" s="4" t="s">
        <v>434</v>
      </c>
      <c r="AE36" s="4"/>
      <c r="AF36" s="4"/>
    </row>
    <row r="37" spans="1:32" x14ac:dyDescent="0.25">
      <c r="A37" s="4" t="str">
        <f t="shared" si="8"/>
        <v>'1603761635773322-4187606-40-01',</v>
      </c>
      <c r="B37" s="4" t="str">
        <f t="shared" si="9"/>
        <v>'1603761636130981-4194530-04-02',</v>
      </c>
      <c r="C37" s="15" t="s">
        <v>70</v>
      </c>
      <c r="D37" s="5" t="s">
        <v>44</v>
      </c>
      <c r="E37" s="5" t="str">
        <f t="shared" si="4"/>
        <v>DONE</v>
      </c>
      <c r="F37" s="30" t="s">
        <v>435</v>
      </c>
      <c r="G37" s="29" t="str">
        <f t="shared" si="5"/>
        <v>DONE</v>
      </c>
      <c r="H37" s="5" t="s">
        <v>436</v>
      </c>
      <c r="I37" s="22" t="s">
        <v>27</v>
      </c>
      <c r="J37" s="16"/>
      <c r="K37" s="25"/>
      <c r="L37" s="16"/>
      <c r="M37" s="16" t="str">
        <f t="shared" ref="M37:M68" si="10">IF($L37&lt;&gt;"",IF($L37="清除同步失敗註記","UPDATE CIFX.TB_SERVICE_EXECUTION_CONTROL SET EXECUTION_STATE = "&amp;"'"&amp;"EXECUTED"&amp;"'"&amp;", ap_server_EXECUTING = NULL WHERE SERVICE_EXECUTION_CONTROL_ID IN ("&amp;"'"&amp;$Y37&amp;"'"&amp;")and execution_type = "&amp;"'"&amp;"STAGE1_EXECUTION"&amp;"'"&amp;"",IF($L37="重送CIP電文","UPDATE CIFX.TB_SERVICE_EXECUTION_CONTROL SET EXECUTION_STATE = "&amp;"'"&amp;"TO_EXECUTE"&amp;"'"&amp;",RESULT_CODE = NULL,EXECUTING_TIMESTAMP = null,EXECUTED_TIMESTAMP = null,ap_server_EXECUTING = NULL WHERE SERVICE_EXECUTION_CONTROL_ID IN ("&amp;"'"&amp;$Y37&amp;"'"&amp;") AND EXECUTION_TYPE = "&amp;"'"&amp;"STAGE1_EXECUTION"&amp;"'"&amp;"","沒有對應")),"")</f>
        <v/>
      </c>
      <c r="N37" s="16" t="str">
        <f t="shared" ref="N37:N68" si="11">IF($L37&lt;&gt;"","SELECT EXECUTION_TYPE,SERVICE_INTERCHANGE_ID,CIRCI_KEY,EXECUTION_STATE FROM CIFX.TB_SERVICE_EXECUTION_CONTROL WHERE SERVICE_EXECUTION_CONTROL_ID IN ("&amp;"'"&amp;$Y37&amp;"'"&amp;") AND EXECUTION_TYPE = "&amp;"'"&amp;"STAGE1_EXECUTION"&amp;"'"&amp;"","")</f>
        <v/>
      </c>
      <c r="O37" s="7"/>
      <c r="P37" s="7"/>
      <c r="Q37" s="7"/>
      <c r="R37" s="7"/>
      <c r="S37" s="16"/>
      <c r="T37" s="4" t="s">
        <v>437</v>
      </c>
      <c r="U37" s="4" t="s">
        <v>17</v>
      </c>
      <c r="V37" s="4" t="s">
        <v>406</v>
      </c>
      <c r="W37" s="4"/>
      <c r="X37" s="4" t="s">
        <v>438</v>
      </c>
      <c r="Y37" s="4"/>
      <c r="Z37" s="4"/>
      <c r="AA37" s="37" t="s">
        <v>41</v>
      </c>
      <c r="AB37" s="4"/>
      <c r="AC37" s="4"/>
      <c r="AD37" s="4" t="s">
        <v>439</v>
      </c>
      <c r="AE37" s="4"/>
      <c r="AF37" s="4"/>
    </row>
    <row r="38" spans="1:32" x14ac:dyDescent="0.25">
      <c r="A38" s="4" t="str">
        <f t="shared" si="8"/>
        <v>'1603804482164120-4271067-03-02',</v>
      </c>
      <c r="B38" s="4" t="str">
        <f t="shared" si="9"/>
        <v>'1603804482405266-4293414-42-01',</v>
      </c>
      <c r="C38" s="15" t="s">
        <v>62</v>
      </c>
      <c r="D38" s="5" t="s">
        <v>56</v>
      </c>
      <c r="E38" s="5" t="str">
        <f t="shared" si="4"/>
        <v>DONE</v>
      </c>
      <c r="F38" s="30" t="s">
        <v>440</v>
      </c>
      <c r="G38" s="29" t="str">
        <f t="shared" si="5"/>
        <v>DONE</v>
      </c>
      <c r="H38" s="5" t="s">
        <v>441</v>
      </c>
      <c r="I38" s="22" t="s">
        <v>55</v>
      </c>
      <c r="J38" s="16"/>
      <c r="K38" s="25"/>
      <c r="L38" s="16"/>
      <c r="M38" s="16" t="str">
        <f t="shared" si="10"/>
        <v/>
      </c>
      <c r="N38" s="16" t="str">
        <f t="shared" si="11"/>
        <v/>
      </c>
      <c r="O38" s="7"/>
      <c r="P38" s="7"/>
      <c r="Q38" s="7"/>
      <c r="R38" s="7"/>
      <c r="S38" s="16" t="s">
        <v>442</v>
      </c>
      <c r="T38" s="4" t="s">
        <v>443</v>
      </c>
      <c r="U38" s="4" t="s">
        <v>17</v>
      </c>
      <c r="V38" s="4" t="s">
        <v>332</v>
      </c>
      <c r="W38" s="4"/>
      <c r="X38" s="4" t="s">
        <v>444</v>
      </c>
      <c r="Y38" s="4"/>
      <c r="Z38" s="4"/>
      <c r="AA38" s="37" t="s">
        <v>45</v>
      </c>
      <c r="AB38" s="4"/>
      <c r="AC38" s="4"/>
      <c r="AD38" s="4" t="s">
        <v>445</v>
      </c>
      <c r="AE38" s="4" t="s">
        <v>446</v>
      </c>
      <c r="AF38" s="4" t="s">
        <v>315</v>
      </c>
    </row>
    <row r="39" spans="1:32" x14ac:dyDescent="0.25">
      <c r="A39" s="4" t="str">
        <f t="shared" si="8"/>
        <v>'1603807227865533-4303995-35-02',</v>
      </c>
      <c r="B39" s="4" t="str">
        <f t="shared" si="9"/>
        <v>'1603807230690058-4303399-24-02',</v>
      </c>
      <c r="C39" s="15" t="s">
        <v>180</v>
      </c>
      <c r="D39" s="5" t="s">
        <v>57</v>
      </c>
      <c r="E39" s="5" t="str">
        <f t="shared" si="4"/>
        <v>DONE</v>
      </c>
      <c r="F39" s="30" t="s">
        <v>447</v>
      </c>
      <c r="G39" s="29" t="str">
        <f t="shared" si="5"/>
        <v/>
      </c>
      <c r="H39" s="5"/>
      <c r="I39" s="22" t="s">
        <v>62</v>
      </c>
      <c r="J39" s="16"/>
      <c r="K39" s="25"/>
      <c r="L39" s="16"/>
      <c r="M39" s="16" t="str">
        <f t="shared" si="10"/>
        <v/>
      </c>
      <c r="N39" s="16" t="str">
        <f t="shared" si="11"/>
        <v/>
      </c>
      <c r="O39" s="7"/>
      <c r="P39" s="7"/>
      <c r="Q39" s="7"/>
      <c r="R39" s="7"/>
      <c r="S39" s="16" t="s">
        <v>448</v>
      </c>
      <c r="T39" s="4" t="s">
        <v>449</v>
      </c>
      <c r="U39" s="4" t="s">
        <v>17</v>
      </c>
      <c r="V39" s="4" t="s">
        <v>450</v>
      </c>
      <c r="W39" s="4"/>
      <c r="X39" s="4" t="s">
        <v>451</v>
      </c>
      <c r="Y39" s="4"/>
      <c r="Z39" s="4"/>
      <c r="AA39" s="37" t="s">
        <v>77</v>
      </c>
      <c r="AB39" s="4"/>
      <c r="AC39" s="4"/>
      <c r="AD39" s="4" t="s">
        <v>452</v>
      </c>
      <c r="AE39" s="4" t="s">
        <v>318</v>
      </c>
      <c r="AF39" s="4" t="s">
        <v>315</v>
      </c>
    </row>
    <row r="40" spans="1:32" x14ac:dyDescent="0.25">
      <c r="A40" s="4" t="str">
        <f t="shared" si="8"/>
        <v>'1603804482164120-4271067-03-02',</v>
      </c>
      <c r="B40" s="4" t="str">
        <f t="shared" si="9"/>
        <v>'1603804482405266-4293414-42-01',</v>
      </c>
      <c r="C40" s="15" t="s">
        <v>60</v>
      </c>
      <c r="D40" s="5" t="s">
        <v>56</v>
      </c>
      <c r="E40" s="5" t="str">
        <f t="shared" si="4"/>
        <v>DONE</v>
      </c>
      <c r="F40" s="30" t="s">
        <v>440</v>
      </c>
      <c r="G40" s="29" t="str">
        <f t="shared" si="5"/>
        <v>DONE</v>
      </c>
      <c r="H40" s="5" t="s">
        <v>453</v>
      </c>
      <c r="I40" s="22" t="s">
        <v>55</v>
      </c>
      <c r="J40" s="16"/>
      <c r="K40" s="25"/>
      <c r="L40" s="16"/>
      <c r="M40" s="16" t="str">
        <f t="shared" si="10"/>
        <v/>
      </c>
      <c r="N40" s="16" t="str">
        <f t="shared" si="11"/>
        <v/>
      </c>
      <c r="O40" s="7"/>
      <c r="P40" s="7"/>
      <c r="Q40" s="7"/>
      <c r="R40" s="7"/>
      <c r="S40" s="16" t="s">
        <v>442</v>
      </c>
      <c r="T40" s="4" t="s">
        <v>454</v>
      </c>
      <c r="U40" s="4" t="s">
        <v>17</v>
      </c>
      <c r="V40" s="4" t="s">
        <v>332</v>
      </c>
      <c r="W40" s="4"/>
      <c r="X40" s="4" t="s">
        <v>444</v>
      </c>
      <c r="Y40" s="4"/>
      <c r="Z40" s="4"/>
      <c r="AA40" s="37" t="s">
        <v>46</v>
      </c>
      <c r="AB40" s="4"/>
      <c r="AC40" s="4"/>
      <c r="AD40" s="4" t="s">
        <v>445</v>
      </c>
      <c r="AE40" s="4" t="s">
        <v>455</v>
      </c>
      <c r="AF40" s="4" t="s">
        <v>315</v>
      </c>
    </row>
    <row r="41" spans="1:32" x14ac:dyDescent="0.25">
      <c r="A41" s="4" t="str">
        <f t="shared" si="8"/>
        <v>'1603965816079576-4632093-54-01',</v>
      </c>
      <c r="B41" s="4" t="str">
        <f t="shared" si="9"/>
        <v>'1603965816348793-4638968-40-02',</v>
      </c>
      <c r="C41" s="15" t="s">
        <v>76</v>
      </c>
      <c r="D41" s="5" t="s">
        <v>72</v>
      </c>
      <c r="E41" s="5" t="str">
        <f t="shared" si="4"/>
        <v>DONE</v>
      </c>
      <c r="F41" s="30" t="s">
        <v>456</v>
      </c>
      <c r="G41" s="29" t="str">
        <f t="shared" si="5"/>
        <v>DONE</v>
      </c>
      <c r="H41" s="5" t="s">
        <v>457</v>
      </c>
      <c r="I41" s="22" t="s">
        <v>75</v>
      </c>
      <c r="J41" s="16"/>
      <c r="K41" s="25"/>
      <c r="L41" s="16"/>
      <c r="M41" s="16" t="str">
        <f t="shared" si="10"/>
        <v/>
      </c>
      <c r="N41" s="16" t="str">
        <f t="shared" si="11"/>
        <v/>
      </c>
      <c r="O41" s="7"/>
      <c r="P41" s="7"/>
      <c r="Q41" s="7"/>
      <c r="R41" s="7"/>
      <c r="S41" s="16"/>
      <c r="T41" s="4" t="s">
        <v>458</v>
      </c>
      <c r="U41" s="4" t="s">
        <v>17</v>
      </c>
      <c r="V41" s="4" t="s">
        <v>406</v>
      </c>
      <c r="W41" s="4"/>
      <c r="X41" s="4" t="s">
        <v>459</v>
      </c>
      <c r="Y41" s="4"/>
      <c r="Z41" s="4"/>
      <c r="AA41" s="37" t="s">
        <v>54</v>
      </c>
      <c r="AB41" s="4"/>
      <c r="AC41" s="4"/>
      <c r="AD41" s="4" t="s">
        <v>460</v>
      </c>
      <c r="AE41" s="4"/>
      <c r="AF41" s="4"/>
    </row>
    <row r="42" spans="1:32" x14ac:dyDescent="0.25">
      <c r="A42" s="4" t="str">
        <f t="shared" si="8"/>
        <v>'1603725238810410-4113291-05-02',</v>
      </c>
      <c r="B42" s="4" t="str">
        <f t="shared" si="9"/>
        <v>'1603986827548878-4681750-68-01',</v>
      </c>
      <c r="C42" s="15"/>
      <c r="D42" s="5"/>
      <c r="E42" s="5" t="str">
        <f t="shared" si="4"/>
        <v/>
      </c>
      <c r="F42" s="30"/>
      <c r="G42" s="29" t="str">
        <f t="shared" si="5"/>
        <v/>
      </c>
      <c r="H42" s="5"/>
      <c r="I42" s="22"/>
      <c r="J42" s="16"/>
      <c r="K42" s="25"/>
      <c r="L42" s="16"/>
      <c r="M42" s="16" t="str">
        <f t="shared" si="10"/>
        <v/>
      </c>
      <c r="N42" s="16" t="str">
        <f t="shared" si="11"/>
        <v/>
      </c>
      <c r="O42" s="7"/>
      <c r="P42" s="7"/>
      <c r="Q42" s="7"/>
      <c r="R42" s="7"/>
      <c r="S42" s="16"/>
      <c r="T42" s="4" t="s">
        <v>461</v>
      </c>
      <c r="U42" s="4" t="s">
        <v>17</v>
      </c>
      <c r="V42" s="4" t="s">
        <v>317</v>
      </c>
      <c r="W42" s="4"/>
      <c r="X42" s="4" t="s">
        <v>462</v>
      </c>
      <c r="Y42" s="4"/>
      <c r="Z42" s="4"/>
      <c r="AA42" s="37" t="s">
        <v>64</v>
      </c>
      <c r="AB42" s="4"/>
      <c r="AC42" s="4"/>
      <c r="AD42" s="4" t="s">
        <v>463</v>
      </c>
      <c r="AE42" s="4" t="s">
        <v>464</v>
      </c>
      <c r="AF42" s="4" t="s">
        <v>318</v>
      </c>
    </row>
    <row r="43" spans="1:32" x14ac:dyDescent="0.25">
      <c r="A43" s="4" t="str">
        <f t="shared" si="8"/>
        <v>'1603984497850188-4685079-02-02',</v>
      </c>
      <c r="B43" s="4" t="str">
        <f t="shared" si="9"/>
        <v>'1603984498054388-4685098-21-02',</v>
      </c>
      <c r="C43" s="15"/>
      <c r="D43" s="5"/>
      <c r="E43" s="5" t="str">
        <f t="shared" si="4"/>
        <v/>
      </c>
      <c r="F43" s="30"/>
      <c r="G43" s="29" t="str">
        <f t="shared" si="5"/>
        <v/>
      </c>
      <c r="H43" s="5"/>
      <c r="I43" s="22"/>
      <c r="J43" s="16"/>
      <c r="K43" s="25"/>
      <c r="L43" s="16"/>
      <c r="M43" s="16" t="str">
        <f t="shared" si="10"/>
        <v/>
      </c>
      <c r="N43" s="16" t="str">
        <f t="shared" si="11"/>
        <v/>
      </c>
      <c r="O43" s="7"/>
      <c r="P43" s="7"/>
      <c r="Q43" s="7"/>
      <c r="R43" s="7"/>
      <c r="S43" s="16" t="s">
        <v>465</v>
      </c>
      <c r="T43" s="4" t="s">
        <v>466</v>
      </c>
      <c r="U43" s="4" t="s">
        <v>17</v>
      </c>
      <c r="V43" s="4" t="s">
        <v>467</v>
      </c>
      <c r="W43" s="4"/>
      <c r="X43" s="4" t="s">
        <v>468</v>
      </c>
      <c r="Y43" s="4"/>
      <c r="Z43" s="4"/>
      <c r="AA43" s="37" t="s">
        <v>63</v>
      </c>
      <c r="AB43" s="4"/>
      <c r="AC43" s="4"/>
      <c r="AD43" s="4" t="s">
        <v>469</v>
      </c>
      <c r="AE43" s="4" t="s">
        <v>470</v>
      </c>
      <c r="AF43" s="4" t="s">
        <v>471</v>
      </c>
    </row>
    <row r="44" spans="1:32" x14ac:dyDescent="0.25">
      <c r="A44" s="4" t="str">
        <f t="shared" si="8"/>
        <v>'1603992477362262-4691032-47-02',</v>
      </c>
      <c r="B44" s="4" t="str">
        <f t="shared" si="9"/>
        <v>'1603992477599021-4691854-67-02',</v>
      </c>
      <c r="C44" s="15"/>
      <c r="D44" s="5"/>
      <c r="E44" s="5" t="str">
        <f t="shared" si="4"/>
        <v/>
      </c>
      <c r="F44" s="30"/>
      <c r="G44" s="29" t="str">
        <f t="shared" si="5"/>
        <v/>
      </c>
      <c r="H44" s="5"/>
      <c r="I44" s="22"/>
      <c r="J44" s="16"/>
      <c r="K44" s="25"/>
      <c r="L44" s="16"/>
      <c r="M44" s="16" t="str">
        <f t="shared" si="10"/>
        <v/>
      </c>
      <c r="N44" s="16" t="str">
        <f t="shared" si="11"/>
        <v/>
      </c>
      <c r="O44" s="7"/>
      <c r="P44" s="7"/>
      <c r="Q44" s="7"/>
      <c r="R44" s="7"/>
      <c r="S44" s="16"/>
      <c r="T44" s="4" t="s">
        <v>472</v>
      </c>
      <c r="U44" s="4" t="s">
        <v>17</v>
      </c>
      <c r="V44" s="4" t="s">
        <v>408</v>
      </c>
      <c r="W44" s="4"/>
      <c r="X44" s="4" t="s">
        <v>473</v>
      </c>
      <c r="Y44" s="4"/>
      <c r="Z44" s="4"/>
      <c r="AA44" s="37" t="s">
        <v>68</v>
      </c>
      <c r="AB44" s="4"/>
      <c r="AC44" s="4"/>
      <c r="AD44" s="4" t="s">
        <v>474</v>
      </c>
      <c r="AE44" s="4" t="s">
        <v>471</v>
      </c>
      <c r="AF44" s="4" t="s">
        <v>315</v>
      </c>
    </row>
    <row r="45" spans="1:32" x14ac:dyDescent="0.25">
      <c r="A45" s="4" t="str">
        <f t="shared" si="8"/>
        <v>'1604590226299438-5995749-55-01',</v>
      </c>
      <c r="B45" s="4" t="str">
        <f t="shared" si="9"/>
        <v>'1604590229055774-5995141-78-01',</v>
      </c>
      <c r="C45" s="15" t="s">
        <v>80</v>
      </c>
      <c r="D45" s="5" t="s">
        <v>79</v>
      </c>
      <c r="E45" s="5" t="str">
        <f t="shared" si="4"/>
        <v>DONE</v>
      </c>
      <c r="F45" s="30" t="s">
        <v>475</v>
      </c>
      <c r="G45" s="29" t="str">
        <f t="shared" si="5"/>
        <v/>
      </c>
      <c r="H45" s="5"/>
      <c r="I45" s="22" t="s">
        <v>27</v>
      </c>
      <c r="J45" s="16"/>
      <c r="K45" s="25"/>
      <c r="L45" s="16"/>
      <c r="M45" s="16" t="str">
        <f t="shared" si="10"/>
        <v/>
      </c>
      <c r="N45" s="16" t="str">
        <f t="shared" si="11"/>
        <v/>
      </c>
      <c r="O45" s="7"/>
      <c r="P45" s="7"/>
      <c r="Q45" s="7"/>
      <c r="R45" s="7"/>
      <c r="S45" s="16" t="s">
        <v>476</v>
      </c>
      <c r="T45" s="4" t="s">
        <v>477</v>
      </c>
      <c r="U45" s="4" t="s">
        <v>17</v>
      </c>
      <c r="V45" s="4" t="s">
        <v>478</v>
      </c>
      <c r="W45" s="4"/>
      <c r="X45" s="4" t="s">
        <v>479</v>
      </c>
      <c r="Y45" s="4"/>
      <c r="Z45" s="4"/>
      <c r="AA45" s="37" t="s">
        <v>78</v>
      </c>
      <c r="AB45" s="4"/>
      <c r="AC45" s="4"/>
      <c r="AD45" s="4" t="s">
        <v>480</v>
      </c>
      <c r="AE45" s="4" t="s">
        <v>318</v>
      </c>
      <c r="AF45" s="4" t="s">
        <v>318</v>
      </c>
    </row>
    <row r="46" spans="1:32" x14ac:dyDescent="0.25">
      <c r="A46" s="4" t="str">
        <f t="shared" si="8"/>
        <v>'1605543481179860-8020163-95-02',</v>
      </c>
      <c r="B46" s="4" t="str">
        <f t="shared" si="9"/>
        <v>'1605543481433187-8033381-33-01',</v>
      </c>
      <c r="C46" s="15" t="s">
        <v>85</v>
      </c>
      <c r="D46" s="5" t="s">
        <v>83</v>
      </c>
      <c r="E46" s="5" t="str">
        <f t="shared" si="4"/>
        <v/>
      </c>
      <c r="F46" s="30"/>
      <c r="G46" s="29" t="str">
        <f t="shared" si="5"/>
        <v/>
      </c>
      <c r="H46" s="5"/>
      <c r="I46" s="22" t="s">
        <v>84</v>
      </c>
      <c r="J46" s="16"/>
      <c r="K46" s="25"/>
      <c r="L46" s="16"/>
      <c r="M46" s="16" t="str">
        <f t="shared" si="10"/>
        <v/>
      </c>
      <c r="N46" s="16" t="str">
        <f t="shared" si="11"/>
        <v/>
      </c>
      <c r="O46" s="7"/>
      <c r="P46" s="7"/>
      <c r="Q46" s="7"/>
      <c r="R46" s="7"/>
      <c r="S46" s="16" t="s">
        <v>481</v>
      </c>
      <c r="T46" s="4" t="s">
        <v>482</v>
      </c>
      <c r="U46" s="4" t="s">
        <v>17</v>
      </c>
      <c r="V46" s="4" t="s">
        <v>317</v>
      </c>
      <c r="W46" s="4"/>
      <c r="X46" s="4" t="s">
        <v>483</v>
      </c>
      <c r="Y46" s="4"/>
      <c r="Z46" s="4"/>
      <c r="AA46" s="37" t="s">
        <v>81</v>
      </c>
      <c r="AB46" s="4"/>
      <c r="AC46" s="4"/>
      <c r="AD46" s="4" t="s">
        <v>484</v>
      </c>
      <c r="AE46" s="4" t="s">
        <v>485</v>
      </c>
      <c r="AF46" s="4" t="s">
        <v>318</v>
      </c>
    </row>
    <row r="47" spans="1:32" x14ac:dyDescent="0.25">
      <c r="A47" s="4" t="str">
        <f t="shared" si="8"/>
        <v>'1605890339970952-8799590-38-02',</v>
      </c>
      <c r="B47" s="4" t="str">
        <f t="shared" si="9"/>
        <v>'1605890370587279-8799591-75-02',</v>
      </c>
      <c r="C47" s="15" t="s">
        <v>90</v>
      </c>
      <c r="D47" s="5" t="s">
        <v>89</v>
      </c>
      <c r="E47" s="5" t="str">
        <f t="shared" si="4"/>
        <v>DONE</v>
      </c>
      <c r="F47" s="30" t="s">
        <v>486</v>
      </c>
      <c r="G47" s="29" t="str">
        <f t="shared" si="5"/>
        <v/>
      </c>
      <c r="H47" s="5"/>
      <c r="I47" s="22" t="s">
        <v>90</v>
      </c>
      <c r="J47" s="16"/>
      <c r="K47" s="25"/>
      <c r="L47" s="16"/>
      <c r="M47" s="16" t="str">
        <f t="shared" si="10"/>
        <v/>
      </c>
      <c r="N47" s="16" t="str">
        <f t="shared" si="11"/>
        <v/>
      </c>
      <c r="O47" s="7"/>
      <c r="P47" s="7"/>
      <c r="Q47" s="7"/>
      <c r="R47" s="7"/>
      <c r="S47" s="16" t="s">
        <v>487</v>
      </c>
      <c r="T47" s="4" t="s">
        <v>488</v>
      </c>
      <c r="U47" s="4" t="s">
        <v>17</v>
      </c>
      <c r="V47" s="4" t="s">
        <v>489</v>
      </c>
      <c r="W47" s="4"/>
      <c r="X47" s="4" t="s">
        <v>490</v>
      </c>
      <c r="Y47" s="4"/>
      <c r="Z47" s="4"/>
      <c r="AA47" s="37" t="s">
        <v>86</v>
      </c>
      <c r="AB47" s="4"/>
      <c r="AC47" s="4"/>
      <c r="AD47" s="4" t="s">
        <v>491</v>
      </c>
      <c r="AE47" s="4"/>
      <c r="AF47" s="4"/>
    </row>
    <row r="48" spans="1:32" x14ac:dyDescent="0.25">
      <c r="A48" s="4" t="str">
        <f t="shared" si="8"/>
        <v>'1605890296723965-8799589-21-02',</v>
      </c>
      <c r="B48" s="4" t="str">
        <f t="shared" si="9"/>
        <v>'1605890327210886-8799587-66-02',</v>
      </c>
      <c r="C48" s="15" t="s">
        <v>91</v>
      </c>
      <c r="D48" s="5" t="s">
        <v>89</v>
      </c>
      <c r="E48" s="5" t="str">
        <f t="shared" si="4"/>
        <v>DONE</v>
      </c>
      <c r="F48" s="30" t="s">
        <v>486</v>
      </c>
      <c r="G48" s="29" t="str">
        <f t="shared" si="5"/>
        <v/>
      </c>
      <c r="H48" s="5"/>
      <c r="I48" s="22" t="s">
        <v>93</v>
      </c>
      <c r="J48" s="16"/>
      <c r="K48" s="25"/>
      <c r="L48" s="16"/>
      <c r="M48" s="16" t="str">
        <f t="shared" si="10"/>
        <v/>
      </c>
      <c r="N48" s="16" t="str">
        <f t="shared" si="11"/>
        <v/>
      </c>
      <c r="O48" s="7"/>
      <c r="P48" s="7"/>
      <c r="Q48" s="7"/>
      <c r="R48" s="7"/>
      <c r="S48" s="16" t="s">
        <v>487</v>
      </c>
      <c r="T48" s="4" t="s">
        <v>492</v>
      </c>
      <c r="U48" s="4" t="s">
        <v>17</v>
      </c>
      <c r="V48" s="4" t="s">
        <v>489</v>
      </c>
      <c r="W48" s="4"/>
      <c r="X48" s="4" t="s">
        <v>493</v>
      </c>
      <c r="Y48" s="4"/>
      <c r="Z48" s="4"/>
      <c r="AA48" s="37" t="s">
        <v>87</v>
      </c>
      <c r="AB48" s="4"/>
      <c r="AC48" s="4"/>
      <c r="AD48" s="4" t="s">
        <v>494</v>
      </c>
      <c r="AE48" s="4"/>
      <c r="AF48" s="4"/>
    </row>
    <row r="49" spans="1:32" x14ac:dyDescent="0.25">
      <c r="A49" s="4" t="str">
        <f t="shared" si="8"/>
        <v>'1605890295695248-8799587-58-02',</v>
      </c>
      <c r="B49" s="4" t="str">
        <f t="shared" si="9"/>
        <v>'1605890326197915-8799591-40-02',</v>
      </c>
      <c r="C49" s="15" t="s">
        <v>92</v>
      </c>
      <c r="D49" s="5" t="s">
        <v>89</v>
      </c>
      <c r="E49" s="5" t="str">
        <f t="shared" si="4"/>
        <v>DONE</v>
      </c>
      <c r="F49" s="30" t="s">
        <v>486</v>
      </c>
      <c r="G49" s="29" t="str">
        <f t="shared" si="5"/>
        <v/>
      </c>
      <c r="H49" s="5"/>
      <c r="I49" s="22" t="s">
        <v>90</v>
      </c>
      <c r="J49" s="16"/>
      <c r="K49" s="25"/>
      <c r="L49" s="16"/>
      <c r="M49" s="16" t="str">
        <f t="shared" si="10"/>
        <v/>
      </c>
      <c r="N49" s="16" t="str">
        <f t="shared" si="11"/>
        <v/>
      </c>
      <c r="O49" s="7"/>
      <c r="P49" s="7"/>
      <c r="Q49" s="7"/>
      <c r="R49" s="7"/>
      <c r="S49" s="16" t="s">
        <v>487</v>
      </c>
      <c r="T49" s="4" t="s">
        <v>495</v>
      </c>
      <c r="U49" s="4" t="s">
        <v>17</v>
      </c>
      <c r="V49" s="4" t="s">
        <v>489</v>
      </c>
      <c r="W49" s="4"/>
      <c r="X49" s="4" t="s">
        <v>496</v>
      </c>
      <c r="Y49" s="4"/>
      <c r="Z49" s="4"/>
      <c r="AA49" s="37" t="s">
        <v>88</v>
      </c>
      <c r="AB49" s="4"/>
      <c r="AC49" s="4"/>
      <c r="AD49" s="4" t="s">
        <v>497</v>
      </c>
      <c r="AE49" s="4"/>
      <c r="AF49" s="4"/>
    </row>
    <row r="50" spans="1:32" x14ac:dyDescent="0.25">
      <c r="A50" s="4" t="str">
        <f t="shared" si="8"/>
        <v>'1606231734570353-9506821-36-01',</v>
      </c>
      <c r="B50" s="4" t="str">
        <f t="shared" si="9"/>
        <v>'1606231734774639-9506844-69-01',</v>
      </c>
      <c r="C50" s="15" t="s">
        <v>134</v>
      </c>
      <c r="D50" s="5" t="s">
        <v>133</v>
      </c>
      <c r="E50" s="5" t="str">
        <f t="shared" si="4"/>
        <v>DONE</v>
      </c>
      <c r="F50" s="30" t="s">
        <v>498</v>
      </c>
      <c r="G50" s="29" t="str">
        <f t="shared" si="5"/>
        <v/>
      </c>
      <c r="H50" s="5"/>
      <c r="I50" s="22" t="s">
        <v>134</v>
      </c>
      <c r="J50" s="16"/>
      <c r="K50" s="25"/>
      <c r="L50" s="16"/>
      <c r="M50" s="16" t="str">
        <f t="shared" si="10"/>
        <v/>
      </c>
      <c r="N50" s="16" t="str">
        <f t="shared" si="11"/>
        <v/>
      </c>
      <c r="O50" s="7"/>
      <c r="P50" s="7"/>
      <c r="Q50" s="7"/>
      <c r="R50" s="7"/>
      <c r="S50" s="16" t="s">
        <v>499</v>
      </c>
      <c r="T50" s="4" t="s">
        <v>500</v>
      </c>
      <c r="U50" s="4" t="s">
        <v>17</v>
      </c>
      <c r="V50" s="4" t="s">
        <v>317</v>
      </c>
      <c r="W50" s="4"/>
      <c r="X50" s="4" t="s">
        <v>501</v>
      </c>
      <c r="Y50" s="4"/>
      <c r="Z50" s="4"/>
      <c r="AA50" s="37" t="s">
        <v>94</v>
      </c>
      <c r="AB50" s="4"/>
      <c r="AC50" s="4"/>
      <c r="AD50" s="4" t="s">
        <v>502</v>
      </c>
      <c r="AE50" s="4" t="s">
        <v>503</v>
      </c>
      <c r="AF50" s="4" t="s">
        <v>318</v>
      </c>
    </row>
    <row r="51" spans="1:32" x14ac:dyDescent="0.25">
      <c r="A51" s="4" t="str">
        <f t="shared" si="8"/>
        <v>'1606303432322899-9654525-40-02',</v>
      </c>
      <c r="B51" s="4" t="str">
        <f t="shared" si="9"/>
        <v>'1606303432649210-9654568-87-02',</v>
      </c>
      <c r="C51" s="15" t="s">
        <v>159</v>
      </c>
      <c r="D51" s="5" t="s">
        <v>131</v>
      </c>
      <c r="E51" s="5" t="str">
        <f t="shared" si="4"/>
        <v>DONE</v>
      </c>
      <c r="F51" s="30" t="s">
        <v>504</v>
      </c>
      <c r="G51" s="29" t="str">
        <f t="shared" si="5"/>
        <v>DONE</v>
      </c>
      <c r="H51" s="5" t="s">
        <v>505</v>
      </c>
      <c r="I51" s="22" t="s">
        <v>161</v>
      </c>
      <c r="J51" s="16"/>
      <c r="K51" s="25"/>
      <c r="L51" s="16"/>
      <c r="M51" s="16" t="str">
        <f t="shared" si="10"/>
        <v/>
      </c>
      <c r="N51" s="16" t="str">
        <f t="shared" si="11"/>
        <v/>
      </c>
      <c r="O51" s="7" t="s">
        <v>506</v>
      </c>
      <c r="P51" s="7" t="s">
        <v>507</v>
      </c>
      <c r="Q51" s="7" t="s">
        <v>143</v>
      </c>
      <c r="R51" s="7"/>
      <c r="S51" s="16" t="s">
        <v>508</v>
      </c>
      <c r="T51" s="4" t="s">
        <v>509</v>
      </c>
      <c r="U51" s="4" t="s">
        <v>17</v>
      </c>
      <c r="V51" s="4" t="s">
        <v>510</v>
      </c>
      <c r="W51" s="4"/>
      <c r="X51" s="4" t="s">
        <v>511</v>
      </c>
      <c r="Y51" s="4"/>
      <c r="Z51" s="4"/>
      <c r="AA51" s="37" t="s">
        <v>129</v>
      </c>
      <c r="AB51" s="4"/>
      <c r="AC51" s="4"/>
      <c r="AD51" s="4" t="s">
        <v>512</v>
      </c>
      <c r="AE51" s="4"/>
      <c r="AF51" s="4"/>
    </row>
    <row r="52" spans="1:32" x14ac:dyDescent="0.25">
      <c r="A52" s="4" t="str">
        <f t="shared" si="8"/>
        <v>'1606393375930234-9841350-63-01',</v>
      </c>
      <c r="B52" s="4" t="str">
        <f t="shared" si="9"/>
        <v>'1606393376374136-9841371-64-01',</v>
      </c>
      <c r="C52" s="15" t="s">
        <v>134</v>
      </c>
      <c r="D52" s="5" t="s">
        <v>132</v>
      </c>
      <c r="E52" s="5" t="str">
        <f t="shared" si="4"/>
        <v>DONE</v>
      </c>
      <c r="F52" s="30" t="s">
        <v>513</v>
      </c>
      <c r="G52" s="29" t="str">
        <f t="shared" si="5"/>
        <v/>
      </c>
      <c r="H52" s="5"/>
      <c r="I52" s="22" t="s">
        <v>136</v>
      </c>
      <c r="J52" s="16"/>
      <c r="K52" s="25"/>
      <c r="L52" s="16"/>
      <c r="M52" s="16" t="str">
        <f t="shared" si="10"/>
        <v/>
      </c>
      <c r="N52" s="16" t="str">
        <f t="shared" si="11"/>
        <v/>
      </c>
      <c r="O52" s="7"/>
      <c r="P52" s="7"/>
      <c r="Q52" s="7"/>
      <c r="R52" s="7"/>
      <c r="S52" s="16" t="s">
        <v>514</v>
      </c>
      <c r="T52" s="4" t="s">
        <v>515</v>
      </c>
      <c r="U52" s="4" t="s">
        <v>17</v>
      </c>
      <c r="V52" s="4" t="s">
        <v>516</v>
      </c>
      <c r="W52" s="4"/>
      <c r="X52" s="4" t="s">
        <v>517</v>
      </c>
      <c r="Y52" s="4"/>
      <c r="Z52" s="4"/>
      <c r="AA52" s="37" t="s">
        <v>130</v>
      </c>
      <c r="AB52" s="4"/>
      <c r="AC52" s="4"/>
      <c r="AD52" s="4"/>
      <c r="AE52" s="4"/>
      <c r="AF52" s="4"/>
    </row>
    <row r="53" spans="1:32" x14ac:dyDescent="0.25">
      <c r="A53" s="4" t="str">
        <f t="shared" si="8"/>
        <v>'1606519817292695-0110446-19-01',</v>
      </c>
      <c r="B53" s="4" t="str">
        <f t="shared" si="9"/>
        <v>'1606519818339086-0111860-93-01',</v>
      </c>
      <c r="C53" s="15" t="s">
        <v>180</v>
      </c>
      <c r="D53" s="5" t="s">
        <v>157</v>
      </c>
      <c r="E53" s="5" t="str">
        <f t="shared" si="4"/>
        <v>DONE</v>
      </c>
      <c r="F53" s="30" t="s">
        <v>518</v>
      </c>
      <c r="G53" s="29" t="str">
        <f t="shared" si="5"/>
        <v/>
      </c>
      <c r="H53" s="5"/>
      <c r="I53" s="22" t="s">
        <v>181</v>
      </c>
      <c r="J53" s="16"/>
      <c r="K53" s="25"/>
      <c r="L53" s="16"/>
      <c r="M53" s="16" t="str">
        <f t="shared" si="10"/>
        <v/>
      </c>
      <c r="N53" s="16" t="str">
        <f t="shared" si="11"/>
        <v/>
      </c>
      <c r="O53" s="7" t="s">
        <v>519</v>
      </c>
      <c r="P53" s="7" t="s">
        <v>520</v>
      </c>
      <c r="Q53" s="7" t="s">
        <v>162</v>
      </c>
      <c r="R53" s="7"/>
      <c r="S53" s="16" t="s">
        <v>521</v>
      </c>
      <c r="T53" s="4" t="s">
        <v>522</v>
      </c>
      <c r="U53" s="4" t="s">
        <v>17</v>
      </c>
      <c r="V53" s="4" t="s">
        <v>317</v>
      </c>
      <c r="W53" s="4"/>
      <c r="X53" s="4" t="s">
        <v>523</v>
      </c>
      <c r="Y53" s="4"/>
      <c r="Z53" s="4"/>
      <c r="AA53" s="37" t="s">
        <v>166</v>
      </c>
      <c r="AB53" s="4"/>
      <c r="AC53" s="4"/>
      <c r="AD53" s="4" t="s">
        <v>524</v>
      </c>
      <c r="AE53" s="4" t="s">
        <v>318</v>
      </c>
      <c r="AF53" s="4" t="s">
        <v>315</v>
      </c>
    </row>
    <row r="54" spans="1:32" x14ac:dyDescent="0.25">
      <c r="A54" s="4" t="str">
        <f t="shared" si="8"/>
        <v>'1606561098804890-0189710-26-01',</v>
      </c>
      <c r="B54" s="4" t="str">
        <f t="shared" si="9"/>
        <v>'1606561099231890-0194618-05-02',</v>
      </c>
      <c r="C54" s="15" t="s">
        <v>159</v>
      </c>
      <c r="D54" s="5" t="s">
        <v>157</v>
      </c>
      <c r="E54" s="5" t="str">
        <f t="shared" si="4"/>
        <v>DONE</v>
      </c>
      <c r="F54" s="30" t="s">
        <v>504</v>
      </c>
      <c r="G54" s="29" t="str">
        <f t="shared" si="5"/>
        <v>DONE</v>
      </c>
      <c r="H54" s="5" t="s">
        <v>505</v>
      </c>
      <c r="I54" s="22" t="s">
        <v>160</v>
      </c>
      <c r="J54" s="16"/>
      <c r="K54" s="25"/>
      <c r="L54" s="16"/>
      <c r="M54" s="16" t="str">
        <f t="shared" si="10"/>
        <v/>
      </c>
      <c r="N54" s="16" t="str">
        <f t="shared" si="11"/>
        <v/>
      </c>
      <c r="O54" s="7" t="s">
        <v>525</v>
      </c>
      <c r="P54" s="7" t="s">
        <v>526</v>
      </c>
      <c r="Q54" s="7" t="s">
        <v>143</v>
      </c>
      <c r="R54" s="7"/>
      <c r="S54" s="16" t="s">
        <v>527</v>
      </c>
      <c r="T54" s="4" t="s">
        <v>528</v>
      </c>
      <c r="U54" s="4" t="s">
        <v>17</v>
      </c>
      <c r="V54" s="4" t="s">
        <v>510</v>
      </c>
      <c r="W54" s="4"/>
      <c r="X54" s="4" t="s">
        <v>529</v>
      </c>
      <c r="Y54" s="4"/>
      <c r="Z54" s="4"/>
      <c r="AA54" s="37" t="s">
        <v>144</v>
      </c>
      <c r="AB54" s="4"/>
      <c r="AC54" s="4"/>
      <c r="AD54" s="4" t="s">
        <v>530</v>
      </c>
      <c r="AE54" s="4" t="s">
        <v>318</v>
      </c>
      <c r="AF54" s="4" t="s">
        <v>318</v>
      </c>
    </row>
    <row r="55" spans="1:32" x14ac:dyDescent="0.25">
      <c r="A55" s="4" t="str">
        <f t="shared" si="8"/>
        <v>'1606993239519739-1084127-45-02',</v>
      </c>
      <c r="B55" s="4" t="str">
        <f t="shared" si="9"/>
        <v>'1606993240092240-1084191-13-02',</v>
      </c>
      <c r="C55" s="15" t="s">
        <v>180</v>
      </c>
      <c r="D55" s="5" t="s">
        <v>158</v>
      </c>
      <c r="E55" s="5" t="str">
        <f t="shared" si="4"/>
        <v>DONE</v>
      </c>
      <c r="F55" s="30" t="s">
        <v>531</v>
      </c>
      <c r="G55" s="29" t="str">
        <f t="shared" si="5"/>
        <v/>
      </c>
      <c r="H55" s="5"/>
      <c r="I55" s="22" t="s">
        <v>180</v>
      </c>
      <c r="J55" s="16"/>
      <c r="K55" s="25"/>
      <c r="L55" s="16"/>
      <c r="M55" s="16" t="str">
        <f t="shared" si="10"/>
        <v/>
      </c>
      <c r="N55" s="16" t="str">
        <f t="shared" si="11"/>
        <v/>
      </c>
      <c r="O55" s="7" t="s">
        <v>532</v>
      </c>
      <c r="P55" s="7" t="s">
        <v>533</v>
      </c>
      <c r="Q55" s="7" t="s">
        <v>162</v>
      </c>
      <c r="R55" s="7"/>
      <c r="S55" s="16" t="s">
        <v>534</v>
      </c>
      <c r="T55" s="4" t="s">
        <v>535</v>
      </c>
      <c r="U55" s="4" t="s">
        <v>17</v>
      </c>
      <c r="V55" s="4" t="s">
        <v>317</v>
      </c>
      <c r="W55" s="4"/>
      <c r="X55" s="4" t="s">
        <v>536</v>
      </c>
      <c r="Y55" s="4"/>
      <c r="Z55" s="4"/>
      <c r="AA55" s="37" t="s">
        <v>167</v>
      </c>
      <c r="AB55" s="4"/>
      <c r="AC55" s="4"/>
      <c r="AD55" s="4" t="s">
        <v>537</v>
      </c>
      <c r="AE55" s="4" t="s">
        <v>538</v>
      </c>
      <c r="AF55" s="4" t="s">
        <v>318</v>
      </c>
    </row>
    <row r="56" spans="1:32" x14ac:dyDescent="0.25">
      <c r="A56" s="4" t="str">
        <f t="shared" si="8"/>
        <v>'1607421960939509-1962494-99-01',</v>
      </c>
      <c r="B56" s="4" t="str">
        <f t="shared" si="9"/>
        <v>'1607421961197802-1962727-35-02',</v>
      </c>
      <c r="C56" s="15" t="s">
        <v>204</v>
      </c>
      <c r="D56" s="5" t="s">
        <v>170</v>
      </c>
      <c r="E56" s="5" t="str">
        <f t="shared" si="4"/>
        <v>DONE</v>
      </c>
      <c r="F56" s="30" t="s">
        <v>539</v>
      </c>
      <c r="G56" s="29" t="str">
        <f t="shared" si="5"/>
        <v/>
      </c>
      <c r="H56" s="5"/>
      <c r="I56" s="22" t="s">
        <v>203</v>
      </c>
      <c r="J56" s="16"/>
      <c r="K56" s="25"/>
      <c r="L56" s="16"/>
      <c r="M56" s="16" t="str">
        <f t="shared" si="10"/>
        <v/>
      </c>
      <c r="N56" s="16" t="str">
        <f t="shared" si="11"/>
        <v/>
      </c>
      <c r="O56" s="7" t="s">
        <v>540</v>
      </c>
      <c r="P56" s="7" t="s">
        <v>541</v>
      </c>
      <c r="Q56" s="7" t="s">
        <v>162</v>
      </c>
      <c r="R56" s="7"/>
      <c r="S56" s="16" t="s">
        <v>542</v>
      </c>
      <c r="T56" s="4" t="s">
        <v>543</v>
      </c>
      <c r="U56" s="4" t="s">
        <v>17</v>
      </c>
      <c r="V56" s="4" t="s">
        <v>544</v>
      </c>
      <c r="W56" s="4"/>
      <c r="X56" s="4" t="s">
        <v>545</v>
      </c>
      <c r="Y56" s="4"/>
      <c r="Z56" s="4"/>
      <c r="AA56" s="37" t="s">
        <v>184</v>
      </c>
      <c r="AB56" s="4"/>
      <c r="AC56" s="4"/>
      <c r="AD56" s="4" t="s">
        <v>546</v>
      </c>
      <c r="AE56" s="4" t="s">
        <v>318</v>
      </c>
      <c r="AF56" s="4" t="s">
        <v>318</v>
      </c>
    </row>
    <row r="57" spans="1:32" x14ac:dyDescent="0.25">
      <c r="A57" s="4" t="str">
        <f t="shared" si="8"/>
        <v>'1607600852469894-2623781-66-01',</v>
      </c>
      <c r="B57" s="4" t="str">
        <f t="shared" si="9"/>
        <v>'1607600852692286-2625207-84-01',</v>
      </c>
      <c r="C57" s="15" t="s">
        <v>172</v>
      </c>
      <c r="D57" s="5" t="s">
        <v>169</v>
      </c>
      <c r="E57" s="5" t="str">
        <f t="shared" si="4"/>
        <v>DONE</v>
      </c>
      <c r="F57" s="30" t="s">
        <v>547</v>
      </c>
      <c r="G57" s="29" t="str">
        <f t="shared" si="5"/>
        <v/>
      </c>
      <c r="H57" s="5"/>
      <c r="I57" s="22" t="s">
        <v>171</v>
      </c>
      <c r="J57" s="16"/>
      <c r="K57" s="25"/>
      <c r="L57" s="16"/>
      <c r="M57" s="16" t="str">
        <f t="shared" si="10"/>
        <v/>
      </c>
      <c r="N57" s="16" t="str">
        <f t="shared" si="11"/>
        <v/>
      </c>
      <c r="O57" s="7" t="s">
        <v>548</v>
      </c>
      <c r="P57" s="7"/>
      <c r="Q57" s="7"/>
      <c r="R57" s="7"/>
      <c r="S57" s="16" t="s">
        <v>549</v>
      </c>
      <c r="T57" s="4" t="s">
        <v>550</v>
      </c>
      <c r="U57" s="4" t="s">
        <v>17</v>
      </c>
      <c r="V57" s="4" t="s">
        <v>551</v>
      </c>
      <c r="W57" s="4"/>
      <c r="X57" s="4" t="s">
        <v>552</v>
      </c>
      <c r="Y57" s="4"/>
      <c r="Z57" s="4"/>
      <c r="AA57" s="37" t="s">
        <v>168</v>
      </c>
      <c r="AB57" s="4"/>
      <c r="AC57" s="4"/>
      <c r="AD57" s="4" t="s">
        <v>553</v>
      </c>
      <c r="AE57" s="4" t="s">
        <v>554</v>
      </c>
      <c r="AF57" s="4" t="s">
        <v>318</v>
      </c>
    </row>
    <row r="58" spans="1:32" x14ac:dyDescent="0.25">
      <c r="A58" s="4" t="str">
        <f t="shared" si="8"/>
        <v>'1607688003904524-2799892-28-02',</v>
      </c>
      <c r="B58" s="4" t="str">
        <f t="shared" si="9"/>
        <v>'1607688004357437-2799893-42-02',</v>
      </c>
      <c r="C58" s="15" t="s">
        <v>27</v>
      </c>
      <c r="D58" s="5" t="s">
        <v>187</v>
      </c>
      <c r="E58" s="5" t="str">
        <f t="shared" si="4"/>
        <v>DONE</v>
      </c>
      <c r="F58" s="30" t="s">
        <v>555</v>
      </c>
      <c r="G58" s="29" t="str">
        <f t="shared" si="5"/>
        <v/>
      </c>
      <c r="H58" s="5"/>
      <c r="I58" s="22" t="s">
        <v>27</v>
      </c>
      <c r="J58" s="16"/>
      <c r="K58" s="25"/>
      <c r="L58" s="16"/>
      <c r="M58" s="16" t="str">
        <f t="shared" si="10"/>
        <v/>
      </c>
      <c r="N58" s="16" t="str">
        <f t="shared" si="11"/>
        <v/>
      </c>
      <c r="O58" s="7" t="s">
        <v>519</v>
      </c>
      <c r="P58" s="7" t="s">
        <v>556</v>
      </c>
      <c r="Q58" s="7" t="s">
        <v>162</v>
      </c>
      <c r="R58" s="7"/>
      <c r="S58" s="16" t="s">
        <v>487</v>
      </c>
      <c r="T58" s="4" t="s">
        <v>557</v>
      </c>
      <c r="U58" s="4" t="s">
        <v>17</v>
      </c>
      <c r="V58" s="4" t="s">
        <v>317</v>
      </c>
      <c r="W58" s="4"/>
      <c r="X58" s="4" t="s">
        <v>558</v>
      </c>
      <c r="Y58" s="4"/>
      <c r="Z58" s="4"/>
      <c r="AA58" s="37" t="s">
        <v>173</v>
      </c>
      <c r="AB58" s="4"/>
      <c r="AC58" s="4"/>
      <c r="AD58" s="4" t="s">
        <v>559</v>
      </c>
      <c r="AE58" s="4" t="s">
        <v>318</v>
      </c>
      <c r="AF58" s="4" t="s">
        <v>560</v>
      </c>
    </row>
    <row r="59" spans="1:32" x14ac:dyDescent="0.25">
      <c r="A59" s="4" t="str">
        <f t="shared" si="8"/>
        <v>'1607688060989724-2799817-49-02',</v>
      </c>
      <c r="B59" s="4" t="str">
        <f t="shared" si="9"/>
        <v>'1607688061225884-2806683-63-01',</v>
      </c>
      <c r="C59" s="15" t="s">
        <v>27</v>
      </c>
      <c r="D59" s="5" t="s">
        <v>195</v>
      </c>
      <c r="E59" s="5" t="str">
        <f t="shared" si="4"/>
        <v>DONE</v>
      </c>
      <c r="F59" s="30" t="s">
        <v>555</v>
      </c>
      <c r="G59" s="29" t="str">
        <f t="shared" si="5"/>
        <v/>
      </c>
      <c r="H59" s="5"/>
      <c r="I59" s="22" t="s">
        <v>196</v>
      </c>
      <c r="J59" s="16"/>
      <c r="K59" s="25"/>
      <c r="L59" s="16"/>
      <c r="M59" s="16" t="str">
        <f t="shared" si="10"/>
        <v/>
      </c>
      <c r="N59" s="16" t="str">
        <f t="shared" si="11"/>
        <v/>
      </c>
      <c r="O59" s="7" t="s">
        <v>519</v>
      </c>
      <c r="P59" s="7" t="s">
        <v>541</v>
      </c>
      <c r="Q59" s="7" t="s">
        <v>162</v>
      </c>
      <c r="R59" s="7"/>
      <c r="S59" s="16" t="s">
        <v>487</v>
      </c>
      <c r="T59" s="4" t="s">
        <v>561</v>
      </c>
      <c r="U59" s="4" t="s">
        <v>17</v>
      </c>
      <c r="V59" s="4" t="s">
        <v>317</v>
      </c>
      <c r="W59" s="4"/>
      <c r="X59" s="4" t="s">
        <v>562</v>
      </c>
      <c r="Y59" s="4"/>
      <c r="Z59" s="4"/>
      <c r="AA59" s="37" t="s">
        <v>174</v>
      </c>
      <c r="AB59" s="4"/>
      <c r="AC59" s="4"/>
      <c r="AD59" s="4" t="s">
        <v>563</v>
      </c>
      <c r="AE59" s="4" t="s">
        <v>318</v>
      </c>
      <c r="AF59" s="4" t="s">
        <v>471</v>
      </c>
    </row>
    <row r="60" spans="1:32" x14ac:dyDescent="0.25">
      <c r="A60" s="4" t="str">
        <f t="shared" si="8"/>
        <v>'1608098845724689-3639243-66-01',</v>
      </c>
      <c r="B60" s="4" t="str">
        <f t="shared" si="9"/>
        <v>'1608098853749937-3640477-36-01',</v>
      </c>
      <c r="C60" s="15" t="s">
        <v>62</v>
      </c>
      <c r="D60" s="5" t="s">
        <v>190</v>
      </c>
      <c r="E60" s="5" t="str">
        <f t="shared" si="4"/>
        <v>DONE</v>
      </c>
      <c r="F60" s="30" t="s">
        <v>564</v>
      </c>
      <c r="G60" s="29" t="str">
        <f t="shared" si="5"/>
        <v/>
      </c>
      <c r="H60" s="5"/>
      <c r="I60" s="22" t="s">
        <v>197</v>
      </c>
      <c r="J60" s="16"/>
      <c r="K60" s="25"/>
      <c r="L60" s="16"/>
      <c r="M60" s="16" t="str">
        <f t="shared" si="10"/>
        <v/>
      </c>
      <c r="N60" s="16" t="str">
        <f t="shared" si="11"/>
        <v/>
      </c>
      <c r="O60" s="7" t="s">
        <v>565</v>
      </c>
      <c r="P60" s="7" t="s">
        <v>566</v>
      </c>
      <c r="Q60" s="7" t="s">
        <v>162</v>
      </c>
      <c r="R60" s="7"/>
      <c r="S60" s="16" t="s">
        <v>567</v>
      </c>
      <c r="T60" s="4" t="s">
        <v>568</v>
      </c>
      <c r="U60" s="4" t="s">
        <v>17</v>
      </c>
      <c r="V60" s="4" t="s">
        <v>569</v>
      </c>
      <c r="W60" s="4"/>
      <c r="X60" s="4" t="s">
        <v>570</v>
      </c>
      <c r="Y60" s="4"/>
      <c r="Z60" s="4"/>
      <c r="AA60" s="37" t="s">
        <v>175</v>
      </c>
      <c r="AB60" s="4"/>
      <c r="AC60" s="4"/>
      <c r="AD60" s="4" t="s">
        <v>571</v>
      </c>
      <c r="AE60" s="4" t="s">
        <v>318</v>
      </c>
      <c r="AF60" s="4" t="s">
        <v>471</v>
      </c>
    </row>
    <row r="61" spans="1:32" x14ac:dyDescent="0.25">
      <c r="A61" s="4" t="str">
        <f t="shared" si="8"/>
        <v>'1608197928317723-3846653-09-02',</v>
      </c>
      <c r="B61" s="4" t="str">
        <f t="shared" si="9"/>
        <v>'1608197928468797-3854551-24-01',</v>
      </c>
      <c r="C61" s="15" t="s">
        <v>198</v>
      </c>
      <c r="D61" s="5" t="s">
        <v>199</v>
      </c>
      <c r="E61" s="5" t="str">
        <f t="shared" si="4"/>
        <v>DONE</v>
      </c>
      <c r="F61" s="30" t="s">
        <v>572</v>
      </c>
      <c r="G61" s="29" t="str">
        <f t="shared" si="5"/>
        <v/>
      </c>
      <c r="H61" s="5"/>
      <c r="I61" s="22" t="s">
        <v>198</v>
      </c>
      <c r="J61" s="16"/>
      <c r="K61" s="25"/>
      <c r="L61" s="16"/>
      <c r="M61" s="16" t="str">
        <f t="shared" si="10"/>
        <v/>
      </c>
      <c r="N61" s="16" t="str">
        <f t="shared" si="11"/>
        <v/>
      </c>
      <c r="O61" s="7"/>
      <c r="P61" s="7"/>
      <c r="Q61" s="7"/>
      <c r="R61" s="7"/>
      <c r="S61" s="16" t="s">
        <v>573</v>
      </c>
      <c r="T61" s="4" t="s">
        <v>574</v>
      </c>
      <c r="U61" s="4" t="s">
        <v>66</v>
      </c>
      <c r="V61" s="4" t="s">
        <v>575</v>
      </c>
      <c r="W61" s="4"/>
      <c r="X61" s="4" t="s">
        <v>576</v>
      </c>
      <c r="Y61" s="4"/>
      <c r="Z61" s="4"/>
      <c r="AA61" s="37" t="s">
        <v>178</v>
      </c>
      <c r="AB61" s="4"/>
      <c r="AC61" s="4"/>
      <c r="AD61" s="4"/>
      <c r="AE61" s="4"/>
      <c r="AF61" s="4"/>
    </row>
    <row r="62" spans="1:32" x14ac:dyDescent="0.25">
      <c r="A62" s="4" t="str">
        <f t="shared" si="8"/>
        <v>'1608199829449217-3856756-23-01',</v>
      </c>
      <c r="B62" s="4" t="str">
        <f t="shared" si="9"/>
        <v>'1608199846588608-3848892-90-02',</v>
      </c>
      <c r="C62" s="15" t="s">
        <v>227</v>
      </c>
      <c r="D62" s="5" t="s">
        <v>200</v>
      </c>
      <c r="E62" s="5" t="str">
        <f t="shared" si="4"/>
        <v/>
      </c>
      <c r="F62" s="30"/>
      <c r="G62" s="29" t="str">
        <f t="shared" si="5"/>
        <v/>
      </c>
      <c r="H62" s="5"/>
      <c r="I62" s="22" t="s">
        <v>227</v>
      </c>
      <c r="J62" s="16"/>
      <c r="K62" s="25"/>
      <c r="L62" s="16"/>
      <c r="M62" s="16" t="str">
        <f t="shared" si="10"/>
        <v/>
      </c>
      <c r="N62" s="16" t="str">
        <f t="shared" si="11"/>
        <v/>
      </c>
      <c r="O62" s="7" t="s">
        <v>519</v>
      </c>
      <c r="P62" s="7" t="s">
        <v>577</v>
      </c>
      <c r="Q62" s="7" t="s">
        <v>162</v>
      </c>
      <c r="R62" s="7"/>
      <c r="S62" s="16" t="s">
        <v>578</v>
      </c>
      <c r="T62" s="4" t="s">
        <v>579</v>
      </c>
      <c r="U62" s="4" t="s">
        <v>17</v>
      </c>
      <c r="V62" s="4" t="s">
        <v>317</v>
      </c>
      <c r="W62" s="4"/>
      <c r="X62" s="4" t="s">
        <v>580</v>
      </c>
      <c r="Y62" s="4"/>
      <c r="Z62" s="4"/>
      <c r="AA62" s="37" t="s">
        <v>226</v>
      </c>
      <c r="AB62" s="4"/>
      <c r="AC62" s="4"/>
      <c r="AD62" s="4" t="s">
        <v>581</v>
      </c>
      <c r="AE62" s="4" t="s">
        <v>582</v>
      </c>
      <c r="AF62" s="4" t="s">
        <v>318</v>
      </c>
    </row>
    <row r="63" spans="1:32" x14ac:dyDescent="0.25">
      <c r="A63" s="4" t="str">
        <f t="shared" si="8"/>
        <v>'',</v>
      </c>
      <c r="B63" s="4" t="str">
        <f t="shared" si="9"/>
        <v>'1608306100380636-4070561-18-01',</v>
      </c>
      <c r="C63" s="15"/>
      <c r="D63" s="5"/>
      <c r="E63" s="5" t="str">
        <f t="shared" si="4"/>
        <v/>
      </c>
      <c r="F63" s="30"/>
      <c r="G63" s="29" t="str">
        <f t="shared" si="5"/>
        <v/>
      </c>
      <c r="H63" s="5"/>
      <c r="I63" s="22" t="s">
        <v>198</v>
      </c>
      <c r="J63" s="16"/>
      <c r="K63" s="25"/>
      <c r="L63" s="16"/>
      <c r="M63" s="16" t="str">
        <f t="shared" si="10"/>
        <v/>
      </c>
      <c r="N63" s="16" t="str">
        <f t="shared" si="11"/>
        <v/>
      </c>
      <c r="O63" s="7"/>
      <c r="P63" s="7"/>
      <c r="Q63" s="7"/>
      <c r="R63" s="7"/>
      <c r="S63" s="16"/>
      <c r="T63" s="4" t="s">
        <v>583</v>
      </c>
      <c r="U63" s="4" t="s">
        <v>65</v>
      </c>
      <c r="V63" s="4" t="s">
        <v>584</v>
      </c>
      <c r="W63" s="4"/>
      <c r="X63" s="4"/>
      <c r="Y63" s="4"/>
      <c r="Z63" s="4"/>
      <c r="AA63" s="37"/>
      <c r="AB63" s="4"/>
      <c r="AC63" s="4"/>
      <c r="AD63" s="4"/>
      <c r="AE63" s="4"/>
      <c r="AF63" s="4"/>
    </row>
    <row r="64" spans="1:32" x14ac:dyDescent="0.25">
      <c r="A64" s="4" t="str">
        <f t="shared" si="8"/>
        <v>'',</v>
      </c>
      <c r="B64" s="4" t="str">
        <f t="shared" si="9"/>
        <v>'1608306100322867-4079024-17-02',</v>
      </c>
      <c r="C64" s="15"/>
      <c r="D64" s="5"/>
      <c r="E64" s="5" t="str">
        <f t="shared" si="4"/>
        <v/>
      </c>
      <c r="F64" s="30"/>
      <c r="G64" s="29" t="str">
        <f t="shared" si="5"/>
        <v/>
      </c>
      <c r="H64" s="5"/>
      <c r="I64" s="22" t="s">
        <v>198</v>
      </c>
      <c r="J64" s="16"/>
      <c r="K64" s="25"/>
      <c r="L64" s="16"/>
      <c r="M64" s="16" t="str">
        <f t="shared" si="10"/>
        <v/>
      </c>
      <c r="N64" s="16" t="str">
        <f t="shared" si="11"/>
        <v/>
      </c>
      <c r="O64" s="7"/>
      <c r="P64" s="7"/>
      <c r="Q64" s="7"/>
      <c r="R64" s="7"/>
      <c r="S64" s="16"/>
      <c r="T64" s="4" t="s">
        <v>585</v>
      </c>
      <c r="U64" s="4" t="s">
        <v>65</v>
      </c>
      <c r="V64" s="4" t="s">
        <v>584</v>
      </c>
      <c r="W64" s="4"/>
      <c r="X64" s="4"/>
      <c r="Y64" s="4"/>
      <c r="Z64" s="4"/>
      <c r="AA64" s="37"/>
      <c r="AB64" s="4"/>
      <c r="AC64" s="4"/>
      <c r="AD64" s="4"/>
      <c r="AE64" s="4"/>
      <c r="AF64" s="4"/>
    </row>
    <row r="65" spans="1:32" x14ac:dyDescent="0.25">
      <c r="A65" s="4" t="str">
        <f t="shared" si="8"/>
        <v>'1608647201241757-4765428-09-02',</v>
      </c>
      <c r="B65" s="4" t="str">
        <f t="shared" si="9"/>
        <v>'1608647201425950-4761145-33-01',</v>
      </c>
      <c r="C65" s="15" t="s">
        <v>216</v>
      </c>
      <c r="D65" s="5" t="s">
        <v>213</v>
      </c>
      <c r="E65" s="5" t="str">
        <f t="shared" si="4"/>
        <v>DONE</v>
      </c>
      <c r="F65" s="30" t="s">
        <v>586</v>
      </c>
      <c r="G65" s="29" t="str">
        <f t="shared" si="5"/>
        <v/>
      </c>
      <c r="H65" s="5"/>
      <c r="I65" s="22" t="s">
        <v>215</v>
      </c>
      <c r="J65" s="16"/>
      <c r="K65" s="25"/>
      <c r="L65" s="16"/>
      <c r="M65" s="16" t="str">
        <f t="shared" si="10"/>
        <v/>
      </c>
      <c r="N65" s="16" t="str">
        <f t="shared" si="11"/>
        <v/>
      </c>
      <c r="O65" s="7" t="s">
        <v>587</v>
      </c>
      <c r="P65" s="7" t="s">
        <v>577</v>
      </c>
      <c r="Q65" s="7" t="s">
        <v>162</v>
      </c>
      <c r="R65" s="7" t="s">
        <v>211</v>
      </c>
      <c r="S65" s="16" t="s">
        <v>588</v>
      </c>
      <c r="T65" s="4" t="s">
        <v>589</v>
      </c>
      <c r="U65" s="4" t="s">
        <v>17</v>
      </c>
      <c r="V65" s="4" t="s">
        <v>544</v>
      </c>
      <c r="W65" s="4"/>
      <c r="X65" s="4" t="s">
        <v>590</v>
      </c>
      <c r="Y65" s="4"/>
      <c r="Z65" s="4"/>
      <c r="AA65" s="37" t="s">
        <v>182</v>
      </c>
      <c r="AB65" s="4"/>
      <c r="AC65" s="4"/>
      <c r="AD65" s="4" t="s">
        <v>591</v>
      </c>
      <c r="AE65" s="4" t="s">
        <v>318</v>
      </c>
      <c r="AF65" s="4" t="s">
        <v>318</v>
      </c>
    </row>
    <row r="66" spans="1:32" x14ac:dyDescent="0.25">
      <c r="A66" s="4" t="str">
        <f t="shared" si="8"/>
        <v>'1608654818280130-4779083-83-01',</v>
      </c>
      <c r="B66" s="4" t="str">
        <f t="shared" si="9"/>
        <v>'1614797103881065-7295124-31-01',</v>
      </c>
      <c r="C66" s="15" t="s">
        <v>217</v>
      </c>
      <c r="D66" s="5" t="s">
        <v>214</v>
      </c>
      <c r="E66" s="5" t="str">
        <f t="shared" si="4"/>
        <v>DONE</v>
      </c>
      <c r="F66" s="30" t="s">
        <v>592</v>
      </c>
      <c r="G66" s="29" t="str">
        <f t="shared" si="5"/>
        <v/>
      </c>
      <c r="H66" s="5"/>
      <c r="I66" s="22" t="s">
        <v>215</v>
      </c>
      <c r="J66" s="16"/>
      <c r="K66" s="25"/>
      <c r="L66" s="16"/>
      <c r="M66" s="16" t="str">
        <f t="shared" si="10"/>
        <v/>
      </c>
      <c r="N66" s="16" t="str">
        <f t="shared" si="11"/>
        <v/>
      </c>
      <c r="O66" s="7" t="s">
        <v>593</v>
      </c>
      <c r="P66" s="7" t="s">
        <v>594</v>
      </c>
      <c r="Q66" s="7" t="s">
        <v>162</v>
      </c>
      <c r="R66" s="7" t="s">
        <v>760</v>
      </c>
      <c r="S66" s="16" t="s">
        <v>192</v>
      </c>
      <c r="T66" s="4" t="s">
        <v>760</v>
      </c>
      <c r="U66" s="4" t="s">
        <v>761</v>
      </c>
      <c r="V66" s="4" t="s">
        <v>193</v>
      </c>
      <c r="W66" s="4"/>
      <c r="X66" s="4" t="s">
        <v>595</v>
      </c>
      <c r="Y66" s="4"/>
      <c r="Z66" s="4"/>
      <c r="AA66" s="37" t="s">
        <v>183</v>
      </c>
      <c r="AB66" s="4"/>
      <c r="AC66" s="4"/>
      <c r="AD66" s="4" t="s">
        <v>596</v>
      </c>
      <c r="AE66" s="4" t="s">
        <v>597</v>
      </c>
      <c r="AF66" s="4" t="s">
        <v>318</v>
      </c>
    </row>
    <row r="67" spans="1:32" x14ac:dyDescent="0.25">
      <c r="A67" s="4" t="str">
        <f t="shared" si="8"/>
        <v>'1608828810979503-5142874-08-01',</v>
      </c>
      <c r="B67" s="4" t="str">
        <f t="shared" si="9"/>
        <v>'1608828811394441-5143615-33-01',</v>
      </c>
      <c r="C67" s="15" t="s">
        <v>227</v>
      </c>
      <c r="D67" s="5" t="s">
        <v>188</v>
      </c>
      <c r="E67" s="5" t="str">
        <f t="shared" si="4"/>
        <v/>
      </c>
      <c r="F67" s="30"/>
      <c r="G67" s="29" t="str">
        <f t="shared" si="5"/>
        <v>DONE</v>
      </c>
      <c r="H67" s="5" t="s">
        <v>598</v>
      </c>
      <c r="I67" s="22" t="s">
        <v>228</v>
      </c>
      <c r="J67" s="16"/>
      <c r="K67" s="25"/>
      <c r="L67" s="16"/>
      <c r="M67" s="16" t="str">
        <f t="shared" si="10"/>
        <v/>
      </c>
      <c r="N67" s="16" t="str">
        <f t="shared" si="11"/>
        <v/>
      </c>
      <c r="O67" s="7" t="s">
        <v>599</v>
      </c>
      <c r="P67" s="7" t="s">
        <v>600</v>
      </c>
      <c r="Q67" s="7" t="s">
        <v>162</v>
      </c>
      <c r="R67" s="7" t="s">
        <v>207</v>
      </c>
      <c r="S67" s="16" t="s">
        <v>601</v>
      </c>
      <c r="T67" s="4" t="s">
        <v>602</v>
      </c>
      <c r="U67" s="4" t="s">
        <v>17</v>
      </c>
      <c r="V67" s="4" t="s">
        <v>603</v>
      </c>
      <c r="W67" s="4"/>
      <c r="X67" s="4" t="s">
        <v>604</v>
      </c>
      <c r="Y67" s="4"/>
      <c r="Z67" s="4"/>
      <c r="AA67" s="37" t="s">
        <v>205</v>
      </c>
      <c r="AB67" s="4"/>
      <c r="AC67" s="4"/>
      <c r="AD67" s="4" t="s">
        <v>605</v>
      </c>
      <c r="AE67" s="4" t="s">
        <v>606</v>
      </c>
      <c r="AF67" s="4" t="s">
        <v>318</v>
      </c>
    </row>
    <row r="68" spans="1:32" x14ac:dyDescent="0.25">
      <c r="A68" s="4" t="str">
        <f t="shared" si="8"/>
        <v>'1608828579305066-5140289-23-02',</v>
      </c>
      <c r="B68" s="4" t="str">
        <f t="shared" si="9"/>
        <v>'1608828579740868-5143461-59-01',</v>
      </c>
      <c r="C68" s="15" t="s">
        <v>227</v>
      </c>
      <c r="D68" s="5" t="s">
        <v>188</v>
      </c>
      <c r="E68" s="5" t="str">
        <f t="shared" si="4"/>
        <v>DONE</v>
      </c>
      <c r="F68" s="30" t="s">
        <v>607</v>
      </c>
      <c r="G68" s="29"/>
      <c r="H68" s="5"/>
      <c r="I68" s="22" t="s">
        <v>227</v>
      </c>
      <c r="J68" s="16"/>
      <c r="K68" s="25"/>
      <c r="L68" s="16"/>
      <c r="M68" s="16" t="str">
        <f t="shared" si="10"/>
        <v/>
      </c>
      <c r="N68" s="16" t="str">
        <f t="shared" si="11"/>
        <v/>
      </c>
      <c r="O68" s="7" t="s">
        <v>599</v>
      </c>
      <c r="P68" s="7" t="s">
        <v>600</v>
      </c>
      <c r="Q68" s="7" t="s">
        <v>162</v>
      </c>
      <c r="R68" s="7" t="s">
        <v>208</v>
      </c>
      <c r="S68" s="16" t="s">
        <v>608</v>
      </c>
      <c r="T68" s="4" t="s">
        <v>609</v>
      </c>
      <c r="U68" s="4" t="s">
        <v>17</v>
      </c>
      <c r="V68" s="4" t="s">
        <v>603</v>
      </c>
      <c r="W68" s="4"/>
      <c r="X68" s="4" t="s">
        <v>610</v>
      </c>
      <c r="Y68" s="4"/>
      <c r="Z68" s="4"/>
      <c r="AA68" s="37" t="s">
        <v>206</v>
      </c>
      <c r="AB68" s="4"/>
      <c r="AC68" s="4"/>
      <c r="AD68" s="4" t="s">
        <v>611</v>
      </c>
      <c r="AE68" s="4" t="s">
        <v>612</v>
      </c>
      <c r="AF68" s="4" t="s">
        <v>318</v>
      </c>
    </row>
    <row r="69" spans="1:32" x14ac:dyDescent="0.25">
      <c r="A69" s="4" t="str">
        <f t="shared" si="8"/>
        <v>'1608895429094180-5284435-79-01',</v>
      </c>
      <c r="B69" s="4" t="str">
        <f t="shared" si="9"/>
        <v>'1608895442225571-5278518-01-02',</v>
      </c>
      <c r="C69" s="15" t="s">
        <v>198</v>
      </c>
      <c r="D69" s="5" t="s">
        <v>189</v>
      </c>
      <c r="E69" s="5" t="str">
        <f t="shared" si="4"/>
        <v/>
      </c>
      <c r="F69" s="30"/>
      <c r="G69" s="29"/>
      <c r="H69" s="5"/>
      <c r="I69" s="22" t="s">
        <v>212</v>
      </c>
      <c r="J69" s="16"/>
      <c r="K69" s="25"/>
      <c r="L69" s="16"/>
      <c r="M69" s="16" t="str">
        <f t="shared" ref="M69:M93" si="12">IF($L69&lt;&gt;"",IF($L69="清除同步失敗註記","UPDATE CIFX.TB_SERVICE_EXECUTION_CONTROL SET EXECUTION_STATE = "&amp;"'"&amp;"EXECUTED"&amp;"'"&amp;", ap_server_EXECUTING = NULL WHERE SERVICE_EXECUTION_CONTROL_ID IN ("&amp;"'"&amp;$Y69&amp;"'"&amp;")and execution_type = "&amp;"'"&amp;"STAGE1_EXECUTION"&amp;"'"&amp;"",IF($L69="重送CIP電文","UPDATE CIFX.TB_SERVICE_EXECUTION_CONTROL SET EXECUTION_STATE = "&amp;"'"&amp;"TO_EXECUTE"&amp;"'"&amp;",RESULT_CODE = NULL,EXECUTING_TIMESTAMP = null,EXECUTED_TIMESTAMP = null,ap_server_EXECUTING = NULL WHERE SERVICE_EXECUTION_CONTROL_ID IN ("&amp;"'"&amp;$Y69&amp;"'"&amp;") AND EXECUTION_TYPE = "&amp;"'"&amp;"STAGE1_EXECUTION"&amp;"'"&amp;"","沒有對應")),"")</f>
        <v/>
      </c>
      <c r="N69" s="16" t="str">
        <f t="shared" ref="N69:N93" si="13">IF($L69&lt;&gt;"","SELECT EXECUTION_TYPE,SERVICE_INTERCHANGE_ID,CIRCI_KEY,EXECUTION_STATE FROM CIFX.TB_SERVICE_EXECUTION_CONTROL WHERE SERVICE_EXECUTION_CONTROL_ID IN ("&amp;"'"&amp;$Y69&amp;"'"&amp;") AND EXECUTION_TYPE = "&amp;"'"&amp;"STAGE1_EXECUTION"&amp;"'"&amp;"","")</f>
        <v/>
      </c>
      <c r="O69" s="7"/>
      <c r="P69" s="7"/>
      <c r="Q69" s="7"/>
      <c r="R69" s="7"/>
      <c r="S69" s="16" t="s">
        <v>613</v>
      </c>
      <c r="T69" s="4" t="s">
        <v>614</v>
      </c>
      <c r="U69" s="4" t="s">
        <v>65</v>
      </c>
      <c r="V69" s="4" t="s">
        <v>615</v>
      </c>
      <c r="W69" s="4"/>
      <c r="X69" s="4" t="s">
        <v>616</v>
      </c>
      <c r="Y69" s="4"/>
      <c r="Z69" s="4"/>
      <c r="AA69" s="37" t="s">
        <v>185</v>
      </c>
      <c r="AB69" s="4"/>
      <c r="AC69" s="4"/>
      <c r="AD69" s="4" t="s">
        <v>617</v>
      </c>
      <c r="AE69" s="4"/>
      <c r="AF69" s="4"/>
    </row>
    <row r="70" spans="1:32" x14ac:dyDescent="0.25">
      <c r="A70" s="4" t="str">
        <f t="shared" si="8"/>
        <v>'1608905793960931-5299114-13-02',</v>
      </c>
      <c r="B70" s="4" t="str">
        <f t="shared" si="9"/>
        <v>'1608905794162997-5299099-32-02',</v>
      </c>
      <c r="C70" s="15" t="s">
        <v>201</v>
      </c>
      <c r="D70" s="5" t="s">
        <v>191</v>
      </c>
      <c r="E70" s="5" t="str">
        <f t="shared" ref="E70:E75" si="14">IF(F70&lt;&gt;"","DONE","")</f>
        <v>DONE</v>
      </c>
      <c r="F70" s="30" t="s">
        <v>618</v>
      </c>
      <c r="G70" s="29"/>
      <c r="H70" s="5"/>
      <c r="I70" s="22" t="s">
        <v>198</v>
      </c>
      <c r="J70" s="16"/>
      <c r="K70" s="25"/>
      <c r="L70" s="16"/>
      <c r="M70" s="16" t="str">
        <f t="shared" si="12"/>
        <v/>
      </c>
      <c r="N70" s="16" t="str">
        <f t="shared" si="13"/>
        <v/>
      </c>
      <c r="O70" s="7"/>
      <c r="P70" s="7"/>
      <c r="Q70" s="7"/>
      <c r="R70" s="7"/>
      <c r="S70" s="16" t="s">
        <v>619</v>
      </c>
      <c r="T70" s="4" t="s">
        <v>620</v>
      </c>
      <c r="U70" s="4" t="s">
        <v>66</v>
      </c>
      <c r="V70" s="4" t="s">
        <v>575</v>
      </c>
      <c r="W70" s="4"/>
      <c r="X70" s="4" t="s">
        <v>621</v>
      </c>
      <c r="Y70" s="4"/>
      <c r="Z70" s="4"/>
      <c r="AA70" s="37" t="s">
        <v>186</v>
      </c>
      <c r="AB70" s="4"/>
      <c r="AC70" s="4"/>
      <c r="AD70" s="4"/>
      <c r="AE70" s="4"/>
      <c r="AF70" s="4"/>
    </row>
    <row r="71" spans="1:32" x14ac:dyDescent="0.25">
      <c r="A71" s="4" t="str">
        <f t="shared" si="8"/>
        <v>'1609241100869349-5979567-10-01',</v>
      </c>
      <c r="B71" s="4" t="str">
        <f t="shared" si="9"/>
        <v>'1609241106180647-5979492-47-01',</v>
      </c>
      <c r="C71" s="15" t="s">
        <v>217</v>
      </c>
      <c r="D71" s="5" t="s">
        <v>202</v>
      </c>
      <c r="E71" s="5" t="str">
        <f t="shared" si="14"/>
        <v>DONE</v>
      </c>
      <c r="F71" s="30" t="s">
        <v>622</v>
      </c>
      <c r="G71" s="29"/>
      <c r="H71" s="5"/>
      <c r="I71" s="22" t="s">
        <v>218</v>
      </c>
      <c r="J71" s="16"/>
      <c r="K71" s="25"/>
      <c r="L71" s="16"/>
      <c r="M71" s="16" t="str">
        <f t="shared" si="12"/>
        <v/>
      </c>
      <c r="N71" s="16" t="str">
        <f t="shared" si="13"/>
        <v/>
      </c>
      <c r="O71" s="7"/>
      <c r="P71" s="7"/>
      <c r="Q71" s="7"/>
      <c r="R71" s="7" t="s">
        <v>210</v>
      </c>
      <c r="S71" s="16" t="s">
        <v>588</v>
      </c>
      <c r="T71" s="4" t="s">
        <v>623</v>
      </c>
      <c r="U71" s="4" t="s">
        <v>17</v>
      </c>
      <c r="V71" s="4" t="s">
        <v>624</v>
      </c>
      <c r="W71" s="4"/>
      <c r="X71" s="4" t="s">
        <v>625</v>
      </c>
      <c r="Y71" s="4"/>
      <c r="Z71" s="4"/>
      <c r="AA71" s="37" t="s">
        <v>194</v>
      </c>
      <c r="AB71" s="4"/>
      <c r="AC71" s="4"/>
      <c r="AD71" s="4" t="s">
        <v>626</v>
      </c>
      <c r="AE71" s="4" t="s">
        <v>318</v>
      </c>
      <c r="AF71" s="4" t="s">
        <v>471</v>
      </c>
    </row>
    <row r="72" spans="1:32" x14ac:dyDescent="0.25">
      <c r="A72" s="4" t="str">
        <f t="shared" si="8"/>
        <v>'1609319856988256-6144187-93-02',</v>
      </c>
      <c r="B72" s="4" t="str">
        <f t="shared" si="9"/>
        <v>'1609319867143413-6144291-12-02',</v>
      </c>
      <c r="C72" s="15" t="s">
        <v>230</v>
      </c>
      <c r="D72" s="5"/>
      <c r="E72" s="5" t="str">
        <f t="shared" si="14"/>
        <v>DONE</v>
      </c>
      <c r="F72" s="30" t="s">
        <v>627</v>
      </c>
      <c r="G72" s="29"/>
      <c r="H72" s="5"/>
      <c r="I72" s="22" t="s">
        <v>215</v>
      </c>
      <c r="J72" s="16"/>
      <c r="K72" s="25"/>
      <c r="L72" s="16"/>
      <c r="M72" s="16" t="str">
        <f t="shared" si="12"/>
        <v/>
      </c>
      <c r="N72" s="16" t="str">
        <f t="shared" si="13"/>
        <v/>
      </c>
      <c r="O72" s="7"/>
      <c r="P72" s="7"/>
      <c r="Q72" s="7"/>
      <c r="R72" s="7"/>
      <c r="S72" s="16" t="s">
        <v>628</v>
      </c>
      <c r="T72" s="4" t="s">
        <v>629</v>
      </c>
      <c r="U72" s="4" t="s">
        <v>66</v>
      </c>
      <c r="V72" s="4" t="s">
        <v>575</v>
      </c>
      <c r="W72" s="4"/>
      <c r="X72" s="4" t="s">
        <v>630</v>
      </c>
      <c r="Y72" s="4"/>
      <c r="Z72" s="4"/>
      <c r="AA72" s="37" t="s">
        <v>209</v>
      </c>
      <c r="AB72" s="4"/>
      <c r="AC72" s="4"/>
      <c r="AD72" s="4"/>
      <c r="AE72" s="4"/>
      <c r="AF72" s="4"/>
    </row>
    <row r="73" spans="1:32" x14ac:dyDescent="0.25">
      <c r="A73" s="4" t="str">
        <f t="shared" si="8"/>
        <v>'1609943630288189-7420103-68-01',</v>
      </c>
      <c r="B73" s="4" t="str">
        <f t="shared" si="9"/>
        <v>'1609943630718050-7409985-06-02',</v>
      </c>
      <c r="C73" s="15" t="s">
        <v>229</v>
      </c>
      <c r="D73" s="5" t="s">
        <v>223</v>
      </c>
      <c r="E73" s="5" t="str">
        <f t="shared" si="14"/>
        <v>DONE</v>
      </c>
      <c r="F73" s="30" t="s">
        <v>631</v>
      </c>
      <c r="G73" s="29"/>
      <c r="H73" s="5"/>
      <c r="I73" s="22" t="s">
        <v>227</v>
      </c>
      <c r="J73" s="16"/>
      <c r="K73" s="25"/>
      <c r="L73" s="16"/>
      <c r="M73" s="16" t="str">
        <f t="shared" si="12"/>
        <v/>
      </c>
      <c r="N73" s="16" t="str">
        <f t="shared" si="13"/>
        <v/>
      </c>
      <c r="O73" s="7"/>
      <c r="P73" s="7"/>
      <c r="Q73" s="7"/>
      <c r="R73" s="7"/>
      <c r="S73" s="16"/>
      <c r="T73" s="4" t="s">
        <v>632</v>
      </c>
      <c r="U73" s="4" t="s">
        <v>17</v>
      </c>
      <c r="V73" s="4" t="s">
        <v>633</v>
      </c>
      <c r="W73" s="4"/>
      <c r="X73" s="4" t="s">
        <v>634</v>
      </c>
      <c r="Y73" s="4"/>
      <c r="Z73" s="4"/>
      <c r="AA73" s="37" t="s">
        <v>219</v>
      </c>
      <c r="AB73" s="4"/>
      <c r="AC73" s="4"/>
      <c r="AD73" s="4"/>
      <c r="AE73" s="4"/>
      <c r="AF73" s="4"/>
    </row>
    <row r="74" spans="1:32" x14ac:dyDescent="0.25">
      <c r="A74" s="4" t="str">
        <f t="shared" si="8"/>
        <v>'1609943616758946-7420103-05-01',</v>
      </c>
      <c r="B74" s="4" t="str">
        <f t="shared" si="9"/>
        <v>'1609943621449267-7410347-29-02',</v>
      </c>
      <c r="C74" s="15" t="s">
        <v>227</v>
      </c>
      <c r="D74" s="5" t="s">
        <v>223</v>
      </c>
      <c r="E74" s="5" t="str">
        <f t="shared" si="14"/>
        <v>DONE</v>
      </c>
      <c r="F74" s="30" t="s">
        <v>631</v>
      </c>
      <c r="G74" s="29"/>
      <c r="H74" s="5"/>
      <c r="I74" s="22" t="s">
        <v>227</v>
      </c>
      <c r="J74" s="16"/>
      <c r="K74" s="25"/>
      <c r="L74" s="16"/>
      <c r="M74" s="16" t="str">
        <f t="shared" si="12"/>
        <v/>
      </c>
      <c r="N74" s="16" t="str">
        <f t="shared" si="13"/>
        <v/>
      </c>
      <c r="O74" s="7"/>
      <c r="P74" s="7"/>
      <c r="Q74" s="7"/>
      <c r="R74" s="7"/>
      <c r="S74" s="16"/>
      <c r="T74" s="4" t="s">
        <v>635</v>
      </c>
      <c r="U74" s="4" t="s">
        <v>17</v>
      </c>
      <c r="V74" s="4" t="s">
        <v>633</v>
      </c>
      <c r="W74" s="4"/>
      <c r="X74" s="4" t="s">
        <v>636</v>
      </c>
      <c r="Y74" s="4"/>
      <c r="Z74" s="4"/>
      <c r="AA74" s="37" t="s">
        <v>220</v>
      </c>
      <c r="AB74" s="4"/>
      <c r="AC74" s="4"/>
      <c r="AD74" s="4"/>
      <c r="AE74" s="4"/>
      <c r="AF74" s="4"/>
    </row>
    <row r="75" spans="1:32" x14ac:dyDescent="0.25">
      <c r="A75" s="4" t="str">
        <f t="shared" si="8"/>
        <v>'1609932150932900-7397463-55-01',</v>
      </c>
      <c r="B75" s="4" t="str">
        <f t="shared" si="9"/>
        <v>'1609932163569067-7397490-66-01',</v>
      </c>
      <c r="C75" s="15" t="s">
        <v>227</v>
      </c>
      <c r="D75" s="5" t="s">
        <v>223</v>
      </c>
      <c r="E75" s="5" t="str">
        <f t="shared" si="14"/>
        <v>DONE</v>
      </c>
      <c r="F75" s="30" t="s">
        <v>631</v>
      </c>
      <c r="G75" s="29"/>
      <c r="H75" s="5"/>
      <c r="I75" s="22" t="s">
        <v>227</v>
      </c>
      <c r="J75" s="16"/>
      <c r="K75" s="25"/>
      <c r="L75" s="16"/>
      <c r="M75" s="16" t="str">
        <f t="shared" si="12"/>
        <v/>
      </c>
      <c r="N75" s="16" t="str">
        <f t="shared" si="13"/>
        <v/>
      </c>
      <c r="O75" s="7"/>
      <c r="P75" s="7"/>
      <c r="Q75" s="7"/>
      <c r="R75" s="7"/>
      <c r="S75" s="16"/>
      <c r="T75" s="4" t="s">
        <v>637</v>
      </c>
      <c r="U75" s="4" t="s">
        <v>17</v>
      </c>
      <c r="V75" s="4" t="s">
        <v>633</v>
      </c>
      <c r="W75" s="4"/>
      <c r="X75" s="4" t="s">
        <v>638</v>
      </c>
      <c r="Y75" s="4"/>
      <c r="Z75" s="4"/>
      <c r="AA75" s="37" t="s">
        <v>221</v>
      </c>
      <c r="AB75" s="4"/>
      <c r="AC75" s="4"/>
      <c r="AD75" s="4"/>
      <c r="AE75" s="4"/>
      <c r="AF75" s="4"/>
    </row>
    <row r="76" spans="1:32" x14ac:dyDescent="0.25">
      <c r="A76" s="4" t="str">
        <f t="shared" si="8"/>
        <v>'1609948174716651-7424651-29-01',</v>
      </c>
      <c r="B76" s="4" t="str">
        <f t="shared" si="9"/>
        <v>'1609948174959319-7424667-89-01',</v>
      </c>
      <c r="C76" s="15" t="s">
        <v>250</v>
      </c>
      <c r="D76" s="5"/>
      <c r="E76" s="5" t="s">
        <v>747</v>
      </c>
      <c r="F76" s="30" t="s">
        <v>639</v>
      </c>
      <c r="G76" s="29" t="s">
        <v>746</v>
      </c>
      <c r="H76" s="5" t="s">
        <v>640</v>
      </c>
      <c r="I76" s="22" t="s">
        <v>233</v>
      </c>
      <c r="J76" s="16"/>
      <c r="K76" s="25"/>
      <c r="L76" s="16"/>
      <c r="M76" s="16" t="str">
        <f t="shared" si="12"/>
        <v/>
      </c>
      <c r="N76" s="16" t="str">
        <f t="shared" si="13"/>
        <v/>
      </c>
      <c r="O76" s="7" t="s">
        <v>641</v>
      </c>
      <c r="P76" s="7" t="s">
        <v>323</v>
      </c>
      <c r="Q76" s="7" t="s">
        <v>162</v>
      </c>
      <c r="R76" s="7"/>
      <c r="S76" s="16" t="s">
        <v>642</v>
      </c>
      <c r="T76" s="4" t="s">
        <v>643</v>
      </c>
      <c r="U76" s="4" t="s">
        <v>17</v>
      </c>
      <c r="V76" s="4" t="s">
        <v>644</v>
      </c>
      <c r="W76" s="4"/>
      <c r="X76" s="4" t="s">
        <v>645</v>
      </c>
      <c r="Y76" s="4"/>
      <c r="Z76" s="4"/>
      <c r="AA76" s="37" t="s">
        <v>232</v>
      </c>
      <c r="AB76" s="4"/>
      <c r="AC76" s="4"/>
      <c r="AD76" s="4" t="s">
        <v>646</v>
      </c>
      <c r="AE76" s="4"/>
      <c r="AF76" s="4"/>
    </row>
    <row r="77" spans="1:32" x14ac:dyDescent="0.25">
      <c r="A77" s="4" t="str">
        <f t="shared" si="8"/>
        <v>'1610012742191992-7559807-11-02',</v>
      </c>
      <c r="B77" s="4" t="str">
        <f t="shared" si="9"/>
        <v>'1610012753396424-7563326-41-01',</v>
      </c>
      <c r="C77" s="15"/>
      <c r="D77" s="5"/>
      <c r="E77" s="5"/>
      <c r="F77" s="30"/>
      <c r="G77" s="29"/>
      <c r="H77" s="5"/>
      <c r="I77" s="22" t="s">
        <v>224</v>
      </c>
      <c r="J77" s="16"/>
      <c r="K77" s="25"/>
      <c r="L77" s="16"/>
      <c r="M77" s="16" t="str">
        <f t="shared" si="12"/>
        <v/>
      </c>
      <c r="N77" s="16" t="str">
        <f t="shared" si="13"/>
        <v/>
      </c>
      <c r="O77" s="7"/>
      <c r="P77" s="7"/>
      <c r="Q77" s="7"/>
      <c r="R77" s="7"/>
      <c r="S77" s="16" t="s">
        <v>647</v>
      </c>
      <c r="T77" s="4" t="s">
        <v>648</v>
      </c>
      <c r="U77" s="4" t="s">
        <v>65</v>
      </c>
      <c r="V77" s="4" t="s">
        <v>649</v>
      </c>
      <c r="W77" s="4"/>
      <c r="X77" s="4" t="s">
        <v>650</v>
      </c>
      <c r="Y77" s="4"/>
      <c r="Z77" s="4"/>
      <c r="AA77" s="37"/>
      <c r="AB77" s="4"/>
      <c r="AC77" s="4"/>
      <c r="AD77" s="4"/>
      <c r="AE77" s="4"/>
      <c r="AF77" s="4"/>
    </row>
    <row r="78" spans="1:32" x14ac:dyDescent="0.25">
      <c r="A78" s="4" t="str">
        <f t="shared" si="8"/>
        <v>'1610012742191992-7559807-11-02',</v>
      </c>
      <c r="B78" s="4" t="str">
        <f t="shared" si="9"/>
        <v>'1610012753396431-7563207-40-01',</v>
      </c>
      <c r="C78" s="15"/>
      <c r="D78" s="5"/>
      <c r="E78" s="5"/>
      <c r="F78" s="30"/>
      <c r="G78" s="29"/>
      <c r="H78" s="5"/>
      <c r="I78" s="22" t="s">
        <v>225</v>
      </c>
      <c r="J78" s="16"/>
      <c r="K78" s="25"/>
      <c r="L78" s="16"/>
      <c r="M78" s="16" t="str">
        <f t="shared" si="12"/>
        <v/>
      </c>
      <c r="N78" s="16" t="str">
        <f t="shared" si="13"/>
        <v/>
      </c>
      <c r="O78" s="7"/>
      <c r="P78" s="7"/>
      <c r="Q78" s="7"/>
      <c r="R78" s="7"/>
      <c r="S78" s="16" t="s">
        <v>647</v>
      </c>
      <c r="T78" s="4" t="s">
        <v>651</v>
      </c>
      <c r="U78" s="4" t="s">
        <v>65</v>
      </c>
      <c r="V78" s="4" t="s">
        <v>649</v>
      </c>
      <c r="W78" s="4"/>
      <c r="X78" s="4" t="s">
        <v>650</v>
      </c>
      <c r="Y78" s="4"/>
      <c r="Z78" s="4"/>
      <c r="AA78" s="37"/>
      <c r="AB78" s="4"/>
      <c r="AC78" s="4"/>
      <c r="AD78" s="4"/>
      <c r="AE78" s="4"/>
      <c r="AF78" s="4"/>
    </row>
    <row r="79" spans="1:32" x14ac:dyDescent="0.25">
      <c r="A79" s="4" t="str">
        <f t="shared" si="8"/>
        <v>'',</v>
      </c>
      <c r="B79" s="4" t="str">
        <f t="shared" si="9"/>
        <v>'1610464800408026-8480094-86-01',</v>
      </c>
      <c r="C79" s="15"/>
      <c r="D79" s="5"/>
      <c r="E79" s="5"/>
      <c r="F79" s="30"/>
      <c r="G79" s="29"/>
      <c r="H79" s="5"/>
      <c r="I79" s="22" t="s">
        <v>231</v>
      </c>
      <c r="J79" s="16"/>
      <c r="K79" s="25"/>
      <c r="L79" s="16"/>
      <c r="M79" s="16" t="str">
        <f t="shared" si="12"/>
        <v/>
      </c>
      <c r="N79" s="16" t="str">
        <f t="shared" si="13"/>
        <v/>
      </c>
      <c r="O79" s="7"/>
      <c r="P79" s="7"/>
      <c r="Q79" s="7"/>
      <c r="R79" s="7"/>
      <c r="S79" s="16" t="s">
        <v>652</v>
      </c>
      <c r="T79" s="4" t="s">
        <v>653</v>
      </c>
      <c r="U79" s="4" t="s">
        <v>65</v>
      </c>
      <c r="V79" s="4" t="s">
        <v>654</v>
      </c>
      <c r="W79" s="4"/>
      <c r="X79" s="4"/>
      <c r="Y79" s="4"/>
      <c r="Z79" s="4"/>
      <c r="AA79" s="37"/>
      <c r="AB79" s="4"/>
      <c r="AC79" s="4"/>
      <c r="AD79" s="4"/>
      <c r="AE79" s="4"/>
      <c r="AF79" s="4"/>
    </row>
    <row r="80" spans="1:32" x14ac:dyDescent="0.25">
      <c r="A80" s="4" t="str">
        <f t="shared" si="8"/>
        <v>'1611056757519960-9682951-84-01',</v>
      </c>
      <c r="B80" s="4" t="str">
        <f t="shared" si="9"/>
        <v>'1611056757769968-9682881-37-01',</v>
      </c>
      <c r="C80" s="15"/>
      <c r="D80" s="5"/>
      <c r="E80" s="5"/>
      <c r="F80" s="30"/>
      <c r="G80" s="29"/>
      <c r="H80" s="5"/>
      <c r="I80" s="22" t="s">
        <v>746</v>
      </c>
      <c r="J80" s="16"/>
      <c r="K80" s="25"/>
      <c r="L80" s="16"/>
      <c r="M80" s="16" t="str">
        <f t="shared" si="12"/>
        <v/>
      </c>
      <c r="N80" s="16" t="str">
        <f t="shared" si="13"/>
        <v/>
      </c>
      <c r="O80" s="7" t="s">
        <v>655</v>
      </c>
      <c r="P80" s="7" t="s">
        <v>656</v>
      </c>
      <c r="Q80" s="7" t="s">
        <v>235</v>
      </c>
      <c r="R80" s="7"/>
      <c r="S80" s="16" t="s">
        <v>657</v>
      </c>
      <c r="T80" s="4" t="s">
        <v>658</v>
      </c>
      <c r="U80" s="4" t="s">
        <v>17</v>
      </c>
      <c r="V80" s="4" t="s">
        <v>510</v>
      </c>
      <c r="W80" s="4"/>
      <c r="X80" s="4" t="s">
        <v>659</v>
      </c>
      <c r="Y80" s="4"/>
      <c r="Z80" s="4"/>
      <c r="AA80" s="37" t="s">
        <v>234</v>
      </c>
      <c r="AB80" s="4"/>
      <c r="AC80" s="4"/>
      <c r="AD80" s="4" t="s">
        <v>660</v>
      </c>
      <c r="AE80" s="4"/>
      <c r="AF80" s="4"/>
    </row>
    <row r="81" spans="1:32" x14ac:dyDescent="0.25">
      <c r="A81" s="4" t="str">
        <f t="shared" si="8"/>
        <v>'1611066126526249-9696929-90-02',</v>
      </c>
      <c r="B81" s="4" t="str">
        <f t="shared" si="9"/>
        <v>'1611066126698992-9702574-14-01',</v>
      </c>
      <c r="C81" s="15"/>
      <c r="D81" s="5"/>
      <c r="E81" s="5"/>
      <c r="F81" s="30"/>
      <c r="G81" s="29"/>
      <c r="H81" s="5"/>
      <c r="I81" s="22" t="s">
        <v>748</v>
      </c>
      <c r="J81" s="16"/>
      <c r="K81" s="25"/>
      <c r="L81" s="16"/>
      <c r="M81" s="16" t="str">
        <f t="shared" si="12"/>
        <v/>
      </c>
      <c r="N81" s="16" t="str">
        <f t="shared" si="13"/>
        <v/>
      </c>
      <c r="O81" s="7" t="s">
        <v>655</v>
      </c>
      <c r="P81" s="7" t="s">
        <v>656</v>
      </c>
      <c r="Q81" s="7" t="s">
        <v>235</v>
      </c>
      <c r="R81" s="7"/>
      <c r="S81" s="16" t="s">
        <v>657</v>
      </c>
      <c r="T81" s="4" t="s">
        <v>661</v>
      </c>
      <c r="U81" s="4" t="s">
        <v>17</v>
      </c>
      <c r="V81" s="4" t="s">
        <v>544</v>
      </c>
      <c r="W81" s="4"/>
      <c r="X81" s="4" t="s">
        <v>662</v>
      </c>
      <c r="Y81" s="4"/>
      <c r="Z81" s="4"/>
      <c r="AA81" s="37" t="s">
        <v>236</v>
      </c>
      <c r="AB81" s="4"/>
      <c r="AC81" s="4"/>
      <c r="AD81" s="4" t="s">
        <v>663</v>
      </c>
      <c r="AE81" s="4"/>
      <c r="AF81" s="4"/>
    </row>
    <row r="82" spans="1:32" x14ac:dyDescent="0.25">
      <c r="A82" s="4" t="str">
        <f t="shared" si="8"/>
        <v>'1611322155224893-0224523-64-02',</v>
      </c>
      <c r="B82" s="4" t="str">
        <f t="shared" si="9"/>
        <v>'1611322155500405-0233134-91-01',</v>
      </c>
      <c r="C82" s="15" t="s">
        <v>240</v>
      </c>
      <c r="D82" s="5" t="s">
        <v>238</v>
      </c>
      <c r="E82" s="5"/>
      <c r="F82" s="30"/>
      <c r="G82" s="29"/>
      <c r="H82" s="5"/>
      <c r="I82" s="22" t="s">
        <v>239</v>
      </c>
      <c r="J82" s="16"/>
      <c r="K82" s="25"/>
      <c r="L82" s="16"/>
      <c r="M82" s="16" t="str">
        <f t="shared" si="12"/>
        <v/>
      </c>
      <c r="N82" s="16" t="str">
        <f t="shared" si="13"/>
        <v/>
      </c>
      <c r="O82" s="7" t="s">
        <v>664</v>
      </c>
      <c r="P82" s="7" t="s">
        <v>665</v>
      </c>
      <c r="Q82" s="7" t="s">
        <v>162</v>
      </c>
      <c r="R82" s="7"/>
      <c r="S82" s="16" t="s">
        <v>666</v>
      </c>
      <c r="T82" s="4" t="s">
        <v>667</v>
      </c>
      <c r="U82" s="4" t="s">
        <v>17</v>
      </c>
      <c r="V82" s="4" t="s">
        <v>664</v>
      </c>
      <c r="W82" s="4"/>
      <c r="X82" s="4" t="s">
        <v>668</v>
      </c>
      <c r="Y82" s="4"/>
      <c r="Z82" s="4"/>
      <c r="AA82" s="37" t="s">
        <v>237</v>
      </c>
      <c r="AB82" s="4"/>
      <c r="AC82" s="4"/>
      <c r="AD82" s="4" t="s">
        <v>669</v>
      </c>
      <c r="AE82" s="4" t="s">
        <v>318</v>
      </c>
      <c r="AF82" s="4" t="s">
        <v>318</v>
      </c>
    </row>
    <row r="83" spans="1:32" x14ac:dyDescent="0.25">
      <c r="A83" s="4" t="str">
        <f t="shared" si="8"/>
        <v>'1612281060088803-2187755-14-02',</v>
      </c>
      <c r="B83" s="4" t="str">
        <f t="shared" si="9"/>
        <v>'1612281060637112-2181818-06-01',</v>
      </c>
      <c r="C83" s="15" t="s">
        <v>307</v>
      </c>
      <c r="D83" s="5" t="s">
        <v>242</v>
      </c>
      <c r="E83" s="5"/>
      <c r="F83" s="30"/>
      <c r="G83" s="29"/>
      <c r="H83" s="5"/>
      <c r="I83" s="22" t="s">
        <v>250</v>
      </c>
      <c r="J83" s="16"/>
      <c r="K83" s="25"/>
      <c r="L83" s="16"/>
      <c r="M83" s="16" t="str">
        <f t="shared" si="12"/>
        <v/>
      </c>
      <c r="N83" s="16" t="str">
        <f t="shared" si="13"/>
        <v/>
      </c>
      <c r="O83" s="7" t="s">
        <v>670</v>
      </c>
      <c r="P83" s="7" t="s">
        <v>671</v>
      </c>
      <c r="Q83" s="7" t="s">
        <v>162</v>
      </c>
      <c r="R83" s="7"/>
      <c r="S83" s="16" t="s">
        <v>672</v>
      </c>
      <c r="T83" s="4" t="s">
        <v>673</v>
      </c>
      <c r="U83" s="4" t="s">
        <v>17</v>
      </c>
      <c r="V83" s="4" t="s">
        <v>674</v>
      </c>
      <c r="W83" s="4"/>
      <c r="X83" s="4" t="s">
        <v>675</v>
      </c>
      <c r="Y83" s="4"/>
      <c r="Z83" s="4"/>
      <c r="AA83" s="37" t="s">
        <v>241</v>
      </c>
      <c r="AB83" s="4"/>
      <c r="AC83" s="4"/>
      <c r="AD83" s="4" t="s">
        <v>676</v>
      </c>
      <c r="AE83" s="4" t="s">
        <v>318</v>
      </c>
      <c r="AF83" s="4" t="s">
        <v>471</v>
      </c>
    </row>
    <row r="84" spans="1:32" x14ac:dyDescent="0.25">
      <c r="A84" s="4" t="str">
        <f t="shared" si="8"/>
        <v>'1612374831116679-2380566-42-01',</v>
      </c>
      <c r="B84" s="4" t="str">
        <f t="shared" si="9"/>
        <v>'1612374861544925-2380695-88-01',</v>
      </c>
      <c r="C84" s="15" t="s">
        <v>248</v>
      </c>
      <c r="D84" s="5" t="s">
        <v>247</v>
      </c>
      <c r="E84" s="5" t="s">
        <v>747</v>
      </c>
      <c r="F84" s="30" t="s">
        <v>677</v>
      </c>
      <c r="G84" s="29"/>
      <c r="H84" s="5"/>
      <c r="I84" s="22" t="s">
        <v>250</v>
      </c>
      <c r="J84" s="16"/>
      <c r="K84" s="25"/>
      <c r="L84" s="16"/>
      <c r="M84" s="16" t="str">
        <f t="shared" si="12"/>
        <v/>
      </c>
      <c r="N84" s="16" t="str">
        <f t="shared" si="13"/>
        <v/>
      </c>
      <c r="O84" s="7" t="s">
        <v>678</v>
      </c>
      <c r="P84" s="7" t="s">
        <v>679</v>
      </c>
      <c r="Q84" s="7" t="s">
        <v>162</v>
      </c>
      <c r="R84" s="7"/>
      <c r="S84" s="16"/>
      <c r="T84" s="4" t="s">
        <v>680</v>
      </c>
      <c r="U84" s="4" t="s">
        <v>17</v>
      </c>
      <c r="V84" s="4" t="s">
        <v>633</v>
      </c>
      <c r="W84" s="4"/>
      <c r="X84" s="4" t="s">
        <v>681</v>
      </c>
      <c r="Y84" s="4"/>
      <c r="Z84" s="4"/>
      <c r="AA84" s="37" t="s">
        <v>243</v>
      </c>
      <c r="AB84" s="4"/>
      <c r="AC84" s="4"/>
      <c r="AD84" s="4" t="s">
        <v>682</v>
      </c>
      <c r="AE84" s="4"/>
      <c r="AF84" s="4"/>
    </row>
    <row r="85" spans="1:32" x14ac:dyDescent="0.25">
      <c r="A85" s="4" t="str">
        <f t="shared" si="8"/>
        <v>'1612374810858386-2371471-98-02',</v>
      </c>
      <c r="B85" s="4" t="str">
        <f t="shared" si="9"/>
        <v>'1612374840997436-2380613-04-01',</v>
      </c>
      <c r="C85" s="15" t="s">
        <v>248</v>
      </c>
      <c r="D85" s="5"/>
      <c r="E85" s="5" t="s">
        <v>747</v>
      </c>
      <c r="F85" s="30" t="s">
        <v>677</v>
      </c>
      <c r="G85" s="29"/>
      <c r="H85" s="5"/>
      <c r="I85" s="22" t="s">
        <v>249</v>
      </c>
      <c r="J85" s="16"/>
      <c r="K85" s="25"/>
      <c r="L85" s="16"/>
      <c r="M85" s="16" t="str">
        <f t="shared" si="12"/>
        <v/>
      </c>
      <c r="N85" s="16" t="str">
        <f t="shared" si="13"/>
        <v/>
      </c>
      <c r="O85" s="7"/>
      <c r="P85" s="7"/>
      <c r="Q85" s="7" t="s">
        <v>162</v>
      </c>
      <c r="R85" s="7"/>
      <c r="S85" s="16"/>
      <c r="T85" s="4" t="s">
        <v>683</v>
      </c>
      <c r="U85" s="4" t="s">
        <v>17</v>
      </c>
      <c r="V85" s="4" t="s">
        <v>633</v>
      </c>
      <c r="W85" s="4"/>
      <c r="X85" s="4" t="s">
        <v>684</v>
      </c>
      <c r="Y85" s="4"/>
      <c r="Z85" s="4"/>
      <c r="AA85" s="37" t="s">
        <v>244</v>
      </c>
      <c r="AB85" s="4"/>
      <c r="AC85" s="4"/>
      <c r="AD85" s="4" t="s">
        <v>685</v>
      </c>
      <c r="AE85" s="4"/>
      <c r="AF85" s="4"/>
    </row>
    <row r="86" spans="1:32" x14ac:dyDescent="0.25">
      <c r="A86" s="4" t="str">
        <f t="shared" si="8"/>
        <v>'1612374733622085-2379540-01-01',</v>
      </c>
      <c r="B86" s="4" t="str">
        <f t="shared" si="9"/>
        <v>'1612374763824070-2380496-06-01',</v>
      </c>
      <c r="C86" s="15" t="s">
        <v>248</v>
      </c>
      <c r="D86" s="5"/>
      <c r="E86" s="5" t="s">
        <v>747</v>
      </c>
      <c r="F86" s="30" t="s">
        <v>677</v>
      </c>
      <c r="G86" s="29"/>
      <c r="H86" s="5"/>
      <c r="I86" s="22" t="s">
        <v>250</v>
      </c>
      <c r="J86" s="16"/>
      <c r="K86" s="25"/>
      <c r="L86" s="16"/>
      <c r="M86" s="16" t="str">
        <f t="shared" si="12"/>
        <v/>
      </c>
      <c r="N86" s="16" t="str">
        <f t="shared" si="13"/>
        <v/>
      </c>
      <c r="O86" s="7"/>
      <c r="P86" s="7"/>
      <c r="Q86" s="7" t="s">
        <v>162</v>
      </c>
      <c r="R86" s="7"/>
      <c r="S86" s="16"/>
      <c r="T86" s="4" t="s">
        <v>686</v>
      </c>
      <c r="U86" s="4" t="s">
        <v>17</v>
      </c>
      <c r="V86" s="4" t="s">
        <v>633</v>
      </c>
      <c r="W86" s="4"/>
      <c r="X86" s="4" t="s">
        <v>687</v>
      </c>
      <c r="Y86" s="4"/>
      <c r="Z86" s="4"/>
      <c r="AA86" s="37" t="s">
        <v>245</v>
      </c>
      <c r="AB86" s="4"/>
      <c r="AC86" s="4"/>
      <c r="AD86" s="4" t="s">
        <v>688</v>
      </c>
      <c r="AE86" s="4"/>
      <c r="AF86" s="4"/>
    </row>
    <row r="87" spans="1:32" x14ac:dyDescent="0.25">
      <c r="A87" s="4" t="str">
        <f t="shared" si="8"/>
        <v>'1612374603914335-2371128-60-02',</v>
      </c>
      <c r="B87" s="4" t="str">
        <f t="shared" si="9"/>
        <v>'1612374634488513-2380194-88-01',</v>
      </c>
      <c r="C87" s="15" t="s">
        <v>248</v>
      </c>
      <c r="D87" s="5"/>
      <c r="E87" s="5" t="s">
        <v>747</v>
      </c>
      <c r="F87" s="30" t="s">
        <v>677</v>
      </c>
      <c r="G87" s="29"/>
      <c r="H87" s="5"/>
      <c r="I87" s="22" t="s">
        <v>249</v>
      </c>
      <c r="J87" s="16"/>
      <c r="K87" s="25"/>
      <c r="L87" s="16"/>
      <c r="M87" s="16" t="str">
        <f t="shared" si="12"/>
        <v/>
      </c>
      <c r="N87" s="16" t="str">
        <f t="shared" si="13"/>
        <v/>
      </c>
      <c r="O87" s="7" t="s">
        <v>678</v>
      </c>
      <c r="P87" s="7" t="s">
        <v>689</v>
      </c>
      <c r="Q87" s="7" t="s">
        <v>162</v>
      </c>
      <c r="R87" s="7"/>
      <c r="S87" s="16"/>
      <c r="T87" s="4" t="s">
        <v>690</v>
      </c>
      <c r="U87" s="4" t="s">
        <v>17</v>
      </c>
      <c r="V87" s="4" t="s">
        <v>633</v>
      </c>
      <c r="W87" s="4"/>
      <c r="X87" s="4" t="s">
        <v>691</v>
      </c>
      <c r="Y87" s="4"/>
      <c r="Z87" s="4"/>
      <c r="AA87" s="37" t="s">
        <v>246</v>
      </c>
      <c r="AB87" s="4"/>
      <c r="AC87" s="4"/>
      <c r="AD87" s="4" t="s">
        <v>692</v>
      </c>
      <c r="AE87" s="4"/>
      <c r="AF87" s="4"/>
    </row>
    <row r="88" spans="1:32" x14ac:dyDescent="0.25">
      <c r="A88" s="4" t="str">
        <f t="shared" si="8"/>
        <v>'1612889219664568-3420415-45-02',</v>
      </c>
      <c r="B88" s="4" t="str">
        <f t="shared" si="9"/>
        <v>'1612889220113515-3421737-73-02',</v>
      </c>
      <c r="C88" s="15" t="s">
        <v>306</v>
      </c>
      <c r="D88" s="5" t="s">
        <v>301</v>
      </c>
      <c r="E88" s="5" t="s">
        <v>746</v>
      </c>
      <c r="F88" s="30" t="s">
        <v>738</v>
      </c>
      <c r="G88" s="29"/>
      <c r="H88" s="5"/>
      <c r="I88" s="22" t="s">
        <v>747</v>
      </c>
      <c r="J88" s="16" t="s">
        <v>693</v>
      </c>
      <c r="K88" s="25"/>
      <c r="L88" s="16" t="s">
        <v>289</v>
      </c>
      <c r="M88" s="16" t="str">
        <f t="shared" si="12"/>
        <v>UPDATE CIFX.TB_SERVICE_EXECUTION_CONTROL SET EXECUTION_STATE = 'EXECUTED', ap_server_EXECUTING = NULL WHERE SERVICE_EXECUTION_CONTROL_ID IN ('1612889219671391-3420415-57-02')and execution_type = 'STAGE1_EXECUTION'</v>
      </c>
      <c r="N88" s="16" t="str">
        <f t="shared" si="13"/>
        <v>SELECT EXECUTION_TYPE,SERVICE_INTERCHANGE_ID,CIRCI_KEY,EXECUTION_STATE FROM CIFX.TB_SERVICE_EXECUTION_CONTROL WHERE SERVICE_EXECUTION_CONTROL_ID IN ('1612889219671391-3420415-57-02') AND EXECUTION_TYPE = 'STAGE1_EXECUTION'</v>
      </c>
      <c r="O88" s="7" t="s">
        <v>316</v>
      </c>
      <c r="P88" s="7" t="s">
        <v>323</v>
      </c>
      <c r="Q88" s="7" t="s">
        <v>235</v>
      </c>
      <c r="R88" s="7"/>
      <c r="S88" s="16"/>
      <c r="T88" s="4" t="s">
        <v>694</v>
      </c>
      <c r="U88" s="4" t="s">
        <v>17</v>
      </c>
      <c r="V88" s="4" t="s">
        <v>695</v>
      </c>
      <c r="W88" s="4"/>
      <c r="X88" s="4" t="s">
        <v>696</v>
      </c>
      <c r="Y88" s="4" t="s">
        <v>302</v>
      </c>
      <c r="Z88" s="4"/>
      <c r="AA88" s="37" t="s">
        <v>251</v>
      </c>
      <c r="AB88" s="4"/>
      <c r="AC88" s="4"/>
      <c r="AD88" s="4" t="s">
        <v>697</v>
      </c>
      <c r="AE88" s="4" t="s">
        <v>698</v>
      </c>
      <c r="AF88" s="4" t="s">
        <v>318</v>
      </c>
    </row>
    <row r="89" spans="1:32" x14ac:dyDescent="0.25">
      <c r="A89" s="4" t="str">
        <f t="shared" si="8"/>
        <v>'',</v>
      </c>
      <c r="B89" s="4" t="str">
        <f t="shared" si="9"/>
        <v>'1612549075835150-2743749-81-01',</v>
      </c>
      <c r="C89" s="15" t="s">
        <v>305</v>
      </c>
      <c r="D89" s="5" t="s">
        <v>301</v>
      </c>
      <c r="E89" s="5"/>
      <c r="F89" s="30"/>
      <c r="G89" s="29"/>
      <c r="H89" s="5"/>
      <c r="I89" s="22" t="s">
        <v>739</v>
      </c>
      <c r="J89" s="16" t="s">
        <v>693</v>
      </c>
      <c r="K89" s="25" t="s">
        <v>699</v>
      </c>
      <c r="L89" s="16" t="s">
        <v>289</v>
      </c>
      <c r="M89" s="16" t="str">
        <f t="shared" si="12"/>
        <v>UPDATE CIFX.TB_SERVICE_EXECUTION_CONTROL SET EXECUTION_STATE = 'EXECUTED', ap_server_EXECUTING = NULL WHERE SERVICE_EXECUTION_CONTROL_ID IN ('1612549075694721-2743685-60-01')and execution_type = 'STAGE1_EXECUTION'</v>
      </c>
      <c r="N89" s="16" t="str">
        <f t="shared" si="13"/>
        <v>SELECT EXECUTION_TYPE,SERVICE_INTERCHANGE_ID,CIRCI_KEY,EXECUTION_STATE FROM CIFX.TB_SERVICE_EXECUTION_CONTROL WHERE SERVICE_EXECUTION_CONTROL_ID IN ('1612549075694721-2743685-60-01') AND EXECUTION_TYPE = 'STAGE1_EXECUTION'</v>
      </c>
      <c r="O89" s="7" t="s">
        <v>316</v>
      </c>
      <c r="P89" s="7" t="s">
        <v>323</v>
      </c>
      <c r="Q89" s="7" t="s">
        <v>235</v>
      </c>
      <c r="R89" s="7"/>
      <c r="S89" s="16"/>
      <c r="T89" s="4" t="s">
        <v>700</v>
      </c>
      <c r="U89" s="4" t="s">
        <v>17</v>
      </c>
      <c r="V89" s="4" t="s">
        <v>544</v>
      </c>
      <c r="W89" s="4"/>
      <c r="X89" s="4"/>
      <c r="Y89" s="4" t="s">
        <v>303</v>
      </c>
      <c r="Z89" s="4"/>
      <c r="AA89" s="37" t="s">
        <v>252</v>
      </c>
      <c r="AB89" s="4"/>
      <c r="AC89" s="4"/>
      <c r="AD89" s="4" t="s">
        <v>701</v>
      </c>
      <c r="AE89" s="4" t="s">
        <v>702</v>
      </c>
      <c r="AF89" s="4" t="s">
        <v>318</v>
      </c>
    </row>
    <row r="90" spans="1:32" x14ac:dyDescent="0.25">
      <c r="A90" s="4" t="str">
        <f t="shared" si="8"/>
        <v>'',</v>
      </c>
      <c r="B90" s="4" t="str">
        <f t="shared" si="9"/>
        <v>'1613574069032568-4753638-39-01',</v>
      </c>
      <c r="C90" s="15" t="s">
        <v>255</v>
      </c>
      <c r="D90" s="5" t="s">
        <v>254</v>
      </c>
      <c r="E90" s="5"/>
      <c r="F90" s="30"/>
      <c r="G90" s="29"/>
      <c r="H90" s="5"/>
      <c r="I90" s="22" t="s">
        <v>255</v>
      </c>
      <c r="J90" s="16"/>
      <c r="K90" s="25"/>
      <c r="L90" s="16"/>
      <c r="M90" s="16" t="str">
        <f t="shared" si="12"/>
        <v/>
      </c>
      <c r="N90" s="16" t="str">
        <f t="shared" si="13"/>
        <v/>
      </c>
      <c r="O90" s="7" t="s">
        <v>316</v>
      </c>
      <c r="P90" s="7" t="s">
        <v>323</v>
      </c>
      <c r="Q90" s="7" t="s">
        <v>235</v>
      </c>
      <c r="R90" s="7"/>
      <c r="S90" s="16"/>
      <c r="T90" s="4" t="s">
        <v>703</v>
      </c>
      <c r="U90" s="4" t="s">
        <v>17</v>
      </c>
      <c r="V90" s="4" t="s">
        <v>704</v>
      </c>
      <c r="W90" s="4"/>
      <c r="X90" s="4"/>
      <c r="Y90" s="4"/>
      <c r="Z90" s="4"/>
      <c r="AA90" s="37" t="s">
        <v>253</v>
      </c>
      <c r="AB90" s="4"/>
      <c r="AC90" s="4"/>
      <c r="AD90" s="4" t="s">
        <v>705</v>
      </c>
      <c r="AE90" s="4" t="s">
        <v>318</v>
      </c>
      <c r="AF90" s="4" t="s">
        <v>318</v>
      </c>
    </row>
    <row r="91" spans="1:32" x14ac:dyDescent="0.25">
      <c r="A91" s="4" t="str">
        <f t="shared" si="8"/>
        <v>'1613658195584645-4911646-21-02',</v>
      </c>
      <c r="B91" s="4" t="str">
        <f t="shared" si="9"/>
        <v>'1613658195784382-4911655-17-02',</v>
      </c>
      <c r="C91" s="15" t="s">
        <v>256</v>
      </c>
      <c r="D91" s="5" t="s">
        <v>258</v>
      </c>
      <c r="E91" s="5" t="s">
        <v>748</v>
      </c>
      <c r="F91" s="30" t="s">
        <v>706</v>
      </c>
      <c r="G91" s="29"/>
      <c r="H91" s="5"/>
      <c r="I91" s="22" t="s">
        <v>257</v>
      </c>
      <c r="J91" s="16"/>
      <c r="K91" s="25"/>
      <c r="L91" s="16"/>
      <c r="M91" s="16" t="str">
        <f t="shared" si="12"/>
        <v/>
      </c>
      <c r="N91" s="16" t="str">
        <f t="shared" si="13"/>
        <v/>
      </c>
      <c r="O91" s="7" t="s">
        <v>316</v>
      </c>
      <c r="P91" s="7" t="s">
        <v>323</v>
      </c>
      <c r="Q91" s="7" t="s">
        <v>235</v>
      </c>
      <c r="R91" s="7"/>
      <c r="S91" s="16"/>
      <c r="T91" s="4" t="s">
        <v>707</v>
      </c>
      <c r="U91" s="4" t="s">
        <v>17</v>
      </c>
      <c r="V91" s="4">
        <v>111</v>
      </c>
      <c r="W91" s="4"/>
      <c r="X91" s="4" t="s">
        <v>708</v>
      </c>
      <c r="Y91" s="4"/>
      <c r="Z91" s="4"/>
      <c r="AA91" s="37">
        <v>29013763</v>
      </c>
      <c r="AB91" s="4"/>
      <c r="AC91" s="4"/>
      <c r="AD91" s="4" t="s">
        <v>709</v>
      </c>
      <c r="AE91" s="4" t="s">
        <v>318</v>
      </c>
      <c r="AF91" s="4" t="s">
        <v>318</v>
      </c>
    </row>
    <row r="92" spans="1:32" x14ac:dyDescent="0.25">
      <c r="A92" s="4" t="str">
        <f t="shared" si="8"/>
        <v>'1613667127521436-4931213-32-02',</v>
      </c>
      <c r="B92" s="4" t="str">
        <f t="shared" si="9"/>
        <v>'1613667127862203-4941555-76-01',</v>
      </c>
      <c r="C92" s="15" t="s">
        <v>293</v>
      </c>
      <c r="D92" s="5" t="s">
        <v>259</v>
      </c>
      <c r="E92" s="5" t="s">
        <v>710</v>
      </c>
      <c r="F92" s="30" t="s">
        <v>711</v>
      </c>
      <c r="G92" s="29"/>
      <c r="H92" s="5"/>
      <c r="I92" s="22" t="s">
        <v>292</v>
      </c>
      <c r="J92" s="16"/>
      <c r="K92" s="25"/>
      <c r="L92" s="16"/>
      <c r="M92" s="16" t="str">
        <f t="shared" si="12"/>
        <v/>
      </c>
      <c r="N92" s="16" t="str">
        <f t="shared" si="13"/>
        <v/>
      </c>
      <c r="O92" s="7" t="s">
        <v>316</v>
      </c>
      <c r="P92" s="7" t="s">
        <v>323</v>
      </c>
      <c r="Q92" s="7" t="s">
        <v>235</v>
      </c>
      <c r="R92" s="7"/>
      <c r="S92" s="16" t="s">
        <v>712</v>
      </c>
      <c r="T92" s="4" t="s">
        <v>713</v>
      </c>
      <c r="U92" s="4" t="s">
        <v>17</v>
      </c>
      <c r="V92" s="4" t="s">
        <v>714</v>
      </c>
      <c r="W92" s="4"/>
      <c r="X92" s="4" t="s">
        <v>715</v>
      </c>
      <c r="Y92" s="4"/>
      <c r="Z92" s="4"/>
      <c r="AA92" s="37" t="s">
        <v>260</v>
      </c>
      <c r="AB92" s="4"/>
      <c r="AC92" s="4"/>
      <c r="AD92" s="4" t="s">
        <v>716</v>
      </c>
      <c r="AE92" s="4" t="s">
        <v>717</v>
      </c>
      <c r="AF92" s="4" t="s">
        <v>318</v>
      </c>
    </row>
    <row r="93" spans="1:32" x14ac:dyDescent="0.25">
      <c r="A93" s="4" t="str">
        <f t="shared" ref="A93:A153" si="15">"'"&amp;X93&amp;"',"</f>
        <v>'1613742031032671-5095886-69-02',</v>
      </c>
      <c r="B93" s="4" t="str">
        <f t="shared" ref="B93:B153" si="16">"'"&amp;T93&amp;"',"</f>
        <v>'1613742031491413-5095961-03-02',</v>
      </c>
      <c r="C93" s="15" t="s">
        <v>265</v>
      </c>
      <c r="D93" s="5" t="s">
        <v>262</v>
      </c>
      <c r="E93" s="5" t="s">
        <v>710</v>
      </c>
      <c r="F93" s="30" t="s">
        <v>718</v>
      </c>
      <c r="G93" s="29"/>
      <c r="H93" s="5"/>
      <c r="I93" s="22" t="s">
        <v>266</v>
      </c>
      <c r="J93" s="16"/>
      <c r="K93" s="25"/>
      <c r="L93" s="16"/>
      <c r="M93" s="16" t="str">
        <f t="shared" si="12"/>
        <v/>
      </c>
      <c r="N93" s="16" t="str">
        <f t="shared" si="13"/>
        <v/>
      </c>
      <c r="O93" s="7" t="s">
        <v>316</v>
      </c>
      <c r="P93" s="7" t="s">
        <v>323</v>
      </c>
      <c r="Q93" s="7" t="s">
        <v>235</v>
      </c>
      <c r="R93" s="7"/>
      <c r="S93" s="16" t="s">
        <v>719</v>
      </c>
      <c r="T93" s="4" t="s">
        <v>720</v>
      </c>
      <c r="U93" s="4" t="s">
        <v>17</v>
      </c>
      <c r="V93" s="4" t="s">
        <v>721</v>
      </c>
      <c r="W93" s="4"/>
      <c r="X93" s="4" t="s">
        <v>722</v>
      </c>
      <c r="Y93" s="4" t="s">
        <v>264</v>
      </c>
      <c r="Z93" s="4"/>
      <c r="AA93" s="37" t="s">
        <v>261</v>
      </c>
      <c r="AB93" s="4"/>
      <c r="AC93" s="4"/>
      <c r="AD93" s="4" t="s">
        <v>723</v>
      </c>
      <c r="AE93" s="4" t="s">
        <v>724</v>
      </c>
      <c r="AF93" s="4" t="s">
        <v>318</v>
      </c>
    </row>
    <row r="94" spans="1:32" x14ac:dyDescent="0.25">
      <c r="A94" s="4" t="str">
        <f t="shared" si="15"/>
        <v>'1613742039676261-5095963-62-02',</v>
      </c>
      <c r="B94" s="4" t="str">
        <f t="shared" si="16"/>
        <v>'1613823380529060-5265708-46-01',</v>
      </c>
      <c r="C94" s="15" t="s">
        <v>294</v>
      </c>
      <c r="D94" s="5" t="s">
        <v>268</v>
      </c>
      <c r="E94" s="5" t="s">
        <v>710</v>
      </c>
      <c r="F94" s="30" t="s">
        <v>725</v>
      </c>
      <c r="G94" s="29"/>
      <c r="H94" s="5"/>
      <c r="I94" s="22" t="s">
        <v>269</v>
      </c>
      <c r="J94" s="16"/>
      <c r="K94" s="25"/>
      <c r="L94" s="16"/>
      <c r="M94" s="16" t="str">
        <f>IF($L94&lt;&gt;"",IF($L94="清除同步失敗註記","UPDATE CIFX.TB_SERVICE_EXECUTION_CONTROL SET EXECUTION_STATE = "&amp;"'"&amp;"EXECUTED"&amp;"'"&amp;", ap_server_EXECUTING = NULL WHERE SERVICE_EXECUTION_CONTROL_ID IN ("&amp;"'"&amp;$Y94&amp;"'"&amp;")and execution_type = "&amp;"'"&amp;"STAGE1_EXECUTION"&amp;"';"&amp;"",IF($L94="重送CIP電文","UPDATE CIFX.TB_SERVICE_EXECUTION_CONTROL SET EXECUTION_STATE = "&amp;"'"&amp;"TO_EXECUTE"&amp;"'"&amp;",RESULT_CODE = NULL,EXECUTING_TIMESTAMP = null,EXECUTED_TIMESTAMP = null,ap_server_EXECUTING = NULL WHERE SERVICE_EXECUTION_CONTROL_ID IN ("&amp;"'"&amp;$Y94&amp;"'"&amp;") AND EXECUTION_TYPE = "&amp;"'"&amp;"STAGE1_EXECUTION"&amp;"'"&amp;";","沒有對應")),"")</f>
        <v/>
      </c>
      <c r="N94" s="16" t="str">
        <f t="shared" ref="N94:N125" si="17">IF($L94&lt;&gt;"","SELECT EXECUTION_TYPE,SERVICE_INTERCHANGE_ID,CIRCI_KEY,EXECUTION_STATE FROM CIFX.TB_SERVICE_EXECUTION_CONTROL WHERE SERVICE_EXECUTION_CONTROL_ID IN ("&amp;"'"&amp;$Y94&amp;"'"&amp;") AND EXECUTION_TYPE = "&amp;"'"&amp;"STAGE1_EXECUTION"&amp;"'"&amp;";","")</f>
        <v/>
      </c>
      <c r="O94" s="7" t="s">
        <v>316</v>
      </c>
      <c r="P94" s="7"/>
      <c r="Q94" s="7"/>
      <c r="R94" s="7"/>
      <c r="S94" s="16" t="s">
        <v>726</v>
      </c>
      <c r="T94" s="4" t="s">
        <v>727</v>
      </c>
      <c r="U94" s="4" t="s">
        <v>17</v>
      </c>
      <c r="V94" s="4" t="s">
        <v>317</v>
      </c>
      <c r="W94" s="4"/>
      <c r="X94" s="4" t="s">
        <v>728</v>
      </c>
      <c r="Y94" s="4" t="s">
        <v>267</v>
      </c>
      <c r="Z94" s="4"/>
      <c r="AA94" s="37" t="s">
        <v>261</v>
      </c>
      <c r="AB94" s="4"/>
      <c r="AC94" s="4"/>
      <c r="AD94" s="4" t="s">
        <v>729</v>
      </c>
      <c r="AE94" s="4"/>
      <c r="AF94" s="4"/>
    </row>
    <row r="95" spans="1:32" x14ac:dyDescent="0.25">
      <c r="A95" s="4" t="str">
        <f t="shared" si="15"/>
        <v>'1614002014738627-5611975-55-02',</v>
      </c>
      <c r="B95" s="4" t="str">
        <f t="shared" si="16"/>
        <v>'1614002014958049-5612098-09-02',</v>
      </c>
      <c r="C95" s="15" t="s">
        <v>770</v>
      </c>
      <c r="D95" s="5" t="s">
        <v>308</v>
      </c>
      <c r="E95" s="5" t="s">
        <v>769</v>
      </c>
      <c r="F95" s="30" t="s">
        <v>777</v>
      </c>
      <c r="G95" s="29"/>
      <c r="H95" s="5"/>
      <c r="I95" s="22" t="s">
        <v>771</v>
      </c>
      <c r="J95" s="16" t="s">
        <v>741</v>
      </c>
      <c r="K95" s="31" t="s">
        <v>745</v>
      </c>
      <c r="L95" s="16" t="s">
        <v>289</v>
      </c>
      <c r="M95" s="16" t="s">
        <v>754</v>
      </c>
      <c r="N95" s="16" t="str">
        <f t="shared" si="17"/>
        <v>SELECT EXECUTION_TYPE,SERVICE_INTERCHANGE_ID,CIRCI_KEY,EXECUTION_STATE FROM CIFX.TB_SERVICE_EXECUTION_CONTROL WHERE SERVICE_EXECUTION_CONTROL_ID IN ('1614002014771604-5611975-07-02') AND EXECUTION_TYPE = 'STAGE1_EXECUTION';</v>
      </c>
      <c r="O95" s="7" t="s">
        <v>730</v>
      </c>
      <c r="P95" s="7" t="s">
        <v>323</v>
      </c>
      <c r="Q95" s="7" t="s">
        <v>162</v>
      </c>
      <c r="R95" s="7"/>
      <c r="S95" s="16" t="s">
        <v>749</v>
      </c>
      <c r="T95" s="4" t="s">
        <v>732</v>
      </c>
      <c r="U95" s="4" t="s">
        <v>17</v>
      </c>
      <c r="V95" s="4" t="s">
        <v>733</v>
      </c>
      <c r="W95" s="4"/>
      <c r="X95" s="4" t="s">
        <v>734</v>
      </c>
      <c r="Y95" s="4" t="s">
        <v>270</v>
      </c>
      <c r="Z95" s="4"/>
      <c r="AA95" s="37" t="s">
        <v>755</v>
      </c>
      <c r="AB95" s="4"/>
      <c r="AC95" s="4"/>
      <c r="AD95" s="4" t="s">
        <v>735</v>
      </c>
      <c r="AE95" s="4" t="s">
        <v>318</v>
      </c>
      <c r="AF95" s="4" t="s">
        <v>471</v>
      </c>
    </row>
    <row r="96" spans="1:32" x14ac:dyDescent="0.25">
      <c r="A96" s="4" t="str">
        <f t="shared" si="15"/>
        <v>'1613841416074227-5305300-23-01',</v>
      </c>
      <c r="B96" s="4" t="str">
        <f t="shared" si="16"/>
        <v>'1613841416941252-5296076-70-02',</v>
      </c>
      <c r="C96" s="15"/>
      <c r="D96" s="5"/>
      <c r="E96" s="5" t="s">
        <v>710</v>
      </c>
      <c r="F96" s="30" t="s">
        <v>776</v>
      </c>
      <c r="G96" s="29" t="s">
        <v>710</v>
      </c>
      <c r="H96" s="5" t="s">
        <v>319</v>
      </c>
      <c r="I96" s="22" t="s">
        <v>311</v>
      </c>
      <c r="J96" s="16" t="s">
        <v>320</v>
      </c>
      <c r="K96" s="25" t="s">
        <v>321</v>
      </c>
      <c r="L96" s="16" t="s">
        <v>289</v>
      </c>
      <c r="M96" s="16" t="str">
        <f>IF($L96&lt;&gt;"",IF($L96="清除同步失敗註記","UPDATE CIFX.TB_SERVICE_EXECUTION_CONTROL SET EXECUTION_STATE = "&amp;"'"&amp;"EXECUTED"&amp;"'"&amp;", ap_server_EXECUTING = NULL WHERE SERVICE_EXECUTION_CONTROL_ID IN ("&amp;"'"&amp;$Y96&amp;"'"&amp;") and execution_type = "&amp;"'"&amp;"STAGE1_EXECUTION"&amp;"';"&amp;"",IF($L96="重送CIP電文","UPDATE CIFX.TB_SERVICE_EXECUTION_CONTROL SET EXECUTION_STATE = "&amp;"'"&amp;"TO_EXECUTE"&amp;"'"&amp;",RESULT_CODE = NULL,EXECUTING_TIMESTAMP = null,EXECUTED_TIMESTAMP = null,ap_server_EXECUTING = NULL WHERE SERVICE_EXECUTION_CONTROL_ID IN ("&amp;"'"&amp;$Y96&amp;"'"&amp;") AND EXECUTION_TYPE = "&amp;"'"&amp;"STAGE1_EXECUTION"&amp;"'"&amp;";","沒有對應")),"")</f>
        <v>UPDATE CIFX.TB_SERVICE_EXECUTION_CONTROL SET EXECUTION_STATE = 'EXECUTED', ap_server_EXECUTING = NULL WHERE SERVICE_EXECUTION_CONTROL_ID IN ('1613841416102818-5305300-48-01') and execution_type = 'STAGE1_EXECUTION';</v>
      </c>
      <c r="N96" s="16" t="str">
        <f t="shared" si="17"/>
        <v>SELECT EXECUTION_TYPE,SERVICE_INTERCHANGE_ID,CIRCI_KEY,EXECUTION_STATE FROM CIFX.TB_SERVICE_EXECUTION_CONTROL WHERE SERVICE_EXECUTION_CONTROL_ID IN ('1613841416102818-5305300-48-01') AND EXECUTION_TYPE = 'STAGE1_EXECUTION';</v>
      </c>
      <c r="O96" s="7" t="s">
        <v>322</v>
      </c>
      <c r="P96" s="7" t="s">
        <v>323</v>
      </c>
      <c r="Q96" s="7" t="s">
        <v>162</v>
      </c>
      <c r="R96" s="7"/>
      <c r="S96" s="16" t="s">
        <v>731</v>
      </c>
      <c r="T96" s="4" t="s">
        <v>324</v>
      </c>
      <c r="U96" s="4" t="s">
        <v>17</v>
      </c>
      <c r="V96" s="4" t="s">
        <v>317</v>
      </c>
      <c r="W96" s="4"/>
      <c r="X96" s="4" t="s">
        <v>736</v>
      </c>
      <c r="Y96" s="4" t="s">
        <v>276</v>
      </c>
      <c r="Z96" s="4"/>
      <c r="AA96" s="37" t="s">
        <v>277</v>
      </c>
      <c r="AB96" s="4"/>
      <c r="AC96" s="4"/>
      <c r="AD96" s="4" t="s">
        <v>737</v>
      </c>
      <c r="AE96" s="4" t="s">
        <v>325</v>
      </c>
      <c r="AF96" s="4" t="s">
        <v>318</v>
      </c>
    </row>
    <row r="97" spans="1:32" x14ac:dyDescent="0.25">
      <c r="A97" s="4" t="str">
        <f t="shared" si="15"/>
        <v>'1614077110613282-5776057-95-01',</v>
      </c>
      <c r="B97" s="4" t="str">
        <f t="shared" si="16"/>
        <v>'1614077110778795-5776109-24-01',</v>
      </c>
      <c r="C97" s="15" t="s">
        <v>758</v>
      </c>
      <c r="D97" s="5" t="s">
        <v>756</v>
      </c>
      <c r="E97" s="5" t="s">
        <v>757</v>
      </c>
      <c r="F97" s="30" t="s">
        <v>774</v>
      </c>
      <c r="G97" s="29" t="s">
        <v>27</v>
      </c>
      <c r="H97" s="5" t="s">
        <v>740</v>
      </c>
      <c r="I97" s="22" t="s">
        <v>748</v>
      </c>
      <c r="J97" s="16" t="s">
        <v>741</v>
      </c>
      <c r="K97" s="25" t="s">
        <v>743</v>
      </c>
      <c r="L97" s="16" t="s">
        <v>289</v>
      </c>
      <c r="M97" s="16" t="s">
        <v>312</v>
      </c>
      <c r="N97" s="16" t="str">
        <f t="shared" si="17"/>
        <v>SELECT EXECUTION_TYPE,SERVICE_INTERCHANGE_ID,CIRCI_KEY,EXECUTION_STATE FROM CIFX.TB_SERVICE_EXECUTION_CONTROL WHERE SERVICE_EXECUTION_CONTROL_ID IN ('1614077110634333-5776057-12-01') AND EXECUTION_TYPE = 'STAGE1_EXECUTION';</v>
      </c>
      <c r="O97" s="7" t="s">
        <v>309</v>
      </c>
      <c r="P97" s="7" t="s">
        <v>222</v>
      </c>
      <c r="Q97" s="7" t="s">
        <v>162</v>
      </c>
      <c r="R97" s="7"/>
      <c r="S97" s="16" t="s">
        <v>792</v>
      </c>
      <c r="T97" s="4" t="s">
        <v>310</v>
      </c>
      <c r="U97" s="4" t="s">
        <v>17</v>
      </c>
      <c r="V97" s="4" t="s">
        <v>285</v>
      </c>
      <c r="W97" s="4"/>
      <c r="X97" s="4" t="s">
        <v>280</v>
      </c>
      <c r="Y97" s="4" t="s">
        <v>282</v>
      </c>
      <c r="Z97" s="4"/>
      <c r="AA97" s="37" t="s">
        <v>281</v>
      </c>
      <c r="AB97" s="4"/>
      <c r="AC97" s="4"/>
      <c r="AD97" s="4" t="s">
        <v>283</v>
      </c>
      <c r="AE97" s="4" t="s">
        <v>284</v>
      </c>
      <c r="AF97" s="4" t="s">
        <v>278</v>
      </c>
    </row>
    <row r="98" spans="1:32" x14ac:dyDescent="0.25">
      <c r="A98" s="4" t="str">
        <f t="shared" si="15"/>
        <v>'1614180679355236-5981976-95-02',</v>
      </c>
      <c r="B98" s="4" t="str">
        <f t="shared" si="16"/>
        <v>'1614180679594169-5985533-13-01',</v>
      </c>
      <c r="C98" s="15" t="s">
        <v>753</v>
      </c>
      <c r="D98" s="5" t="s">
        <v>752</v>
      </c>
      <c r="E98" s="5" t="s">
        <v>750</v>
      </c>
      <c r="F98" s="5" t="s">
        <v>775</v>
      </c>
      <c r="G98" s="29" t="s">
        <v>750</v>
      </c>
      <c r="H98" s="5" t="s">
        <v>742</v>
      </c>
      <c r="I98" s="22" t="s">
        <v>751</v>
      </c>
      <c r="J98" s="16" t="s">
        <v>741</v>
      </c>
      <c r="K98" s="25" t="s">
        <v>743</v>
      </c>
      <c r="L98" s="16" t="s">
        <v>809</v>
      </c>
      <c r="M98" s="16" t="s">
        <v>744</v>
      </c>
      <c r="N98" s="16" t="str">
        <f t="shared" si="17"/>
        <v>SELECT EXECUTION_TYPE,SERVICE_INTERCHANGE_ID,CIRCI_KEY,EXECUTION_STATE FROM CIFX.TB_SERVICE_EXECUTION_CONTROL WHERE SERVICE_EXECUTION_CONTROL_ID IN ('1614180679361976-5981976-04-02') AND EXECUTION_TYPE = 'STAGE1_EXECUTION';</v>
      </c>
      <c r="O98" s="7" t="str">
        <f>IF(V98&lt;&gt;"",V98,"")</f>
        <v>發送ID改號電文給CIP回傳錯誤碼:UP0090_00_R101,錯誤碼訊息:存在驗證錯誤,錯誤訊息:[ID改號作業-&gt;CIF改號作業-&gt;&lt;檢查有誤，查無符合(改號前)銀行歸戶統編(N12041545A)顧客&gt;]</v>
      </c>
      <c r="P98" s="7" t="str">
        <f>IF(O98="","","請協助處理")</f>
        <v>請協助處理</v>
      </c>
      <c r="Q98" s="7" t="s">
        <v>162</v>
      </c>
      <c r="R98" s="7"/>
      <c r="S98" s="16" t="s">
        <v>326</v>
      </c>
      <c r="T98" s="4" t="s">
        <v>314</v>
      </c>
      <c r="U98" s="4" t="s">
        <v>17</v>
      </c>
      <c r="V98" s="4" t="s">
        <v>327</v>
      </c>
      <c r="W98" s="4"/>
      <c r="X98" s="4" t="s">
        <v>328</v>
      </c>
      <c r="Y98" s="4" t="s">
        <v>297</v>
      </c>
      <c r="Z98" s="4"/>
      <c r="AA98" s="37" t="s">
        <v>298</v>
      </c>
      <c r="AB98" s="4"/>
      <c r="AC98" s="4"/>
      <c r="AD98" s="4" t="s">
        <v>329</v>
      </c>
      <c r="AE98" s="4" t="s">
        <v>330</v>
      </c>
      <c r="AF98" s="4" t="s">
        <v>331</v>
      </c>
    </row>
    <row r="99" spans="1:32" ht="33" x14ac:dyDescent="0.25">
      <c r="A99" s="4" t="str">
        <f t="shared" si="15"/>
        <v>'1615207607123766-8163424-53-01',</v>
      </c>
      <c r="B99" s="4" t="str">
        <f t="shared" si="16"/>
        <v>'1615207607555458-8154941-80-02',</v>
      </c>
      <c r="C99" s="15"/>
      <c r="D99" s="5"/>
      <c r="E99" s="5"/>
      <c r="F99" s="30"/>
      <c r="G99" s="29"/>
      <c r="H99" s="5"/>
      <c r="I99" s="22" t="s">
        <v>773</v>
      </c>
      <c r="J99" s="16"/>
      <c r="K99" s="25"/>
      <c r="L99" s="16"/>
      <c r="M99" s="16" t="str">
        <f>IF($L99&lt;&gt;"",IF($L99="清除同步失敗註記","UPDATE CIFX.TB_SERVICE_EXECUTION_CONTROL SET EXECUTION_STATE = "&amp;"'"&amp;"EXECUTED"&amp;"'"&amp;", ap_server_EXECUTING = NULL WHERE SERVICE_EXECUTION_CONTROL_ID IN ("&amp;"'"&amp;$Y99&amp;"'"&amp;") and execution_type = "&amp;"'"&amp;"STAGE1_EXECUTION"&amp;"';"&amp;"",IF($L99="重送CIP電文","UPDATE CIFX.TB_SERVICE_EXECUTION_CONTROL SET EXECUTION_STATE = "&amp;"'"&amp;"TO_EXECUTE"&amp;"'"&amp;",RESULT_CODE = NULL,EXECUTING_TIMESTAMP = null,EXECUTED_TIMESTAMP = null,ap_server_EXECUTING = NULL WHERE SERVICE_EXECUTION_CONTROL_ID IN ("&amp;"'"&amp;$Y99&amp;"'"&amp;") AND EXECUTION_TYPE = "&amp;"'"&amp;"STAGE1_EXECUTION"&amp;"'"&amp;";","沒有對應")),"")</f>
        <v/>
      </c>
      <c r="N99" s="16" t="str">
        <f t="shared" si="17"/>
        <v/>
      </c>
      <c r="O99" s="7" t="str">
        <f t="shared" ref="O99:O159" si="18">IF(V99&lt;&gt;"",V99,"")</f>
        <v>發送異動通知電文給CIP回傳錯誤碼:UP0090_00_V201,錯誤碼訊息:必要性檢核錯誤,錯誤訊息:[檢查有誤，AC01238190 顧客曾經執行過ID改號]</v>
      </c>
      <c r="P99" s="7" t="str">
        <f t="shared" ref="P99:P159" si="19">IF(O99="","","請協助處理")</f>
        <v>請協助處理</v>
      </c>
      <c r="Q99" s="7" t="s">
        <v>162</v>
      </c>
      <c r="R99" s="7"/>
      <c r="S99" s="16" t="s">
        <v>772</v>
      </c>
      <c r="T99" s="4" t="s">
        <v>762</v>
      </c>
      <c r="U99" s="4" t="s">
        <v>17</v>
      </c>
      <c r="V99" s="4" t="s">
        <v>759</v>
      </c>
      <c r="W99" s="4"/>
      <c r="X99" s="4" t="s">
        <v>764</v>
      </c>
      <c r="Y99" s="4" t="s">
        <v>763</v>
      </c>
      <c r="Z99" s="4"/>
      <c r="AA99" s="37" t="s">
        <v>766</v>
      </c>
      <c r="AB99" s="4"/>
      <c r="AC99" s="4"/>
      <c r="AD99" s="4" t="s">
        <v>765</v>
      </c>
      <c r="AE99" s="32" t="s">
        <v>767</v>
      </c>
      <c r="AF99" s="4" t="s">
        <v>768</v>
      </c>
    </row>
    <row r="100" spans="1:32" ht="231" x14ac:dyDescent="0.25">
      <c r="A100" s="4" t="str">
        <f t="shared" si="15"/>
        <v>'1615359195303247-8478846-33-01',</v>
      </c>
      <c r="B100" s="4" t="str">
        <f t="shared" si="16"/>
        <v>'1615359198325642-8483741-14-02',</v>
      </c>
      <c r="C100" s="15" t="s">
        <v>797</v>
      </c>
      <c r="D100" s="5" t="s">
        <v>788</v>
      </c>
      <c r="E100" s="5" t="s">
        <v>797</v>
      </c>
      <c r="F100" s="5" t="s">
        <v>800</v>
      </c>
      <c r="G100" s="29"/>
      <c r="H100" s="5"/>
      <c r="I100" s="22" t="s">
        <v>819</v>
      </c>
      <c r="J100" s="16" t="s">
        <v>790</v>
      </c>
      <c r="K100" s="34" t="s">
        <v>791</v>
      </c>
      <c r="L100" s="16" t="s">
        <v>289</v>
      </c>
      <c r="M100" s="16" t="s">
        <v>795</v>
      </c>
      <c r="N100" s="16" t="str">
        <f t="shared" si="17"/>
        <v>SELECT EXECUTION_TYPE,SERVICE_INTERCHANGE_ID,CIRCI_KEY,EXECUTION_STATE FROM CIFX.TB_SERVICE_EXECUTION_CONTROL WHERE SERVICE_EXECUTION_CONTROL_ID IN ('1615359195979850-8477930-62-01') AND EXECUTION_TYPE = 'STAGE1_EXECUTION';</v>
      </c>
      <c r="O100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funcId=01, custName=null, companyEstablishDate=null, circiKey=A120547005, creditCardKey=null, certNo=A120547005, certDate=Tue Dec 29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goldenRecordItemContent=[A8, H1]]], custType=null, relationRemoval=false]；CustCipIdentity:CustCipIdentity [custId=9416395, custType=P, certTypeCode=00, partyKind=P, oldRestart=false, customerTag=CustomerTag [custId=9416395, custType=P, removalPredicate=null, removalSystemCode=null, refToCustId=0, refDatetime=null, disabledDatetime=null, identityCertTypeCode=00, disabled=null, disabledSystemCode=null], idChangeState=null, creditCardKey=A120547005, circiKey=A120547005, birthDay=1959-12-29 00:00:00.0]；ServiceInterchange:ServiceInterchange [serviceInterchangeId=1615359197751953191, serviceInterchangeTime=Wed Mar 10 06:53:17 GMT+08:00 2021, msgNo=TS0116_00_20210310065317_18911, serviceName=CATEGORY_002, operationName=writeCustomerInfo, txnCode=01, txnTime=Wed Mar 10 06:53:15 GMT+08:00 2021, senderCode=TS0116_00, receiverCode=UP0090_00, operatorCode=ZZ, unitCode=9004, authorizerCode=null, serviceResponse=null, queryResponseLineitems=[]], Exception : ]</v>
      </c>
      <c r="P100" s="7" t="str">
        <f t="shared" si="19"/>
        <v>請協助處理</v>
      </c>
      <c r="Q100" s="7" t="s">
        <v>162</v>
      </c>
      <c r="R100" s="7"/>
      <c r="S100" s="33" t="s">
        <v>299</v>
      </c>
      <c r="T100" s="4" t="s">
        <v>780</v>
      </c>
      <c r="U100" s="4" t="s">
        <v>17</v>
      </c>
      <c r="V100" s="4" t="s">
        <v>778</v>
      </c>
      <c r="W100" s="4"/>
      <c r="X100" s="4" t="s">
        <v>798</v>
      </c>
      <c r="Y100" s="4" t="s">
        <v>799</v>
      </c>
      <c r="Z100" s="4"/>
      <c r="AA100" s="37" t="s">
        <v>782</v>
      </c>
      <c r="AB100" s="4"/>
      <c r="AC100" s="4"/>
      <c r="AD100" s="4" t="s">
        <v>781</v>
      </c>
      <c r="AE100" s="4" t="s">
        <v>783</v>
      </c>
      <c r="AF100" s="4" t="s">
        <v>784</v>
      </c>
    </row>
    <row r="101" spans="1:32" ht="82.5" x14ac:dyDescent="0.25">
      <c r="A101" s="4" t="str">
        <f t="shared" si="15"/>
        <v>'1614256259748717-6148809-59-01',</v>
      </c>
      <c r="B101" s="4" t="str">
        <f t="shared" si="16"/>
        <v>'1614256259999169-6148822-91-01',</v>
      </c>
      <c r="C101" s="15"/>
      <c r="D101" s="5"/>
      <c r="E101" s="5"/>
      <c r="F101" s="30"/>
      <c r="G101" s="29" t="s">
        <v>824</v>
      </c>
      <c r="H101" s="5" t="s">
        <v>789</v>
      </c>
      <c r="I101" s="22" t="s">
        <v>794</v>
      </c>
      <c r="J101" s="16" t="s">
        <v>790</v>
      </c>
      <c r="K101" s="34" t="s">
        <v>796</v>
      </c>
      <c r="L101" s="16" t="s">
        <v>289</v>
      </c>
      <c r="M101" s="16" t="str">
        <f>IF($L101&lt;&gt;"",IF($L101="清除同步失敗註記","UPDATE CIFX.TB_SERVICE_EXECUTION_CONTROL SET EXECUTION_STATE = "&amp;"'"&amp;"EXECUTED"&amp;"'"&amp;", ap_server_EXECUTING = NULL WHERE SERVICE_EXECUTION_CONTROL_ID IN ("&amp;"'"&amp;$Y101&amp;"'"&amp;") and execution_type = "&amp;"'"&amp;"STAGE1_EXECUTION"&amp;"';"&amp;"",IF($L101="重送CIP電文","UPDATE CIFX.TB_SERVICE_EXECUTION_CONTROL SET EXECUTION_STATE = "&amp;"'"&amp;"TO_EXECUTE"&amp;"'"&amp;",RESULT_CODE = NULL,EXECUTING_TIMESTAMP = null,EXECUTED_TIMESTAMP = null,ap_server_EXECUTING = NULL WHERE SERVICE_EXECUTION_CONTROL_ID IN ("&amp;"'"&amp;$Y101&amp;"'"&amp;") AND EXECUTION_TYPE = "&amp;"'"&amp;"STAGE1_EXECUTION"&amp;"'"&amp;";","沒有對應")),"")</f>
        <v>UPDATE CIFX.TB_SERVICE_EXECUTION_CONTROL SET EXECUTION_STATE = 'EXECUTED', ap_server_EXECUTING = NULL WHERE SERVICE_EXECUTION_CONTROL_ID IN ('1614256259767369-6148809-77-01') and execution_type = 'STAGE1_EXECUTION';</v>
      </c>
      <c r="N101" s="16" t="str">
        <f t="shared" si="17"/>
        <v>SELECT EXECUTION_TYPE,SERVICE_INTERCHANGE_ID,CIRCI_KEY,EXECUTION_STATE FROM CIFX.TB_SERVICE_EXECUTION_CONTROL WHERE SERVICE_EXECUTION_CONTROL_ID IN ('1614256259767369-6148809-77-01') AND EXECUTION_TYPE = 'STAGE1_EXECUTION';</v>
      </c>
      <c r="O101" s="7" t="str">
        <f t="shared" si="18"/>
        <v>發送異動通知電文給CIP回傳錯誤碼:UP0090_00_V201,錯誤碼訊息:必要性檢核錯誤,錯誤訊息:[檢查有誤，顧客ID已停用]</v>
      </c>
      <c r="P101" s="7" t="str">
        <f t="shared" si="19"/>
        <v>請協助處理</v>
      </c>
      <c r="Q101" s="7" t="s">
        <v>162</v>
      </c>
      <c r="R101" s="7"/>
      <c r="S101" s="33" t="s">
        <v>299</v>
      </c>
      <c r="T101" s="4" t="s">
        <v>779</v>
      </c>
      <c r="U101" s="4" t="s">
        <v>17</v>
      </c>
      <c r="V101" s="4" t="s">
        <v>1</v>
      </c>
      <c r="W101" s="4"/>
      <c r="X101" s="4" t="s">
        <v>785</v>
      </c>
      <c r="Y101" s="4" t="s">
        <v>300</v>
      </c>
      <c r="Z101" s="4"/>
      <c r="AA101" s="37" t="s">
        <v>793</v>
      </c>
      <c r="AB101" s="4"/>
      <c r="AC101" s="4"/>
      <c r="AD101" s="4" t="s">
        <v>786</v>
      </c>
      <c r="AE101" s="32" t="s">
        <v>787</v>
      </c>
      <c r="AF101" s="4" t="s">
        <v>784</v>
      </c>
    </row>
    <row r="102" spans="1:32" x14ac:dyDescent="0.25">
      <c r="A102" s="4" t="str">
        <f t="shared" si="15"/>
        <v>'1615465297209436-8705121-45-02',</v>
      </c>
      <c r="B102" s="4" t="str">
        <f t="shared" si="16"/>
        <v>'1615465297447275-8713403-06-01',</v>
      </c>
      <c r="C102" s="15" t="s">
        <v>832</v>
      </c>
      <c r="D102" s="5" t="s">
        <v>831</v>
      </c>
      <c r="E102" s="5" t="s">
        <v>819</v>
      </c>
      <c r="F102" s="5" t="s">
        <v>829</v>
      </c>
      <c r="G102" s="29" t="s">
        <v>825</v>
      </c>
      <c r="H102" s="5" t="s">
        <v>833</v>
      </c>
      <c r="I102" s="22" t="s">
        <v>825</v>
      </c>
      <c r="J102" s="16" t="s">
        <v>818</v>
      </c>
      <c r="K102" s="25" t="s">
        <v>826</v>
      </c>
      <c r="L102" s="16" t="s">
        <v>289</v>
      </c>
      <c r="M102" s="16" t="s">
        <v>827</v>
      </c>
      <c r="N102" s="16" t="str">
        <f t="shared" si="17"/>
        <v>SELECT EXECUTION_TYPE,SERVICE_INTERCHANGE_ID,CIRCI_KEY,EXECUTION_STATE FROM CIFX.TB_SERVICE_EXECUTION_CONTROL WHERE SERVICE_EXECUTION_CONTROL_ID IN ('1615465297243883-8705121-97-02') AND EXECUTION_TYPE = 'STAGE1_EXECUTION';</v>
      </c>
      <c r="O102" s="7" t="str">
        <f t="shared" si="18"/>
        <v>發送異動通知電文給CIP回傳錯誤碼:UP0090_00_V201,錯誤碼訊息:必要性檢核錯誤,錯誤訊息:[DEL00000000000000799 顧客 TS0116_00 已刪除，但全行未刪除，無法進行異動建檔]</v>
      </c>
      <c r="P102" s="7" t="str">
        <f t="shared" si="19"/>
        <v>請協助處理</v>
      </c>
      <c r="Q102" s="7" t="s">
        <v>162</v>
      </c>
      <c r="R102" s="7"/>
      <c r="S102" s="16" t="s">
        <v>299</v>
      </c>
      <c r="T102" s="4" t="s">
        <v>802</v>
      </c>
      <c r="U102" s="4" t="s">
        <v>17</v>
      </c>
      <c r="V102" s="4" t="s">
        <v>801</v>
      </c>
      <c r="W102" s="4"/>
      <c r="X102" s="4" t="s">
        <v>803</v>
      </c>
      <c r="Y102" s="4" t="s">
        <v>804</v>
      </c>
      <c r="Z102" s="4"/>
      <c r="AA102" s="37" t="s">
        <v>828</v>
      </c>
      <c r="AB102" s="4"/>
      <c r="AC102" s="4"/>
      <c r="AD102" s="4" t="s">
        <v>805</v>
      </c>
      <c r="AE102" s="4" t="s">
        <v>806</v>
      </c>
      <c r="AF102" s="4" t="s">
        <v>807</v>
      </c>
    </row>
    <row r="103" spans="1:32" x14ac:dyDescent="0.25">
      <c r="A103" s="4" t="str">
        <f t="shared" si="15"/>
        <v>'1616007645159941-9846913-17-02',</v>
      </c>
      <c r="B103" s="4" t="str">
        <f t="shared" si="16"/>
        <v>'1616007645686110-9846881-36-02',</v>
      </c>
      <c r="C103" s="15" t="s">
        <v>832</v>
      </c>
      <c r="D103" s="5" t="s">
        <v>840</v>
      </c>
      <c r="E103" s="5" t="s">
        <v>830</v>
      </c>
      <c r="F103" s="5" t="s">
        <v>841</v>
      </c>
      <c r="G103" s="29"/>
      <c r="H103" s="5"/>
      <c r="I103" s="22" t="s">
        <v>819</v>
      </c>
      <c r="J103" s="16" t="s">
        <v>820</v>
      </c>
      <c r="K103" s="25" t="s">
        <v>821</v>
      </c>
      <c r="L103" s="16" t="s">
        <v>809</v>
      </c>
      <c r="M103" s="16" t="s">
        <v>823</v>
      </c>
      <c r="N103" s="16" t="str">
        <f t="shared" si="17"/>
        <v>SELECT EXECUTION_TYPE,SERVICE_INTERCHANGE_ID,CIRCI_KEY,EXECUTION_STATE FROM CIFX.TB_SERVICE_EXECUTION_CONTROL WHERE SERVICE_EXECUTION_CONTROL_ID IN ('1616007645284631-9837404-22-01') AND EXECUTION_TYPE = 'STAGE1_EXECUTION';</v>
      </c>
      <c r="O103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funcId=01, custName=null, companyEstablishDate=null, circiKey=L121224984, creditCardKey=null, certNo=L121224984, certDate=Mon Jan 19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goldenRecordItemContent=0381]], custType=null, relationRemoval=false]；CustCipIdentity:CustCipIdentity [custId=5053777, custType=P, certTypeCode=00, partyKind=P, oldRestart=false, customerTag=CustomerTag [custId=5053777, custType=P, removalPredicate=null, removalSystemCode=null, refToCustId=0, refDatetime=null, disabledDatetime=null, identityCertTypeCode=00, disabled=null, disabledSystemCode=null], idChangeState=null, creditCardKey=L121224984, circiKey=L121224984, birthDay=1970-01-19 00:00:00.0]；ServiceInterchange:ServiceInterchange [serviceInterchangeId=1616007645403010582, serviceInterchangeTime=Wed Mar 17 19:00:45 GMT+08:00 2021, msgNo=TS0116_00_20210317190045_57872, serviceName=CATEGORY_002, operationName=writeCustomerInfo, txnCode=01, txnTime=Wed Mar 17 19:00:45 GMT+08:00 2021, senderCode=TS0116_00, receiverCode=UP0090_00, operatorCode=ZZ, unitCode=9004, authorizerCode=01056, serviceResponse=null, queryResponseLineitems=[]], Exception : ]</v>
      </c>
      <c r="P103" s="7" t="s">
        <v>817</v>
      </c>
      <c r="Q103" s="7" t="s">
        <v>162</v>
      </c>
      <c r="R103" s="7"/>
      <c r="S103" s="16" t="s">
        <v>299</v>
      </c>
      <c r="T103" s="4" t="s">
        <v>810</v>
      </c>
      <c r="U103" s="4" t="s">
        <v>17</v>
      </c>
      <c r="V103" s="4" t="s">
        <v>811</v>
      </c>
      <c r="W103" s="4"/>
      <c r="X103" s="4" t="s">
        <v>812</v>
      </c>
      <c r="Y103" s="4" t="s">
        <v>813</v>
      </c>
      <c r="Z103" s="4"/>
      <c r="AA103" s="37" t="s">
        <v>822</v>
      </c>
      <c r="AB103" s="4"/>
      <c r="AC103" s="4"/>
      <c r="AD103" s="4" t="s">
        <v>814</v>
      </c>
      <c r="AE103" s="4" t="s">
        <v>815</v>
      </c>
      <c r="AF103" s="4" t="s">
        <v>816</v>
      </c>
    </row>
    <row r="104" spans="1:32" x14ac:dyDescent="0.25">
      <c r="A104" s="4" t="str">
        <f t="shared" si="15"/>
        <v>'1616692213307132-1288045-63-01',</v>
      </c>
      <c r="B104" s="4" t="str">
        <f t="shared" si="16"/>
        <v>'1616692218599719-1288236-07-01',</v>
      </c>
      <c r="C104" s="15" t="s">
        <v>849</v>
      </c>
      <c r="D104" s="5" t="s">
        <v>847</v>
      </c>
      <c r="E104" s="5" t="s">
        <v>848</v>
      </c>
      <c r="F104" s="5" t="s">
        <v>850</v>
      </c>
      <c r="G104" s="29"/>
      <c r="H104" s="5" t="s">
        <v>845</v>
      </c>
      <c r="I104" s="22" t="s">
        <v>926</v>
      </c>
      <c r="J104" s="16" t="s">
        <v>842</v>
      </c>
      <c r="K104" s="25" t="s">
        <v>843</v>
      </c>
      <c r="L104" s="16" t="s">
        <v>289</v>
      </c>
      <c r="M104" s="16" t="s">
        <v>846</v>
      </c>
      <c r="N104" s="16" t="str">
        <f t="shared" si="17"/>
        <v>SELECT EXECUTION_TYPE,SERVICE_INTERCHANGE_ID,CIRCI_KEY,EXECUTION_STATE FROM CIFX.TB_SERVICE_EXECUTION_CONTROL WHERE SERVICE_EXECUTION_CONTROL_ID IN ('1616692213308742-1288045-66-01') AND EXECUTION_TYPE = 'STAGE1_EXECUTION';</v>
      </c>
      <c r="O104" s="7" t="str">
        <f t="shared" si="18"/>
        <v>發送異動通知電文給CIP回傳錯誤碼:UP0090_00_V201,錯誤碼訊息:必要性檢核錯誤,錯誤訊息:[檢查有誤，顧客ID已停用]</v>
      </c>
      <c r="P104" s="7" t="str">
        <f t="shared" si="19"/>
        <v>請協助處理</v>
      </c>
      <c r="Q104" s="7" t="s">
        <v>162</v>
      </c>
      <c r="R104" s="7"/>
      <c r="S104" s="16" t="s">
        <v>299</v>
      </c>
      <c r="T104" s="4" t="s">
        <v>834</v>
      </c>
      <c r="U104" s="4" t="s">
        <v>17</v>
      </c>
      <c r="V104" s="4" t="s">
        <v>1</v>
      </c>
      <c r="W104" s="4"/>
      <c r="X104" s="4" t="s">
        <v>835</v>
      </c>
      <c r="Y104" s="4" t="s">
        <v>836</v>
      </c>
      <c r="Z104" s="4"/>
      <c r="AA104" s="37" t="s">
        <v>844</v>
      </c>
      <c r="AB104" s="4"/>
      <c r="AC104" s="4"/>
      <c r="AD104" s="4" t="s">
        <v>837</v>
      </c>
      <c r="AE104" s="4" t="s">
        <v>838</v>
      </c>
      <c r="AF104" s="4" t="s">
        <v>839</v>
      </c>
    </row>
    <row r="105" spans="1:32" ht="33" x14ac:dyDescent="0.25">
      <c r="A105" s="4" t="str">
        <f t="shared" si="15"/>
        <v>'1617792540361895-3576529-74-01',</v>
      </c>
      <c r="B105" s="4" t="str">
        <f t="shared" si="16"/>
        <v>'1617792540849113-3577853-02-01',</v>
      </c>
      <c r="C105" s="15" t="s">
        <v>62</v>
      </c>
      <c r="D105" s="5" t="s">
        <v>878</v>
      </c>
      <c r="E105" s="5" t="s">
        <v>870</v>
      </c>
      <c r="F105" s="5" t="s">
        <v>879</v>
      </c>
      <c r="G105" s="29"/>
      <c r="H105" s="5"/>
      <c r="I105" s="22" t="s">
        <v>926</v>
      </c>
      <c r="J105" s="16"/>
      <c r="K105" s="25"/>
      <c r="L105" s="16" t="s">
        <v>289</v>
      </c>
      <c r="M105" s="16" t="s">
        <v>865</v>
      </c>
      <c r="N105" s="16" t="str">
        <f t="shared" si="17"/>
        <v>SELECT EXECUTION_TYPE,SERVICE_INTERCHANGE_ID,CIRCI_KEY,EXECUTION_STATE FROM CIFX.TB_SERVICE_EXECUTION_CONTROL WHERE SERVICE_EXECUTION_CONTROL_ID IN ('1617792540369122-3576529-79-01') AND EXECUTION_TYPE = 'STAGE1_EXECUTION';</v>
      </c>
      <c r="O105" s="7" t="str">
        <f t="shared" si="18"/>
        <v>發送ID改號電文給CIP回傳錯誤碼:UP0090_00_R101,錯誤碼訊息:存在驗證錯誤,錯誤訊息:[檢查有誤，顧客曾經執行過ID改號，將交由資料管家處理]</v>
      </c>
      <c r="P105" s="7" t="str">
        <f t="shared" si="19"/>
        <v>請協助處理</v>
      </c>
      <c r="Q105" s="7" t="s">
        <v>162</v>
      </c>
      <c r="R105" s="7"/>
      <c r="S105" s="16" t="s">
        <v>299</v>
      </c>
      <c r="T105" s="4" t="s">
        <v>851</v>
      </c>
      <c r="U105" s="4" t="s">
        <v>17</v>
      </c>
      <c r="V105" s="4" t="s">
        <v>18</v>
      </c>
      <c r="W105" s="4"/>
      <c r="X105" s="4" t="s">
        <v>856</v>
      </c>
      <c r="Y105" s="4" t="s">
        <v>852</v>
      </c>
      <c r="Z105" s="4"/>
      <c r="AA105" s="37" t="s">
        <v>872</v>
      </c>
      <c r="AB105" s="4"/>
      <c r="AC105" s="4"/>
      <c r="AD105" s="4" t="s">
        <v>853</v>
      </c>
      <c r="AE105" s="32" t="s">
        <v>884</v>
      </c>
      <c r="AF105" s="4" t="s">
        <v>873</v>
      </c>
    </row>
    <row r="106" spans="1:32" x14ac:dyDescent="0.25">
      <c r="A106" s="4" t="str">
        <f t="shared" si="15"/>
        <v>'',</v>
      </c>
      <c r="B106" s="4" t="str">
        <f t="shared" si="16"/>
        <v>'1617822015113223-3647355-03-02',</v>
      </c>
      <c r="C106" s="15" t="s">
        <v>62</v>
      </c>
      <c r="D106" s="5" t="s">
        <v>880</v>
      </c>
      <c r="E106" s="5" t="s">
        <v>870</v>
      </c>
      <c r="F106" s="5" t="s">
        <v>881</v>
      </c>
      <c r="G106" s="29"/>
      <c r="H106" s="5"/>
      <c r="I106" s="22" t="s">
        <v>925</v>
      </c>
      <c r="J106" s="16"/>
      <c r="K106" s="25"/>
      <c r="L106" s="16" t="s">
        <v>289</v>
      </c>
      <c r="M106" s="16" t="s">
        <v>866</v>
      </c>
      <c r="N106" s="16" t="str">
        <f t="shared" si="17"/>
        <v>SELECT EXECUTION_TYPE,SERVICE_INTERCHANGE_ID,CIRCI_KEY,EXECUTION_STATE FROM CIFX.TB_SERVICE_EXECUTION_CONTROL WHERE SERVICE_EXECUTION_CONTROL_ID IN ('1617822010963996-3640748-94-01') AND EXECUTION_TYPE = 'STAGE1_EXECUTION';</v>
      </c>
      <c r="O106" s="7" t="str">
        <f t="shared" si="18"/>
        <v>發送異動通知電文給CIP回傳錯誤碼:UP0090_00_V201,錯誤碼訊息:必要性檢核錯誤,錯誤訊息:[檢查有誤，顧客ID已停用]</v>
      </c>
      <c r="P106" s="7" t="str">
        <f t="shared" si="19"/>
        <v>請協助處理</v>
      </c>
      <c r="Q106" s="7"/>
      <c r="R106" s="7"/>
      <c r="S106" s="16"/>
      <c r="T106" s="4" t="s">
        <v>857</v>
      </c>
      <c r="U106" s="4" t="s">
        <v>17</v>
      </c>
      <c r="V106" s="4" t="s">
        <v>1</v>
      </c>
      <c r="W106" s="4"/>
      <c r="X106" s="4"/>
      <c r="Y106" s="4" t="s">
        <v>858</v>
      </c>
      <c r="Z106" s="4"/>
      <c r="AA106" s="37" t="s">
        <v>874</v>
      </c>
      <c r="AB106" s="4"/>
      <c r="AC106" s="4"/>
      <c r="AD106" s="4"/>
      <c r="AE106" s="4"/>
      <c r="AF106" s="4"/>
    </row>
    <row r="107" spans="1:32" x14ac:dyDescent="0.25">
      <c r="A107" s="4" t="str">
        <f t="shared" si="15"/>
        <v>'',</v>
      </c>
      <c r="B107" s="4" t="str">
        <f t="shared" si="16"/>
        <v>'1617822012410185-3647440-95-02',</v>
      </c>
      <c r="C107" s="15" t="s">
        <v>62</v>
      </c>
      <c r="D107" s="5" t="s">
        <v>880</v>
      </c>
      <c r="E107" s="5" t="s">
        <v>882</v>
      </c>
      <c r="F107" s="5" t="s">
        <v>871</v>
      </c>
      <c r="G107" s="29"/>
      <c r="H107" s="5"/>
      <c r="I107" s="22" t="s">
        <v>924</v>
      </c>
      <c r="J107" s="16"/>
      <c r="K107" s="25"/>
      <c r="L107" s="16" t="s">
        <v>289</v>
      </c>
      <c r="M107" s="16" t="s">
        <v>867</v>
      </c>
      <c r="N107" s="16" t="str">
        <f t="shared" si="17"/>
        <v>SELECT EXECUTION_TYPE,SERVICE_INTERCHANGE_ID,CIRCI_KEY,EXECUTION_STATE FROM CIFX.TB_SERVICE_EXECUTION_CONTROL WHERE SERVICE_EXECUTION_CONTROL_ID IN ('1617822010107325-3640748-82-01') AND EXECUTION_TYPE = 'STAGE1_EXECUTION';</v>
      </c>
      <c r="O107" s="7" t="str">
        <f t="shared" si="18"/>
        <v>發送異動通知電文給CIP回傳錯誤碼:UP0090_00_V201,錯誤碼訊息:必要性檢核錯誤,錯誤訊息:[檢查有誤，顧客ID已停用]</v>
      </c>
      <c r="P107" s="7" t="str">
        <f t="shared" si="19"/>
        <v>請協助處理</v>
      </c>
      <c r="Q107" s="7"/>
      <c r="R107" s="7"/>
      <c r="S107" s="16"/>
      <c r="T107" s="4" t="s">
        <v>859</v>
      </c>
      <c r="U107" s="4" t="s">
        <v>17</v>
      </c>
      <c r="V107" s="4" t="s">
        <v>1</v>
      </c>
      <c r="W107" s="4"/>
      <c r="X107" s="4"/>
      <c r="Y107" s="4" t="s">
        <v>860</v>
      </c>
      <c r="Z107" s="4"/>
      <c r="AA107" s="37" t="s">
        <v>875</v>
      </c>
      <c r="AB107" s="4"/>
      <c r="AC107" s="4"/>
      <c r="AD107" s="4"/>
      <c r="AE107" s="4"/>
      <c r="AF107" s="4"/>
    </row>
    <row r="108" spans="1:32" x14ac:dyDescent="0.25">
      <c r="A108" s="4" t="str">
        <f t="shared" si="15"/>
        <v>'',</v>
      </c>
      <c r="B108" s="4" t="str">
        <f t="shared" si="16"/>
        <v>'1617822011810136-3647440-80-02',</v>
      </c>
      <c r="C108" s="15" t="s">
        <v>62</v>
      </c>
      <c r="D108" s="5" t="s">
        <v>880</v>
      </c>
      <c r="E108" s="5" t="s">
        <v>870</v>
      </c>
      <c r="F108" s="5" t="s">
        <v>871</v>
      </c>
      <c r="G108" s="29"/>
      <c r="H108" s="5"/>
      <c r="I108" s="22" t="s">
        <v>925</v>
      </c>
      <c r="J108" s="16"/>
      <c r="K108" s="25"/>
      <c r="L108" s="16" t="s">
        <v>289</v>
      </c>
      <c r="M108" s="16" t="s">
        <v>868</v>
      </c>
      <c r="N108" s="16" t="str">
        <f t="shared" si="17"/>
        <v>SELECT EXECUTION_TYPE,SERVICE_INTERCHANGE_ID,CIRCI_KEY,EXECUTION_STATE FROM CIFX.TB_SERVICE_EXECUTION_CONTROL WHERE SERVICE_EXECUTION_CONTROL_ID IN ('1617822009945356-3640748-26-01') AND EXECUTION_TYPE = 'STAGE1_EXECUTION';</v>
      </c>
      <c r="O108" s="7" t="str">
        <f t="shared" si="18"/>
        <v>發送異動通知電文給CIP回傳錯誤碼:UP0090_00_V201,錯誤碼訊息:必要性檢核錯誤,錯誤訊息:[檢查有誤，顧客ID已停用]</v>
      </c>
      <c r="P108" s="7" t="str">
        <f t="shared" si="19"/>
        <v>請協助處理</v>
      </c>
      <c r="Q108" s="7"/>
      <c r="R108" s="7"/>
      <c r="S108" s="16"/>
      <c r="T108" s="4" t="s">
        <v>861</v>
      </c>
      <c r="U108" s="4" t="s">
        <v>17</v>
      </c>
      <c r="V108" s="4" t="s">
        <v>1</v>
      </c>
      <c r="W108" s="4"/>
      <c r="X108" s="4"/>
      <c r="Y108" s="4" t="s">
        <v>862</v>
      </c>
      <c r="Z108" s="4"/>
      <c r="AA108" s="37" t="s">
        <v>876</v>
      </c>
      <c r="AB108" s="4"/>
      <c r="AC108" s="4"/>
      <c r="AD108" s="4"/>
      <c r="AE108" s="4"/>
      <c r="AF108" s="4"/>
    </row>
    <row r="109" spans="1:32" x14ac:dyDescent="0.25">
      <c r="A109" s="4" t="str">
        <f t="shared" si="15"/>
        <v>'',</v>
      </c>
      <c r="B109" s="4" t="str">
        <f t="shared" si="16"/>
        <v>'1617822010862196-3647440-59-02',</v>
      </c>
      <c r="C109" s="15" t="s">
        <v>62</v>
      </c>
      <c r="D109" s="5" t="s">
        <v>883</v>
      </c>
      <c r="E109" s="5" t="s">
        <v>870</v>
      </c>
      <c r="F109" s="5" t="s">
        <v>871</v>
      </c>
      <c r="G109" s="29"/>
      <c r="H109" s="5"/>
      <c r="I109" s="22" t="s">
        <v>925</v>
      </c>
      <c r="J109" s="16"/>
      <c r="K109" s="25"/>
      <c r="L109" s="16" t="s">
        <v>289</v>
      </c>
      <c r="M109" s="16" t="s">
        <v>869</v>
      </c>
      <c r="N109" s="16" t="str">
        <f t="shared" si="17"/>
        <v>SELECT EXECUTION_TYPE,SERVICE_INTERCHANGE_ID,CIRCI_KEY,EXECUTION_STATE FROM CIFX.TB_SERVICE_EXECUTION_CONTROL WHERE SERVICE_EXECUTION_CONTROL_ID IN ('1617822009696372-3640748-44-01') AND EXECUTION_TYPE = 'STAGE1_EXECUTION';</v>
      </c>
      <c r="O109" s="7" t="str">
        <f t="shared" si="18"/>
        <v>發送異動通知電文給CIP回傳錯誤碼:UP0090_00_V201,錯誤碼訊息:必要性檢核錯誤,錯誤訊息:[檢查有誤，顧客ID已停用]</v>
      </c>
      <c r="P109" s="7" t="str">
        <f t="shared" si="19"/>
        <v>請協助處理</v>
      </c>
      <c r="Q109" s="7"/>
      <c r="R109" s="7"/>
      <c r="S109" s="16"/>
      <c r="T109" s="4" t="s">
        <v>863</v>
      </c>
      <c r="U109" s="4" t="s">
        <v>17</v>
      </c>
      <c r="V109" s="4" t="s">
        <v>1</v>
      </c>
      <c r="W109" s="4"/>
      <c r="X109" s="4"/>
      <c r="Y109" s="4" t="s">
        <v>864</v>
      </c>
      <c r="Z109" s="4"/>
      <c r="AA109" s="37" t="s">
        <v>877</v>
      </c>
      <c r="AB109" s="4"/>
      <c r="AC109" s="4"/>
      <c r="AD109" s="4"/>
      <c r="AE109" s="4"/>
      <c r="AF109" s="4"/>
    </row>
    <row r="110" spans="1:32" ht="33" x14ac:dyDescent="0.25">
      <c r="A110" s="4" t="str">
        <f t="shared" si="15"/>
        <v>'1618396846748564-4876885-05-01',</v>
      </c>
      <c r="B110" s="4" t="str">
        <f t="shared" si="16"/>
        <v>'1618396847092545-4877052-58-01',</v>
      </c>
      <c r="C110" s="15" t="s">
        <v>899</v>
      </c>
      <c r="D110" s="5" t="s">
        <v>895</v>
      </c>
      <c r="E110" s="5" t="s">
        <v>898</v>
      </c>
      <c r="F110" s="5" t="s">
        <v>902</v>
      </c>
      <c r="G110" s="29"/>
      <c r="H110" s="5"/>
      <c r="I110" s="22" t="s">
        <v>924</v>
      </c>
      <c r="J110" s="16"/>
      <c r="K110" s="31" t="s">
        <v>896</v>
      </c>
      <c r="L110" s="16" t="s">
        <v>289</v>
      </c>
      <c r="M110" s="16" t="s">
        <v>897</v>
      </c>
      <c r="N110" s="16" t="str">
        <f t="shared" si="17"/>
        <v>SELECT EXECUTION_TYPE,SERVICE_INTERCHANGE_ID,CIRCI_KEY,EXECUTION_STATE FROM CIFX.TB_SERVICE_EXECUTION_CONTROL WHERE SERVICE_EXECUTION_CONTROL_ID IN ('1618396846821266-4876895-13-01') AND EXECUTION_TYPE = 'STAGE1_EXECUTION';</v>
      </c>
      <c r="O110" s="7" t="str">
        <f t="shared" si="18"/>
        <v>發送異動通知電文給CIP回傳錯誤碼:UP0090_00_V201,錯誤碼訊息:必要性檢核錯誤,錯誤訊息:[檢查有誤，顧客ID已停用]</v>
      </c>
      <c r="P110" s="7" t="s">
        <v>892</v>
      </c>
      <c r="Q110" s="7" t="s">
        <v>162</v>
      </c>
      <c r="R110" s="7"/>
      <c r="S110" s="16" t="s">
        <v>299</v>
      </c>
      <c r="T110" s="4" t="s">
        <v>885</v>
      </c>
      <c r="U110" s="4" t="s">
        <v>17</v>
      </c>
      <c r="V110" s="4" t="s">
        <v>1</v>
      </c>
      <c r="W110" s="4"/>
      <c r="X110" s="4" t="s">
        <v>888</v>
      </c>
      <c r="Y110" s="4" t="s">
        <v>886</v>
      </c>
      <c r="Z110" s="4"/>
      <c r="AA110" s="37" t="s">
        <v>891</v>
      </c>
      <c r="AB110" s="4"/>
      <c r="AC110" s="4"/>
      <c r="AD110" s="4" t="s">
        <v>887</v>
      </c>
      <c r="AE110" s="32" t="s">
        <v>889</v>
      </c>
      <c r="AF110" s="4" t="s">
        <v>890</v>
      </c>
    </row>
    <row r="111" spans="1:32" x14ac:dyDescent="0.25">
      <c r="A111" s="4" t="str">
        <f t="shared" si="15"/>
        <v>'1619111086472234-6433214-65-02',</v>
      </c>
      <c r="B111" s="4" t="str">
        <f t="shared" si="16"/>
        <v>'1619111116981661-6422500-11-01',</v>
      </c>
      <c r="C111" s="15" t="s">
        <v>914</v>
      </c>
      <c r="D111" s="5" t="s">
        <v>909</v>
      </c>
      <c r="E111" s="5" t="s">
        <v>912</v>
      </c>
      <c r="F111" s="5" t="s">
        <v>1744</v>
      </c>
      <c r="G111" s="29"/>
      <c r="H111" s="5"/>
      <c r="I111" s="22" t="s">
        <v>925</v>
      </c>
      <c r="J111" s="16"/>
      <c r="K111" s="25"/>
      <c r="L111" s="16" t="s">
        <v>809</v>
      </c>
      <c r="M111" s="16" t="s">
        <v>910</v>
      </c>
      <c r="N111" s="16" t="str">
        <f t="shared" si="17"/>
        <v>SELECT EXECUTION_TYPE,SERVICE_INTERCHANGE_ID,CIRCI_KEY,EXECUTION_STATE FROM CIFX.TB_SERVICE_EXECUTION_CONTROL WHERE SERVICE_EXECUTION_CONTROL_ID IN ('1619111086846828-6443208-88-01') AND EXECUTION_TYPE = 'STAGE1_EXECUTION';</v>
      </c>
      <c r="O111" s="7" t="str">
        <f t="shared" si="18"/>
        <v>發送異動通知電文，未回傳resultCode!!,回傳代碼描述:,錯誤訊息:[]</v>
      </c>
      <c r="P111" s="7" t="str">
        <f t="shared" si="19"/>
        <v>請協助處理</v>
      </c>
      <c r="Q111" s="7"/>
      <c r="R111" s="7"/>
      <c r="S111" s="16"/>
      <c r="T111" s="4" t="s">
        <v>945</v>
      </c>
      <c r="U111" s="4" t="s">
        <v>17</v>
      </c>
      <c r="V111" s="4" t="s">
        <v>900</v>
      </c>
      <c r="W111" s="4"/>
      <c r="X111" s="4" t="s">
        <v>943</v>
      </c>
      <c r="Y111" s="4" t="s">
        <v>904</v>
      </c>
      <c r="Z111" s="4"/>
      <c r="AA111" s="37" t="s">
        <v>907</v>
      </c>
      <c r="AB111" s="4"/>
      <c r="AC111" s="4"/>
      <c r="AD111" s="4"/>
      <c r="AE111" s="4"/>
      <c r="AF111" s="4"/>
    </row>
    <row r="112" spans="1:32" x14ac:dyDescent="0.25">
      <c r="A112" s="4" t="str">
        <f t="shared" si="15"/>
        <v>'1619103649816116-6413384-24-01',</v>
      </c>
      <c r="B112" s="4" t="str">
        <f t="shared" si="16"/>
        <v>'1619103650245739-6424163-56-02',</v>
      </c>
      <c r="C112" s="15" t="s">
        <v>912</v>
      </c>
      <c r="D112" s="5" t="s">
        <v>903</v>
      </c>
      <c r="E112" s="5" t="s">
        <v>913</v>
      </c>
      <c r="F112" s="5" t="s">
        <v>917</v>
      </c>
      <c r="G112" s="29"/>
      <c r="H112" s="5"/>
      <c r="I112" s="22" t="s">
        <v>924</v>
      </c>
      <c r="J112" s="16"/>
      <c r="K112" s="25"/>
      <c r="L112" s="16" t="s">
        <v>289</v>
      </c>
      <c r="M112" s="16" t="s">
        <v>911</v>
      </c>
      <c r="N112" s="16" t="str">
        <f t="shared" si="17"/>
        <v>SELECT EXECUTION_TYPE,SERVICE_INTERCHANGE_ID,CIRCI_KEY,EXECUTION_STATE FROM CIFX.TB_SERVICE_EXECUTION_CONTROL WHERE SERVICE_EXECUTION_CONTROL_ID IN ('1619103649820583-6413384-29-01') AND EXECUTION_TYPE = 'STAGE1_EXECUTION';</v>
      </c>
      <c r="O112" s="7" t="str">
        <f t="shared" si="18"/>
        <v>發送ID改號電文給CIP回傳錯誤碼:UP0090_00_R101,錯誤碼訊息:存在驗證錯誤,錯誤訊息:[檢查有誤，顧客曾經執行過ID改號，將交由資料管家處理]</v>
      </c>
      <c r="P112" s="7" t="str">
        <f t="shared" si="19"/>
        <v>請協助處理</v>
      </c>
      <c r="Q112" s="7"/>
      <c r="R112" s="7"/>
      <c r="S112" s="16"/>
      <c r="T112" s="4" t="s">
        <v>901</v>
      </c>
      <c r="U112" s="4" t="s">
        <v>17</v>
      </c>
      <c r="V112" s="4" t="s">
        <v>18</v>
      </c>
      <c r="W112" s="4"/>
      <c r="X112" s="4" t="s">
        <v>905</v>
      </c>
      <c r="Y112" s="4" t="s">
        <v>906</v>
      </c>
      <c r="Z112" s="4"/>
      <c r="AA112" s="37" t="s">
        <v>908</v>
      </c>
      <c r="AB112" s="4"/>
      <c r="AC112" s="4"/>
      <c r="AD112" s="4"/>
      <c r="AE112" s="4"/>
      <c r="AF112" s="4"/>
    </row>
    <row r="113" spans="1:32" x14ac:dyDescent="0.25">
      <c r="A113" s="4" t="str">
        <f>"'"&amp;X113&amp;"',"</f>
        <v>'1619607600061828-7509153-31-01',</v>
      </c>
      <c r="B113" s="4" t="str">
        <f>"'"&amp;T113&amp;"',"</f>
        <v>'1619607631170038-7509032-87-01',</v>
      </c>
      <c r="C113" s="15" t="s">
        <v>1004</v>
      </c>
      <c r="D113" s="5" t="s">
        <v>1003</v>
      </c>
      <c r="E113" s="5" t="s">
        <v>1005</v>
      </c>
      <c r="F113" s="5" t="s">
        <v>3285</v>
      </c>
      <c r="G113" s="29"/>
      <c r="H113" s="5"/>
      <c r="I113" s="22" t="s">
        <v>1004</v>
      </c>
      <c r="J113" s="16"/>
      <c r="K113" s="25"/>
      <c r="L113" s="16" t="s">
        <v>809</v>
      </c>
      <c r="M113" s="16" t="s">
        <v>977</v>
      </c>
      <c r="N113" s="16" t="str">
        <f t="shared" si="17"/>
        <v>SELECT EXECUTION_TYPE,SERVICE_INTERCHANGE_ID,CIRCI_KEY,EXECUTION_STATE FROM CIFX.TB_SERVICE_EXECUTION_CONTROL WHERE SERVICE_EXECUTION_CONTROL_ID IN ('1619607600940424-7508693-02-01') AND EXECUTION_TYPE = 'STAGE1_EXECUTION';</v>
      </c>
      <c r="O113" s="7" t="str">
        <f>IF(V113&lt;&gt;"",V113,"")</f>
        <v>發送異動通知電文，未回傳resultCode!!,回傳代碼描述:,錯誤訊息:[]</v>
      </c>
      <c r="P113" s="7" t="str">
        <f>IF(O113="","","請協助處理")</f>
        <v>請協助處理</v>
      </c>
      <c r="Q113" s="7"/>
      <c r="R113" s="7"/>
      <c r="S113" s="16"/>
      <c r="T113" s="4" t="s">
        <v>1013</v>
      </c>
      <c r="U113" s="4" t="s">
        <v>976</v>
      </c>
      <c r="V113" s="4" t="s">
        <v>900</v>
      </c>
      <c r="W113" s="4"/>
      <c r="X113" s="4" t="s">
        <v>1012</v>
      </c>
      <c r="Y113" s="4" t="s">
        <v>975</v>
      </c>
      <c r="Z113" s="4"/>
      <c r="AA113" s="37" t="s">
        <v>965</v>
      </c>
      <c r="AB113" s="4"/>
      <c r="AC113" s="4"/>
      <c r="AD113" s="4"/>
      <c r="AE113" s="4"/>
      <c r="AF113" s="4"/>
    </row>
    <row r="114" spans="1:32" x14ac:dyDescent="0.25">
      <c r="A114" s="4" t="str">
        <f t="shared" si="15"/>
        <v>'1619520305256745-7301857-70-01',</v>
      </c>
      <c r="B114" s="4" t="str">
        <f t="shared" si="16"/>
        <v>'1619520335510335-7310551-35-02',</v>
      </c>
      <c r="C114" s="15" t="s">
        <v>946</v>
      </c>
      <c r="D114" s="5" t="s">
        <v>978</v>
      </c>
      <c r="E114" s="5" t="s">
        <v>966</v>
      </c>
      <c r="F114" s="5" t="s">
        <v>1745</v>
      </c>
      <c r="G114" s="29"/>
      <c r="H114" s="5"/>
      <c r="I114" s="22" t="s">
        <v>925</v>
      </c>
      <c r="J114" s="16"/>
      <c r="K114" s="25"/>
      <c r="L114" s="16" t="s">
        <v>809</v>
      </c>
      <c r="M114" s="16" t="str">
        <f>IF($L114&lt;&gt;"",IF($L114="清除同步失敗註記","UPDATE CIFX.TB_SERVICE_EXECUTION_CONTROL SET EXECUTION_STATE = "&amp;"'"&amp;"EXECUTED"&amp;"'"&amp;", ap_server_EXECUTING = NULL WHERE SERVICE_EXECUTION_CONTROL_ID IN ("&amp;"'"&amp;$Y114&amp;"'"&amp;") and execution_type = "&amp;"'"&amp;"STAGE1_EXECUTION"&amp;"';"&amp;"",IF($L114="重送CIP電文","UPDATE CIFX.TB_SERVICE_EXECUTION_CONTROL SET EXECUTION_STATE = "&amp;"'"&amp;"TO_EXECUTE"&amp;"'"&amp;",RESULT_CODE = NULL,EXECUTING_TIMESTAMP = null,EXECUTED_TIMESTAMP = null,ap_server_EXECUTING = NULL WHERE SERVICE_EXECUTION_CONTROL_ID IN ("&amp;"'"&amp;$Y114&amp;"'"&amp;") AND EXECUTION_TYPE = "&amp;"'"&amp;"STAGE1_EXECUTION"&amp;"'"&amp;";","沒有對應")),"")</f>
        <v>UPDATE CIFX.TB_SERVICE_EXECUTION_CONTROL SET EXECUTION_STATE = 'TO_EXECUTE',RESULT_CODE = NULL,EXECUTING_TIMESTAMP = null,EXECUTED_TIMESTAMP = null,ap_server_EXECUTING = NULL WHERE SERVICE_EXECUTION_CONTROL_ID IN ('1619520305260186-7301857-72-01') AND EXECUTION_TYPE = 'STAGE1_EXECUTION';</v>
      </c>
      <c r="N114" s="16" t="str">
        <f t="shared" si="17"/>
        <v>SELECT EXECUTION_TYPE,SERVICE_INTERCHANGE_ID,CIRCI_KEY,EXECUTION_STATE FROM CIFX.TB_SERVICE_EXECUTION_CONTROL WHERE SERVICE_EXECUTION_CONTROL_ID IN ('1619520305260186-7301857-72-01') AND EXECUTION_TYPE = 'STAGE1_EXECUTION';</v>
      </c>
      <c r="O114" s="7" t="str">
        <f t="shared" si="18"/>
        <v>發送異動通知電文，未回傳resultCode!!,回傳代碼描述:,錯誤訊息:[]</v>
      </c>
      <c r="P114" s="7" t="str">
        <f t="shared" si="19"/>
        <v>請協助處理</v>
      </c>
      <c r="Q114" s="7"/>
      <c r="R114" s="7"/>
      <c r="S114" s="16"/>
      <c r="T114" s="4" t="s">
        <v>940</v>
      </c>
      <c r="U114" s="4" t="s">
        <v>17</v>
      </c>
      <c r="V114" s="4" t="s">
        <v>938</v>
      </c>
      <c r="W114" s="4"/>
      <c r="X114" s="4" t="s">
        <v>915</v>
      </c>
      <c r="Y114" s="4" t="s">
        <v>944</v>
      </c>
      <c r="Z114" s="4"/>
      <c r="AA114" s="37" t="s">
        <v>918</v>
      </c>
      <c r="AB114" s="4"/>
      <c r="AC114" s="4"/>
      <c r="AD114" s="4" t="s">
        <v>916</v>
      </c>
      <c r="AE114" s="4"/>
      <c r="AF114" s="4"/>
    </row>
    <row r="115" spans="1:32" x14ac:dyDescent="0.25">
      <c r="A115" s="4" t="s">
        <v>952</v>
      </c>
      <c r="B115" s="4" t="s">
        <v>953</v>
      </c>
      <c r="C115" s="56" t="s">
        <v>967</v>
      </c>
      <c r="D115" s="53" t="s">
        <v>957</v>
      </c>
      <c r="E115" s="50" t="s">
        <v>964</v>
      </c>
      <c r="F115" s="5"/>
      <c r="G115" s="29"/>
      <c r="H115" s="5"/>
      <c r="I115" s="22" t="s">
        <v>966</v>
      </c>
      <c r="J115" s="16"/>
      <c r="K115" s="25"/>
      <c r="L115" s="16" t="s">
        <v>289</v>
      </c>
      <c r="M115" s="16" t="str">
        <f>IF($L115&lt;&gt;"",IF($L115="清除同步失敗註記","UPDATE CIFX.TB_SERVICE_EXECUTION_CONTROL SET EXECUTION_STATE = "&amp;"'"&amp;"EXECUTED"&amp;"'"&amp;", ap_server_EXECUTING = NULL WHERE SERVICE_EXECUTION_CONTROL_ID IN ("&amp;"'"&amp;$Y115&amp;"'"&amp;") and execution_type = "&amp;"'"&amp;"STAGE1_EXECUTION"&amp;"';"&amp;"",IF($L115="重送CIP電文","UPDATE CIFX.TB_SERVICE_EXECUTION_CONTROL SET EXECUTION_STATE = "&amp;"'"&amp;"TO_EXECUTE"&amp;"'"&amp;",RESULT_CODE = NULL,EXECUTING_TIMESTAMP = null,EXECUTED_TIMESTAMP = null,ap_server_EXECUTING = NULL WHERE SERVICE_EXECUTION_CONTROL_ID IN ("&amp;"'"&amp;$Y115&amp;"'"&amp;") AND EXECUTION_TYPE = "&amp;"'"&amp;"STAGE1_EXECUTION"&amp;"'"&amp;";","沒有對應")),"")</f>
        <v>UPDATE CIFX.TB_SERVICE_EXECUTION_CONTROL SET EXECUTION_STATE = 'EXECUTED', ap_server_EXECUTING = NULL WHERE SERVICE_EXECUTION_CONTROL_ID IN ('1619611495131932-7523380-05-01') and execution_type = 'STAGE1_EXECUTION';</v>
      </c>
      <c r="N115" s="16" t="str">
        <f t="shared" si="17"/>
        <v>SELECT EXECUTION_TYPE,SERVICE_INTERCHANGE_ID,CIRCI_KEY,EXECUTION_STATE FROM CIFX.TB_SERVICE_EXECUTION_CONTROL WHERE SERVICE_EXECUTION_CONTROL_ID IN ('1619611495131932-7523380-05-01') AND EXECUTION_TYPE = 'STAGE1_EXECUTION';</v>
      </c>
      <c r="O115" s="7" t="s">
        <v>929</v>
      </c>
      <c r="P115" s="7" t="s">
        <v>954</v>
      </c>
      <c r="Q115" s="7"/>
      <c r="R115" s="7"/>
      <c r="S115" s="16"/>
      <c r="T115" s="4" t="s">
        <v>955</v>
      </c>
      <c r="U115" s="4" t="s">
        <v>17</v>
      </c>
      <c r="V115" s="4" t="s">
        <v>929</v>
      </c>
      <c r="W115" s="4"/>
      <c r="X115" s="4" t="s">
        <v>959</v>
      </c>
      <c r="Y115" s="4" t="s">
        <v>930</v>
      </c>
      <c r="Z115" s="4"/>
      <c r="AA115" s="37" t="s">
        <v>958</v>
      </c>
      <c r="AB115" s="4"/>
      <c r="AC115" s="4"/>
      <c r="AD115" s="4" t="s">
        <v>931</v>
      </c>
      <c r="AE115" s="4"/>
      <c r="AF115" s="4"/>
    </row>
    <row r="116" spans="1:32" x14ac:dyDescent="0.25">
      <c r="A116" s="4" t="str">
        <f t="shared" si="15"/>
        <v>'1619603957654971-7505004-82-01',</v>
      </c>
      <c r="B116" s="4" t="str">
        <f t="shared" si="16"/>
        <v>'1619603958990952-7496014-64-02',</v>
      </c>
      <c r="C116" s="57"/>
      <c r="D116" s="54"/>
      <c r="E116" s="51"/>
      <c r="F116" s="5"/>
      <c r="G116" s="29"/>
      <c r="H116" s="5"/>
      <c r="I116" s="22" t="s">
        <v>966</v>
      </c>
      <c r="J116" s="16"/>
      <c r="K116" s="25"/>
      <c r="L116" s="16" t="s">
        <v>289</v>
      </c>
      <c r="M116" s="16" t="str">
        <f>IF($L116&lt;&gt;"",IF($L116="清除同步失敗註記","UPDATE CIFX.TB_SERVICE_EXECUTION_CONTROL SET EXECUTION_STATE = "&amp;"'"&amp;"EXECUTED"&amp;"'"&amp;", ap_server_EXECUTING = NULL WHERE SERVICE_EXECUTION_CONTROL_ID IN ("&amp;"'"&amp;$Y116&amp;"'"&amp;") and execution_type = "&amp;"'"&amp;"STAGE1_EXECUTION"&amp;"';"&amp;"",IF($L116="重送CIP電文","UPDATE CIFX.TB_SERVICE_EXECUTION_CONTROL SET EXECUTION_STATE = "&amp;"'"&amp;"TO_EXECUTE"&amp;"'"&amp;",RESULT_CODE = NULL,EXECUTING_TIMESTAMP = null,EXECUTED_TIMESTAMP = null,ap_server_EXECUTING = NULL WHERE SERVICE_EXECUTION_CONTROL_ID IN ("&amp;"'"&amp;$Y116&amp;"'"&amp;") AND EXECUTION_TYPE = "&amp;"'"&amp;"STAGE1_EXECUTION"&amp;"'"&amp;";","沒有對應")),"")</f>
        <v>UPDATE CIFX.TB_SERVICE_EXECUTION_CONTROL SET EXECUTION_STATE = 'EXECUTED', ap_server_EXECUTING = NULL WHERE SERVICE_EXECUTION_CONTROL_ID IN ('1619603958332387-7495720-73-02') and execution_type = 'STAGE1_EXECUTION';</v>
      </c>
      <c r="N116" s="16" t="str">
        <f t="shared" si="17"/>
        <v>SELECT EXECUTION_TYPE,SERVICE_INTERCHANGE_ID,CIRCI_KEY,EXECUTION_STATE FROM CIFX.TB_SERVICE_EXECUTION_CONTROL WHERE SERVICE_EXECUTION_CONTROL_ID IN ('1619603958332387-7495720-73-02') AND EXECUTION_TYPE = 'STAGE1_EXECUTION';</v>
      </c>
      <c r="O116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funcId=01, custName=null, companyEstablishDate=null, circiKey=A210205547, creditCardKey=null, certNo=A210205547, certDate=Fri Aug 02 00:00:00 GMT+08:00 1957,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[custId=788073, custType=P, certTypeCode=00, partyKind=P, oldRestart=false, customerTag=CustomerTag [custId=788073, custType=P, removalPredicate=null, removalSystemCode=null, refToCustId=0, refDatetime=null, disabledDatetime=null, identityCertTypeCode=00, disabled=null, disabledSystemCode=null], idChangeState=null, creditCardKey=A210205547, circiKey=A210205547, birthDay=1957-08-02 00:00:00.0]；ServiceInterchange:ServiceInterchange [serviceInterchangeId=1619603958706341862, serviceInterchangeTime=Wed Apr 28 09:59:18 GMT+08:00 2021, msgNo=TS0116_00_20210428095918_96581, serviceName=CATEGORY_002, operationName=writeCustomerInfo, txnCode=01, txnTime=Wed Apr 28 09:59:17 GMT+08:00 2021, senderCode=TS0116_00, receiverCode=UP0090_00, operatorCode=ZZ, unitCode=9004, authorizerCode=null, serviceResponse=null, queryResponseLineitems=[]], Exception : ]</v>
      </c>
      <c r="P116" s="7" t="str">
        <f t="shared" si="19"/>
        <v>請協助處理</v>
      </c>
      <c r="Q116" s="7" t="s">
        <v>162</v>
      </c>
      <c r="R116" s="7"/>
      <c r="S116" s="16" t="s">
        <v>299</v>
      </c>
      <c r="T116" s="4" t="s">
        <v>941</v>
      </c>
      <c r="U116" s="4" t="s">
        <v>17</v>
      </c>
      <c r="V116" s="4" t="s">
        <v>939</v>
      </c>
      <c r="W116" s="4"/>
      <c r="X116" s="4" t="s">
        <v>960</v>
      </c>
      <c r="Y116" s="4" t="s">
        <v>920</v>
      </c>
      <c r="Z116" s="4"/>
      <c r="AA116" s="37" t="s">
        <v>919</v>
      </c>
      <c r="AB116" s="4"/>
      <c r="AC116" s="4"/>
      <c r="AD116" s="4" t="s">
        <v>921</v>
      </c>
      <c r="AE116" s="4" t="s">
        <v>922</v>
      </c>
      <c r="AF116" s="4" t="s">
        <v>923</v>
      </c>
    </row>
    <row r="117" spans="1:32" x14ac:dyDescent="0.25">
      <c r="A117" s="4" t="str">
        <f t="shared" si="15"/>
        <v>'1619608900327087-7501886-49-02',</v>
      </c>
      <c r="B117" s="4" t="str">
        <f t="shared" si="16"/>
        <v>'1619608901421261-7510080-55-01',</v>
      </c>
      <c r="C117" s="57"/>
      <c r="D117" s="54"/>
      <c r="E117" s="51"/>
      <c r="F117" s="5"/>
      <c r="G117" s="29"/>
      <c r="H117" s="5"/>
      <c r="I117" s="22" t="s">
        <v>966</v>
      </c>
      <c r="J117" s="16"/>
      <c r="K117" s="25"/>
      <c r="L117" s="16" t="s">
        <v>289</v>
      </c>
      <c r="M117" s="16" t="str">
        <f>IF($L117&lt;&gt;"",IF($L117="清除同步失敗註記","UPDATE CIFX.TB_SERVICE_EXECUTION_CONTROL SET EXECUTION_STATE = "&amp;"'"&amp;"EXECUTED"&amp;"'"&amp;", ap_server_EXECUTING = NULL WHERE SERVICE_EXECUTION_CONTROL_ID IN ("&amp;"'"&amp;$Y117&amp;"'"&amp;") and execution_type = "&amp;"'"&amp;"STAGE1_EXECUTION"&amp;"';"&amp;"",IF($L117="重送CIP電文","UPDATE CIFX.TB_SERVICE_EXECUTION_CONTROL SET EXECUTION_STATE = "&amp;"'"&amp;"TO_EXECUTE"&amp;"'"&amp;",RESULT_CODE = NULL,EXECUTING_TIMESTAMP = null,EXECUTED_TIMESTAMP = null,ap_server_EXECUTING = NULL WHERE SERVICE_EXECUTION_CONTROL_ID IN ("&amp;"'"&amp;$Y117&amp;"'"&amp;") AND EXECUTION_TYPE = "&amp;"'"&amp;"STAGE1_EXECUTION"&amp;"'"&amp;";","沒有對應")),"")</f>
        <v>UPDATE CIFX.TB_SERVICE_EXECUTION_CONTROL SET EXECUTION_STATE = 'EXECUTED', ap_server_EXECUTING = NULL WHERE SERVICE_EXECUTION_CONTROL_ID IN ('1619608900847869-7501007-95-02') and execution_type = 'STAGE1_EXECUTION';</v>
      </c>
      <c r="N117" s="16" t="str">
        <f t="shared" si="17"/>
        <v>SELECT EXECUTION_TYPE,SERVICE_INTERCHANGE_ID,CIRCI_KEY,EXECUTION_STATE FROM CIFX.TB_SERVICE_EXECUTION_CONTROL WHERE SERVICE_EXECUTION_CONTROL_ID IN ('1619608900847869-7501007-95-02') AND EXECUTION_TYPE = 'STAGE1_EXECUTION';</v>
      </c>
      <c r="O117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[serviceInterchangeId=1619608900987195072, serviceInterchangeTime=Wed Apr 28 11:21:40 GMT+08:00 2021, msgNo=TS0116_00_20210428112140_76612, serviceName=CATEGORY_002, operationName=writeCustomerInfo, txnCode=01, txnTime=Wed Apr 28 11:21:40 GMT+08:00 2021, senderCode=TS0116_00, receiverCode=UP0090_00, operatorCode=ZZ, unitCode=9004, authorizerCode=null, serviceResponse=null, queryResponseLineitems=[]], funcId=01, custName=null, companyEstablishDate=null, circiKey=F226340927, creditCardKey=null, certNo=F226340927, certDate=Fri May 23 00:00:00 GMT+08:00 1986,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[custId=3439457, custType=P, certTypeCode=00, partyKind=P, oldRestart=false, customerTag=CustomerTag [custId=3439457, custType=P, removalPredicate=null, removalSystemCode=null, refToCustId=0, refDatetime=null, disabledDatetime=null, identityCertTypeCode=00, disabled=null, disabledSystemCode=null], idChangeState=null, creditCardKey=F226340927, circiKey=F226340927, birthDay=1986-05-23 00:00:00.0]；ServiceInterchange:ServiceInterchange [serviceInterchangeId=1619608900987195072, serviceInterchangeTime=Wed Apr 28 11:21:40 GMT+08:00 2021, msgNo=TS0116_00_20210428112140_76612, serviceName=CATEGORY_002, operationName=writeCustomerInfo, txnCode=01, txnTime=Wed Apr 28 11:21:40 GMT+08:00 2021, senderCode=TS0116_00, receiverCode=UP0090_00, operatorCode=ZZ, unitCode=9004, authorizerCode=null, serviceResponse=null, queryResponseLineitems=[]], Exception : ]</v>
      </c>
      <c r="P117" s="7" t="str">
        <f t="shared" si="19"/>
        <v>請協助處理</v>
      </c>
      <c r="Q117" s="7"/>
      <c r="R117" s="7"/>
      <c r="S117" s="16"/>
      <c r="T117" s="4" t="s">
        <v>963</v>
      </c>
      <c r="U117" s="4" t="s">
        <v>17</v>
      </c>
      <c r="V117" s="4" t="s">
        <v>927</v>
      </c>
      <c r="W117" s="4"/>
      <c r="X117" s="4" t="s">
        <v>961</v>
      </c>
      <c r="Y117" s="4" t="s">
        <v>936</v>
      </c>
      <c r="Z117" s="4"/>
      <c r="AA117" s="37" t="s">
        <v>935</v>
      </c>
      <c r="AB117" s="4"/>
      <c r="AC117" s="4"/>
      <c r="AD117" s="4" t="s">
        <v>937</v>
      </c>
      <c r="AE117" s="4"/>
      <c r="AF117" s="4"/>
    </row>
    <row r="118" spans="1:32" x14ac:dyDescent="0.25">
      <c r="A118" s="4" t="str">
        <f t="shared" si="15"/>
        <v>'1619608069752551-7500427-99-02',</v>
      </c>
      <c r="B118" s="4" t="str">
        <f t="shared" si="16"/>
        <v>'1619608070839838-7509271-28-01',</v>
      </c>
      <c r="C118" s="57"/>
      <c r="D118" s="54"/>
      <c r="E118" s="51"/>
      <c r="F118" s="5"/>
      <c r="G118" s="29"/>
      <c r="H118" s="5"/>
      <c r="I118" s="22" t="s">
        <v>967</v>
      </c>
      <c r="J118" s="16"/>
      <c r="K118" s="25"/>
      <c r="L118" s="16" t="s">
        <v>289</v>
      </c>
      <c r="M118" s="16" t="s">
        <v>1026</v>
      </c>
      <c r="N118" s="16" t="str">
        <f t="shared" si="17"/>
        <v>SELECT EXECUTION_TYPE,SERVICE_INTERCHANGE_ID,CIRCI_KEY,EXECUTION_STATE FROM CIFX.TB_SERVICE_EXECUTION_CONTROL WHERE SERVICE_EXECUTION_CONTROL_ID IN ('1619608070240476-7500403-57-02') AND EXECUTION_TYPE = 'STAGE1_EXECUTION';</v>
      </c>
      <c r="O118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funcId=01, custName=null, companyEstablishDate=null, circiKey=F120629221, creditCardKey=null, certNo=F120629221, certDate=Fri Oct 30 00:00:00 GMT+08:00 1970,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[custId=2653393, custType=P, certTypeCode=00, partyKind=P, oldRestart=false, customerTag=CustomerTag [custId=2653393, custType=P, removalPredicate=null, removalSystemCode=null, refToCustId=0, refDatetime=null, disabledDatetime=null, identityCertTypeCode=00, disabled=null, disabledSystemCode=null], idChangeState=null, creditCardKey=F120629221, circiKey=F120629221, birthDay=1970-10-30 00:00:00.0]；ServiceInterchange:ServiceInterchange [serviceInterchangeId=1619608070421701121, serviceInterchangeTime=Wed Apr 28 11:07:50 GMT+08:00 2021, msgNo=TS0116_00_20210428110750_78981, serviceName=CATEGORY_002, operationName=writeCustomerInfo, txnCode=01, txnTime=Wed Apr 28 11:07:49 GMT+08:00 2021, senderCode=TS0116_00, receiverCode=UP0090_00, operatorCode=ZZ, unitCode=9004, authorizerCode=null, serviceResponse=null, queryResponseLineitems=[]], Exception : ]</v>
      </c>
      <c r="P118" s="7" t="str">
        <f t="shared" si="19"/>
        <v>請協助處理</v>
      </c>
      <c r="Q118" s="7"/>
      <c r="R118" s="7"/>
      <c r="S118" s="16"/>
      <c r="T118" s="4" t="s">
        <v>942</v>
      </c>
      <c r="U118" s="4" t="s">
        <v>17</v>
      </c>
      <c r="V118" s="4" t="s">
        <v>928</v>
      </c>
      <c r="W118" s="4"/>
      <c r="X118" s="4" t="s">
        <v>962</v>
      </c>
      <c r="Y118" s="4" t="s">
        <v>933</v>
      </c>
      <c r="Z118" s="4"/>
      <c r="AA118" s="37" t="s">
        <v>932</v>
      </c>
      <c r="AB118" s="4"/>
      <c r="AC118" s="4"/>
      <c r="AD118" s="4" t="s">
        <v>934</v>
      </c>
      <c r="AE118" s="4"/>
      <c r="AF118" s="4"/>
    </row>
    <row r="119" spans="1:32" x14ac:dyDescent="0.25">
      <c r="A119" s="4" t="str">
        <f t="shared" si="15"/>
        <v>'1619615335227700-7518832-94-02',</v>
      </c>
      <c r="B119" s="4" t="str">
        <f t="shared" si="16"/>
        <v>'1619615337619480-7518556-19-02',</v>
      </c>
      <c r="C119" s="58"/>
      <c r="D119" s="55"/>
      <c r="E119" s="52"/>
      <c r="F119" s="5"/>
      <c r="G119" s="29"/>
      <c r="H119" s="5"/>
      <c r="I119" s="22" t="s">
        <v>968</v>
      </c>
      <c r="J119" s="16"/>
      <c r="K119" s="25"/>
      <c r="L119" s="16" t="s">
        <v>289</v>
      </c>
      <c r="M119" s="16" t="str">
        <f>IF($L119&lt;&gt;"",IF($L119="清除同步失敗註記","UPDATE CIFX.TB_SERVICE_EXECUTION_CONTROL SET EXECUTION_STATE = "&amp;"'"&amp;"EXECUTED"&amp;"'"&amp;", ap_server_EXECUTING = NULL WHERE SERVICE_EXECUTION_CONTROL_ID IN ("&amp;"'"&amp;$Y119&amp;"'"&amp;") and execution_type = "&amp;"'"&amp;"STAGE1_EXECUTION"&amp;"';"&amp;"",IF($L119="重送CIP電文","UPDATE CIFX.TB_SERVICE_EXECUTION_CONTROL SET EXECUTION_STATE = "&amp;"'"&amp;"TO_EXECUTE"&amp;"'"&amp;",RESULT_CODE = NULL,EXECUTING_TIMESTAMP = null,EXECUTED_TIMESTAMP = null,ap_server_EXECUTING = NULL WHERE SERVICE_EXECUTION_CONTROL_ID IN ("&amp;"'"&amp;$Y119&amp;"'"&amp;") AND EXECUTION_TYPE = "&amp;"'"&amp;"STAGE1_EXECUTION"&amp;"'"&amp;";","沒有對應")),"")</f>
        <v>UPDATE CIFX.TB_SERVICE_EXECUTION_CONTROL SET EXECUTION_STATE = 'EXECUTED', ap_server_EXECUTING = NULL WHERE SERVICE_EXECUTION_CONTROL_ID IN ('1619615336130725-7518828-94-02') and execution_type = 'STAGE1_EXECUTION';</v>
      </c>
      <c r="N119" s="16" t="str">
        <f t="shared" si="17"/>
        <v>SELECT EXECUTION_TYPE,SERVICE_INTERCHANGE_ID,CIRCI_KEY,EXECUTION_STATE FROM CIFX.TB_SERVICE_EXECUTION_CONTROL WHERE SERVICE_EXECUTION_CONTROL_ID IN ('1619615336130725-7518828-94-02') AND EXECUTION_TYPE = 'STAGE1_EXECUTION';</v>
      </c>
      <c r="O119" s="7" t="str">
        <f t="shared" si="18"/>
        <v>發送異動通知電文給CIP回傳錯誤碼:UP0090_00_E301,錯誤碼訊息:服務執行期錯誤,錯誤訊息:[顧客識別寫入CI發生錯誤。ChangeRequest:ChangeRequest [serviceInterchange=ServiceInterchange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funcId=01, custName=null, companyEstablishDate=null, circiKey=H201897141, creditCardKey=null, certNo=H201897141, certDate=Fri Jun 19 00:00:00 GMT+08:00 1959,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goldenRecordItemContent=[C6]]], custType=null, relationRemoval=false]；CustCipIdentity:CustCipIdentity [custId=4105884, custType=P, certTypeCode=00, partyKind=P, oldRestart=false, customerTag=CustomerTag [custId=4105884, custType=P, removalPredicate=null, removalSystemCode=null, refToCustId=0, refDatetime=null, disabledDatetime=null, identityCertTypeCode=00, disabled=null, disabledSystemCode=null], idChangeState=null, creditCardKey=H201897141, circiKey=H201897141, birthDay=1959-06-19 00:00:00.0]；ServiceInterchange:ServiceInterchange [serviceInterchangeId=1619615336240496631, serviceInterchangeTime=Wed Apr 28 13:08:56 GMT+08:00 2021, msgNo=TS0116_00_20210428130856_26161, serviceName=CATEGORY_002, operationName=writeCustomerInfo, txnCode=01, txnTime=Wed Apr 28 13:08:55 GMT+08:00 2021, senderCode=TS0116_00, receiverCode=UP0090_00, operatorCode=ZZ, unitCode=9004, authorizerCode=null, serviceResponse=null, queryResponseLineitems=[]], Exception : ]</v>
      </c>
      <c r="P119" s="7" t="str">
        <f t="shared" si="19"/>
        <v>請協助處理</v>
      </c>
      <c r="Q119" s="7"/>
      <c r="R119" s="7"/>
      <c r="S119" s="16"/>
      <c r="T119" s="4" t="s">
        <v>948</v>
      </c>
      <c r="U119" s="4" t="s">
        <v>17</v>
      </c>
      <c r="V119" s="4" t="s">
        <v>947</v>
      </c>
      <c r="W119" s="4"/>
      <c r="X119" s="4" t="s">
        <v>956</v>
      </c>
      <c r="Y119" s="4" t="s">
        <v>950</v>
      </c>
      <c r="Z119" s="4"/>
      <c r="AA119" s="37" t="s">
        <v>949</v>
      </c>
      <c r="AB119" s="4"/>
      <c r="AC119" s="4"/>
      <c r="AD119" s="4" t="s">
        <v>951</v>
      </c>
      <c r="AE119" s="4"/>
      <c r="AF119" s="4"/>
    </row>
    <row r="120" spans="1:32" ht="33" x14ac:dyDescent="0.25">
      <c r="A120" s="4" t="str">
        <f t="shared" si="15"/>
        <v>'1620053198142531-8464629-36-02',</v>
      </c>
      <c r="B120" s="4" t="str">
        <f t="shared" si="16"/>
        <v>'1620053198399418-8456969-94-01',</v>
      </c>
      <c r="C120" s="15" t="s">
        <v>1066</v>
      </c>
      <c r="D120" s="5" t="s">
        <v>1002</v>
      </c>
      <c r="E120" s="5" t="s">
        <v>1064</v>
      </c>
      <c r="F120" s="5" t="s">
        <v>1067</v>
      </c>
      <c r="G120" s="29" t="s">
        <v>1040</v>
      </c>
      <c r="H120" s="5"/>
      <c r="I120" s="22" t="s">
        <v>1065</v>
      </c>
      <c r="J120" s="16"/>
      <c r="K120" s="34" t="s">
        <v>1020</v>
      </c>
      <c r="L120" s="16" t="s">
        <v>289</v>
      </c>
      <c r="M120" s="16" t="s">
        <v>1037</v>
      </c>
      <c r="N120" s="16" t="str">
        <f t="shared" si="17"/>
        <v>SELECT EXECUTION_TYPE,SERVICE_INTERCHANGE_ID,CIRCI_KEY,EXECUTION_STATE FROM CIFX.TB_SERVICE_EXECUTION_CONTROL WHERE SERVICE_EXECUTION_CONTROL_ID IN ('1620053198167815-8464629-61-02') AND EXECUTION_TYPE = 'STAGE1_EXECUTION';</v>
      </c>
      <c r="O120" s="7" t="str">
        <f t="shared" si="18"/>
        <v>發送異動通知電文給CIP回傳錯誤碼:UP0090_00_V201,錯誤碼訊息:必要性檢核錯誤,錯誤訊息:[CIP顧客識別取號:當系統為TS0116_00時顧客姓名不可為空值]</v>
      </c>
      <c r="P120" s="7" t="str">
        <f t="shared" si="19"/>
        <v>請協助處理</v>
      </c>
      <c r="Q120" s="7" t="s">
        <v>162</v>
      </c>
      <c r="R120" s="7"/>
      <c r="S120" s="16" t="s">
        <v>299</v>
      </c>
      <c r="T120" s="4" t="s">
        <v>969</v>
      </c>
      <c r="U120" s="4" t="s">
        <v>17</v>
      </c>
      <c r="V120" s="4" t="s">
        <v>67</v>
      </c>
      <c r="W120" s="4"/>
      <c r="X120" s="4" t="s">
        <v>970</v>
      </c>
      <c r="Y120" s="4" t="s">
        <v>1035</v>
      </c>
      <c r="Z120" s="4"/>
      <c r="AA120" s="37" t="s">
        <v>972</v>
      </c>
      <c r="AB120" s="4"/>
      <c r="AC120" s="4"/>
      <c r="AD120" s="4" t="s">
        <v>971</v>
      </c>
      <c r="AE120" s="4" t="s">
        <v>973</v>
      </c>
      <c r="AF120" s="4" t="s">
        <v>974</v>
      </c>
    </row>
    <row r="121" spans="1:32" ht="49.5" x14ac:dyDescent="0.25">
      <c r="A121" s="4" t="str">
        <f t="shared" si="15"/>
        <v>'1620124311104340-8614522-30-01',</v>
      </c>
      <c r="B121" s="4" t="str">
        <f t="shared" si="16"/>
        <v>'1620124312597924-8615595-94-01',</v>
      </c>
      <c r="C121" s="15" t="s">
        <v>1066</v>
      </c>
      <c r="D121" s="5" t="s">
        <v>986</v>
      </c>
      <c r="E121" s="5" t="s">
        <v>1065</v>
      </c>
      <c r="F121" s="5" t="s">
        <v>1039</v>
      </c>
      <c r="G121" s="29" t="s">
        <v>1019</v>
      </c>
      <c r="H121" s="5"/>
      <c r="I121" s="22" t="s">
        <v>1066</v>
      </c>
      <c r="J121" s="16"/>
      <c r="K121" s="34" t="s">
        <v>1020</v>
      </c>
      <c r="L121" s="16" t="s">
        <v>289</v>
      </c>
      <c r="M121" s="16" t="s">
        <v>1038</v>
      </c>
      <c r="N121" s="16" t="str">
        <f t="shared" si="17"/>
        <v>SELECT EXECUTION_TYPE,SERVICE_INTERCHANGE_ID,CIRCI_KEY,EXECUTION_STATE FROM CIFX.TB_SERVICE_EXECUTION_CONTROL WHERE SERVICE_EXECUTION_CONTROL_ID IN ('1620124311129240-8614522-95-01') AND EXECUTION_TYPE = 'STAGE1_EXECUTION';</v>
      </c>
      <c r="O121" s="7" t="str">
        <f t="shared" si="18"/>
        <v>發送ID改號電文給CIP回傳錯誤碼:UP0090_00_R101,錯誤碼訊息:存在驗證錯誤,錯誤訊息:[ID改號作業-&gt;CIF改號作業-&gt;&lt;檢查有誤，查無符合(改號前)銀行歸戶統編(M22018781A)顧客&gt;]</v>
      </c>
      <c r="P121" s="7" t="str">
        <f t="shared" si="19"/>
        <v>請協助處理</v>
      </c>
      <c r="Q121" s="7" t="s">
        <v>162</v>
      </c>
      <c r="R121" s="7"/>
      <c r="S121" s="16" t="s">
        <v>299</v>
      </c>
      <c r="T121" s="4" t="s">
        <v>980</v>
      </c>
      <c r="U121" s="4" t="s">
        <v>17</v>
      </c>
      <c r="V121" s="4" t="s">
        <v>979</v>
      </c>
      <c r="W121" s="4"/>
      <c r="X121" s="4" t="s">
        <v>981</v>
      </c>
      <c r="Y121" s="4" t="s">
        <v>1036</v>
      </c>
      <c r="Z121" s="4"/>
      <c r="AA121" s="37" t="s">
        <v>983</v>
      </c>
      <c r="AB121" s="4"/>
      <c r="AC121" s="4"/>
      <c r="AD121" s="4" t="s">
        <v>982</v>
      </c>
      <c r="AE121" s="32" t="s">
        <v>984</v>
      </c>
      <c r="AF121" s="4" t="s">
        <v>985</v>
      </c>
    </row>
    <row r="122" spans="1:32" ht="33" x14ac:dyDescent="0.25">
      <c r="A122" s="4" t="str">
        <f t="shared" si="15"/>
        <v>'1620226642774959-8839390-81-01',</v>
      </c>
      <c r="B122" s="4" t="str">
        <f t="shared" si="16"/>
        <v>'1620226643274903-8844802-23-02',</v>
      </c>
      <c r="C122" s="15" t="s">
        <v>62</v>
      </c>
      <c r="D122" s="5" t="s">
        <v>995</v>
      </c>
      <c r="E122" s="5" t="s">
        <v>1016</v>
      </c>
      <c r="F122" s="5" t="s">
        <v>1018</v>
      </c>
      <c r="G122" s="29"/>
      <c r="H122" s="5"/>
      <c r="I122" s="22" t="s">
        <v>1017</v>
      </c>
      <c r="J122" s="16"/>
      <c r="K122" s="25" t="s">
        <v>994</v>
      </c>
      <c r="L122" s="16" t="s">
        <v>289</v>
      </c>
      <c r="M122" s="16" t="s">
        <v>996</v>
      </c>
      <c r="N122" s="16" t="str">
        <f t="shared" si="17"/>
        <v>SELECT EXECUTION_TYPE,SERVICE_INTERCHANGE_ID,CIRCI_KEY,EXECUTION_STATE FROM CIFX.TB_SERVICE_EXECUTION_CONTROL WHERE SERVICE_EXECUTION_CONTROL_ID IN ('1620226642781520-8839390-89-01') AND EXECUTION_TYPE = 'STAGE1_EXECUTION';</v>
      </c>
      <c r="O122" s="7" t="str">
        <f t="shared" si="18"/>
        <v>發送ID改號電文給CIP回傳錯誤碼:UP0090_00_R101,錯誤碼訊息:存在驗證錯誤,錯誤訊息:[檢查有誤，顧客曾經執行過ID改號，將交由資料管家處理]</v>
      </c>
      <c r="P122" s="7" t="str">
        <f t="shared" si="19"/>
        <v>請協助處理</v>
      </c>
      <c r="Q122" s="7" t="s">
        <v>162</v>
      </c>
      <c r="R122" s="7"/>
      <c r="S122" s="16" t="s">
        <v>299</v>
      </c>
      <c r="T122" s="4" t="s">
        <v>987</v>
      </c>
      <c r="U122" s="4" t="s">
        <v>17</v>
      </c>
      <c r="V122" s="4" t="s">
        <v>18</v>
      </c>
      <c r="W122" s="4"/>
      <c r="X122" s="4" t="s">
        <v>993</v>
      </c>
      <c r="Y122" s="4" t="s">
        <v>988</v>
      </c>
      <c r="Z122" s="4"/>
      <c r="AA122" s="37" t="s">
        <v>992</v>
      </c>
      <c r="AB122" s="4"/>
      <c r="AC122" s="4"/>
      <c r="AD122" s="4" t="s">
        <v>989</v>
      </c>
      <c r="AE122" s="32" t="s">
        <v>990</v>
      </c>
      <c r="AF122" s="4" t="s">
        <v>991</v>
      </c>
    </row>
    <row r="123" spans="1:32" x14ac:dyDescent="0.25">
      <c r="A123" s="4" t="str">
        <f t="shared" si="15"/>
        <v>'1620291771317475-8985377-50-02',</v>
      </c>
      <c r="B123" s="4" t="str">
        <f t="shared" si="16"/>
        <v>'1620291801659550-8985377-69-02',</v>
      </c>
      <c r="C123" s="15" t="s">
        <v>1043</v>
      </c>
      <c r="D123" s="5" t="s">
        <v>1023</v>
      </c>
      <c r="E123" s="5" t="s">
        <v>1041</v>
      </c>
      <c r="F123" s="5" t="s">
        <v>1042</v>
      </c>
      <c r="G123" s="29"/>
      <c r="H123" s="5"/>
      <c r="I123" s="22" t="s">
        <v>1046</v>
      </c>
      <c r="J123" s="16"/>
      <c r="K123" s="25"/>
      <c r="L123" s="16" t="s">
        <v>809</v>
      </c>
      <c r="M123" s="16" t="s">
        <v>1025</v>
      </c>
      <c r="N123" s="16" t="str">
        <f t="shared" si="17"/>
        <v>SELECT EXECUTION_TYPE,SERVICE_INTERCHANGE_ID,CIRCI_KEY,EXECUTION_STATE FROM CIFX.TB_SERVICE_EXECUTION_CONTROL WHERE SERVICE_EXECUTION_CONTROL_ID IN ('1620291771544193-8985377-72-02') AND EXECUTION_TYPE = 'STAGE1_EXECUTION';</v>
      </c>
      <c r="O123" s="7" t="str">
        <f t="shared" si="18"/>
        <v>發送異動通知電文，未回傳resultCode!!,回傳代碼描述:,錯誤訊息:[]</v>
      </c>
      <c r="P123" s="7" t="s">
        <v>1001</v>
      </c>
      <c r="Q123" s="7" t="s">
        <v>162</v>
      </c>
      <c r="R123" s="7"/>
      <c r="S123" s="16" t="s">
        <v>299</v>
      </c>
      <c r="T123" s="4" t="s">
        <v>1014</v>
      </c>
      <c r="U123" s="4" t="s">
        <v>17</v>
      </c>
      <c r="V123" s="4" t="s">
        <v>900</v>
      </c>
      <c r="W123" s="4"/>
      <c r="X123" s="4" t="s">
        <v>1015</v>
      </c>
      <c r="Y123" s="4" t="s">
        <v>998</v>
      </c>
      <c r="Z123" s="4"/>
      <c r="AA123" s="37" t="s">
        <v>997</v>
      </c>
      <c r="AB123" s="4"/>
      <c r="AC123" s="4"/>
      <c r="AD123" s="4" t="s">
        <v>999</v>
      </c>
      <c r="AE123" s="4" t="s">
        <v>973</v>
      </c>
      <c r="AF123" s="4" t="s">
        <v>1000</v>
      </c>
    </row>
    <row r="124" spans="1:32" x14ac:dyDescent="0.25">
      <c r="A124" s="4" t="str">
        <f t="shared" si="15"/>
        <v>'1620347036184822-9113837-76-01',</v>
      </c>
      <c r="B124" s="4" t="str">
        <f t="shared" si="16"/>
        <v>'1620347066884339-9113968-35-01',</v>
      </c>
      <c r="C124" s="15" t="s">
        <v>27</v>
      </c>
      <c r="D124" s="5" t="s">
        <v>1021</v>
      </c>
      <c r="E124" s="5" t="s">
        <v>1034</v>
      </c>
      <c r="F124" s="5" t="s">
        <v>1033</v>
      </c>
      <c r="G124" s="29"/>
      <c r="H124" s="5"/>
      <c r="I124" s="22" t="s">
        <v>1041</v>
      </c>
      <c r="J124" s="16"/>
      <c r="K124" s="25"/>
      <c r="L124" s="16" t="s">
        <v>809</v>
      </c>
      <c r="M124" s="16" t="s">
        <v>1024</v>
      </c>
      <c r="N124" s="16" t="str">
        <f t="shared" si="17"/>
        <v>SELECT EXECUTION_TYPE,SERVICE_INTERCHANGE_ID,CIRCI_KEY,EXECUTION_STATE FROM CIFX.TB_SERVICE_EXECUTION_CONTROL WHERE SERVICE_EXECUTION_CONTROL_ID IN ('1620347036777072-9113939-86-01') AND EXECUTION_TYPE = 'STAGE1_EXECUTION';</v>
      </c>
      <c r="O124" s="7" t="str">
        <f t="shared" si="18"/>
        <v>發送異動通知電文，未回傳resultCode!!,回傳代碼描述:,錯誤訊息:[]</v>
      </c>
      <c r="P124" s="7" t="s">
        <v>1011</v>
      </c>
      <c r="Q124" s="7" t="s">
        <v>162</v>
      </c>
      <c r="R124" s="7"/>
      <c r="S124" s="16" t="s">
        <v>299</v>
      </c>
      <c r="T124" s="4" t="s">
        <v>1006</v>
      </c>
      <c r="U124" s="4" t="s">
        <v>17</v>
      </c>
      <c r="V124" s="4" t="s">
        <v>900</v>
      </c>
      <c r="W124" s="4"/>
      <c r="X124" s="4" t="s">
        <v>1007</v>
      </c>
      <c r="Y124" s="4" t="s">
        <v>1022</v>
      </c>
      <c r="Z124" s="4"/>
      <c r="AA124" s="37" t="s">
        <v>1008</v>
      </c>
      <c r="AB124" s="4"/>
      <c r="AC124" s="4"/>
      <c r="AD124" s="4" t="s">
        <v>1009</v>
      </c>
      <c r="AE124" s="4" t="s">
        <v>973</v>
      </c>
      <c r="AF124" s="4" t="s">
        <v>1010</v>
      </c>
    </row>
    <row r="125" spans="1:32" ht="33" x14ac:dyDescent="0.25">
      <c r="A125" s="4" t="str">
        <f t="shared" si="15"/>
        <v>'1620739467087017-9954442-19-02',</v>
      </c>
      <c r="B125" s="4" t="str">
        <f t="shared" si="16"/>
        <v>'1620739467334004-9954477-39-02',</v>
      </c>
      <c r="C125" s="15" t="s">
        <v>1064</v>
      </c>
      <c r="D125" s="5" t="s">
        <v>1044</v>
      </c>
      <c r="E125" s="5" t="s">
        <v>1066</v>
      </c>
      <c r="F125" s="5" t="s">
        <v>1078</v>
      </c>
      <c r="G125" s="29" t="s">
        <v>1045</v>
      </c>
      <c r="H125" s="5"/>
      <c r="I125" s="22" t="s">
        <v>1087</v>
      </c>
      <c r="J125" s="16"/>
      <c r="K125" s="25" t="s">
        <v>1076</v>
      </c>
      <c r="L125" s="16" t="s">
        <v>809</v>
      </c>
      <c r="M125" s="16" t="s">
        <v>1077</v>
      </c>
      <c r="N125" s="16" t="str">
        <f t="shared" si="17"/>
        <v>SELECT EXECUTION_TYPE,SERVICE_INTERCHANGE_ID,CIRCI_KEY,EXECUTION_STATE FROM CIFX.TB_SERVICE_EXECUTION_CONTROL WHERE SERVICE_EXECUTION_CONTROL_ID IN ('1620739467108968-9954442-37-02') AND EXECUTION_TYPE = 'STAGE1_EXECUTION';</v>
      </c>
      <c r="O125" s="7" t="str">
        <f t="shared" si="18"/>
        <v>發送異動通知電文給CIP回傳錯誤碼:UP0090_00_V201,錯誤碼訊息:必要性檢核錯誤,錯誤訊息:[檢查有誤，顧客ID已停用]</v>
      </c>
      <c r="P125" s="7" t="str">
        <f t="shared" si="19"/>
        <v>請協助處理</v>
      </c>
      <c r="Q125" s="7" t="s">
        <v>162</v>
      </c>
      <c r="R125" s="7"/>
      <c r="S125" s="16" t="s">
        <v>299</v>
      </c>
      <c r="T125" s="4" t="s">
        <v>1027</v>
      </c>
      <c r="U125" s="4" t="s">
        <v>17</v>
      </c>
      <c r="V125" s="4" t="s">
        <v>1</v>
      </c>
      <c r="W125" s="4"/>
      <c r="X125" s="4" t="s">
        <v>1028</v>
      </c>
      <c r="Y125" s="4" t="s">
        <v>1029</v>
      </c>
      <c r="Z125" s="4"/>
      <c r="AA125" s="37" t="s">
        <v>1068</v>
      </c>
      <c r="AB125" s="4"/>
      <c r="AC125" s="4"/>
      <c r="AD125" s="4" t="s">
        <v>1030</v>
      </c>
      <c r="AE125" s="32" t="s">
        <v>1031</v>
      </c>
      <c r="AF125" s="4" t="s">
        <v>1032</v>
      </c>
    </row>
    <row r="126" spans="1:32" ht="148.5" x14ac:dyDescent="0.25">
      <c r="A126" s="4" t="str">
        <f t="shared" si="15"/>
        <v>'1620929988436310-0378337-64-01',</v>
      </c>
      <c r="B126" s="4" t="str">
        <f t="shared" si="16"/>
        <v>'1620929988770289-0371906-87-02',</v>
      </c>
      <c r="C126" s="15" t="s">
        <v>1086</v>
      </c>
      <c r="D126" s="5" t="s">
        <v>1081</v>
      </c>
      <c r="E126" s="5" t="s">
        <v>1085</v>
      </c>
      <c r="F126" s="5" t="s">
        <v>1084</v>
      </c>
      <c r="G126" s="29"/>
      <c r="H126" s="5"/>
      <c r="I126" s="22" t="s">
        <v>1087</v>
      </c>
      <c r="J126" s="16"/>
      <c r="K126" s="34" t="s">
        <v>1083</v>
      </c>
      <c r="L126" s="16" t="s">
        <v>289</v>
      </c>
      <c r="M126" s="16" t="s">
        <v>1080</v>
      </c>
      <c r="N126" s="16" t="str">
        <f t="shared" ref="N126:N157" si="20">IF($L126&lt;&gt;"","SELECT EXECUTION_TYPE,SERVICE_INTERCHANGE_ID,CIRCI_KEY,EXECUTION_STATE FROM CIFX.TB_SERVICE_EXECUTION_CONTROL WHERE SERVICE_EXECUTION_CONTROL_ID IN ("&amp;"'"&amp;$Y126&amp;"'"&amp;") AND EXECUTION_TYPE = "&amp;"'"&amp;"STAGE1_EXECUTION"&amp;"'"&amp;";","")</f>
        <v>SELECT EXECUTION_TYPE,SERVICE_INTERCHANGE_ID,CIRCI_KEY,EXECUTION_STATE FROM CIFX.TB_SERVICE_EXECUTION_CONTROL WHERE SERVICE_EXECUTION_CONTROL_ID IN ('1620929988561856-0378337-84-01') AND EXECUTION_TYPE = 'STAGE1_EXECUTION';</v>
      </c>
      <c r="O126" s="7" t="str">
        <f t="shared" si="18"/>
        <v>發送ID改號電文給CIP回傳錯誤碼:UP0090_00_R101,錯誤碼訊息:存在驗證錯誤,錯誤訊息:[檢查有誤，顧客曾經執行過ID改號，將交由資料管家處理]</v>
      </c>
      <c r="P126" s="7" t="str">
        <f t="shared" si="19"/>
        <v>請協助處理</v>
      </c>
      <c r="Q126" s="7" t="s">
        <v>162</v>
      </c>
      <c r="R126" s="7"/>
      <c r="S126" s="16" t="s">
        <v>299</v>
      </c>
      <c r="T126" s="4" t="s">
        <v>1079</v>
      </c>
      <c r="U126" s="4" t="s">
        <v>17</v>
      </c>
      <c r="V126" s="4" t="s">
        <v>18</v>
      </c>
      <c r="W126" s="4"/>
      <c r="X126" s="4" t="s">
        <v>1048</v>
      </c>
      <c r="Y126" s="4" t="s">
        <v>1082</v>
      </c>
      <c r="Z126" s="4"/>
      <c r="AA126" s="37" t="s">
        <v>1050</v>
      </c>
      <c r="AB126" s="4"/>
      <c r="AC126" s="4"/>
      <c r="AD126" s="4" t="s">
        <v>1049</v>
      </c>
      <c r="AE126" s="32" t="s">
        <v>1051</v>
      </c>
      <c r="AF126" s="4" t="s">
        <v>1052</v>
      </c>
    </row>
    <row r="127" spans="1:32" x14ac:dyDescent="0.25">
      <c r="A127" s="4" t="str">
        <f t="shared" si="15"/>
        <v>'1620293090193381-8987065-18-02',</v>
      </c>
      <c r="B127" s="4" t="str">
        <f t="shared" si="16"/>
        <v>'1620927836351894-0369364-30-02',</v>
      </c>
      <c r="C127" s="15" t="s">
        <v>1106</v>
      </c>
      <c r="D127" s="5" t="s">
        <v>1069</v>
      </c>
      <c r="E127" s="5" t="s">
        <v>1105</v>
      </c>
      <c r="F127" s="5" t="s">
        <v>1857</v>
      </c>
      <c r="G127" s="29"/>
      <c r="H127" s="5"/>
      <c r="I127" s="22" t="s">
        <v>1104</v>
      </c>
      <c r="J127" s="16"/>
      <c r="K127" s="25" t="s">
        <v>1063</v>
      </c>
      <c r="L127" s="16" t="s">
        <v>289</v>
      </c>
      <c r="M127" s="16" t="s">
        <v>1070</v>
      </c>
      <c r="N127" s="16" t="str">
        <f t="shared" si="20"/>
        <v>SELECT EXECUTION_TYPE,SERVICE_INTERCHANGE_ID,CIRCI_KEY,EXECUTION_STATE FROM CIFX.TB_SERVICE_EXECUTION_CONTROL WHERE SERVICE_EXECUTION_CONTROL_ID IN ('1620293090429895-8987065-12-02') AND EXECUTION_TYPE = 'STAGE1_EXECUTION';</v>
      </c>
      <c r="O127" s="7" t="str">
        <f t="shared" si="18"/>
        <v>發送顧客刪除電文給CIP回傳錯誤碼:UP0090_00_V401,錯誤碼訊息:關聯檢核錯誤,錯誤訊息:[檢查有誤，查無符合顧客]</v>
      </c>
      <c r="P127" s="7" t="str">
        <f t="shared" si="19"/>
        <v>請協助處理</v>
      </c>
      <c r="Q127" s="7"/>
      <c r="R127" s="7"/>
      <c r="S127" s="16"/>
      <c r="T127" s="4" t="s">
        <v>1053</v>
      </c>
      <c r="U127" s="4" t="s">
        <v>17</v>
      </c>
      <c r="V127" s="4" t="s">
        <v>1047</v>
      </c>
      <c r="W127" s="4"/>
      <c r="X127" s="4" t="s">
        <v>1054</v>
      </c>
      <c r="Y127" s="4" t="s">
        <v>1072</v>
      </c>
      <c r="Z127" s="4"/>
      <c r="AA127" s="37" t="s">
        <v>1061</v>
      </c>
      <c r="AB127" s="4"/>
      <c r="AC127" s="4"/>
      <c r="AD127" s="4" t="s">
        <v>1055</v>
      </c>
      <c r="AE127" s="32" t="s">
        <v>1056</v>
      </c>
      <c r="AF127" s="4" t="s">
        <v>1057</v>
      </c>
    </row>
    <row r="128" spans="1:32" x14ac:dyDescent="0.25">
      <c r="A128" s="4" t="str">
        <f t="shared" si="15"/>
        <v>'1620208371674457-8804122-40-02',</v>
      </c>
      <c r="B128" s="4" t="str">
        <f t="shared" si="16"/>
        <v>'1620927836192258-0376865-22-01',</v>
      </c>
      <c r="C128" s="15" t="s">
        <v>1104</v>
      </c>
      <c r="D128" s="5" t="s">
        <v>1062</v>
      </c>
      <c r="E128" s="5" t="s">
        <v>1105</v>
      </c>
      <c r="F128" s="5" t="s">
        <v>1075</v>
      </c>
      <c r="G128" s="29"/>
      <c r="H128" s="5"/>
      <c r="I128" s="22" t="s">
        <v>1105</v>
      </c>
      <c r="J128" s="16"/>
      <c r="K128" s="25" t="s">
        <v>1063</v>
      </c>
      <c r="L128" s="16" t="s">
        <v>289</v>
      </c>
      <c r="M128" s="16" t="s">
        <v>1071</v>
      </c>
      <c r="N128" s="16" t="str">
        <f t="shared" si="20"/>
        <v>SELECT EXECUTION_TYPE,SERVICE_INTERCHANGE_ID,CIRCI_KEY,EXECUTION_STATE FROM CIFX.TB_SERVICE_EXECUTION_CONTROL WHERE SERVICE_EXECUTION_CONTROL_ID IN ('1620208372005366-8804122-15-02') AND EXECUTION_TYPE = 'STAGE1_EXECUTION';</v>
      </c>
      <c r="O128" s="7" t="str">
        <f t="shared" si="18"/>
        <v>發送顧客刪除電文給CIP回傳錯誤碼:UP0090_00_V401,錯誤碼訊息:關聯檢核錯誤,錯誤訊息:[檢查有誤，查無符合顧客]</v>
      </c>
      <c r="P128" s="7" t="str">
        <f t="shared" si="19"/>
        <v>請協助處理</v>
      </c>
      <c r="Q128" s="7"/>
      <c r="R128" s="7"/>
      <c r="S128" s="16"/>
      <c r="T128" s="4" t="s">
        <v>1058</v>
      </c>
      <c r="U128" s="4" t="s">
        <v>17</v>
      </c>
      <c r="V128" s="4" t="s">
        <v>1047</v>
      </c>
      <c r="W128" s="4"/>
      <c r="X128" s="4" t="s">
        <v>1059</v>
      </c>
      <c r="Y128" s="4" t="s">
        <v>1073</v>
      </c>
      <c r="Z128" s="4"/>
      <c r="AA128" s="37" t="s">
        <v>1074</v>
      </c>
      <c r="AB128" s="4"/>
      <c r="AC128" s="4"/>
      <c r="AD128" s="4" t="s">
        <v>1060</v>
      </c>
      <c r="AE128" s="4"/>
      <c r="AF128" s="4"/>
    </row>
    <row r="129" spans="1:32" ht="148.5" x14ac:dyDescent="0.25">
      <c r="A129" s="4" t="str">
        <f t="shared" si="15"/>
        <v>'1621423567149087-1455677-22-01',</v>
      </c>
      <c r="B129" s="4" t="str">
        <f t="shared" si="16"/>
        <v>'1621423567408990-1456853-54-01',</v>
      </c>
      <c r="C129" s="15" t="s">
        <v>1129</v>
      </c>
      <c r="D129" s="5" t="s">
        <v>1109</v>
      </c>
      <c r="E129" s="5" t="s">
        <v>1132</v>
      </c>
      <c r="F129" s="5" t="s">
        <v>1131</v>
      </c>
      <c r="G129" s="29" t="s">
        <v>1117</v>
      </c>
      <c r="H129" s="5"/>
      <c r="I129" s="22" t="s">
        <v>1140</v>
      </c>
      <c r="J129" s="16"/>
      <c r="K129" s="34" t="s">
        <v>1107</v>
      </c>
      <c r="L129" s="16"/>
      <c r="M129" s="16" t="str">
        <f>IF($L129&lt;&gt;"",IF($L129="清除同步失敗註記","UPDATE CIFX.TB_SERVICE_EXECUTION_CONTROL SET EXECUTION_STATE = "&amp;"'"&amp;"EXECUTED"&amp;"'"&amp;", ap_server_EXECUTING = NULL WHERE SERVICE_EXECUTION_CONTROL_ID IN ("&amp;"'"&amp;$Y129&amp;"'"&amp;") and execution_type = "&amp;"'"&amp;"STAGE1_EXECUTION"&amp;"';"&amp;"",IF($L129="重送CIP電文","UPDATE CIFX.TB_SERVICE_EXECUTION_CONTROL SET EXECUTION_STATE = "&amp;"'"&amp;"TO_EXECUTE"&amp;"'"&amp;",RESULT_CODE = NULL,EXECUTING_TIMESTAMP = null,EXECUTED_TIMESTAMP = null,ap_server_EXECUTING = NULL WHERE SERVICE_EXECUTION_CONTROL_ID IN ("&amp;"'"&amp;$Y129&amp;"'"&amp;") AND EXECUTION_TYPE = "&amp;"'"&amp;"STAGE1_EXECUTION"&amp;"'"&amp;";","沒有對應")),"")</f>
        <v/>
      </c>
      <c r="N129" s="16" t="str">
        <f t="shared" si="20"/>
        <v/>
      </c>
      <c r="O129" s="7" t="str">
        <f t="shared" si="18"/>
        <v>發送ID改號電文給CIP回傳錯誤碼:UP0090_00_R101,錯誤碼訊息:存在驗證錯誤,錯誤訊息:[ID改號作業-</v>
      </c>
      <c r="P129" s="35" t="s">
        <v>1095</v>
      </c>
      <c r="Q129" s="7" t="s">
        <v>162</v>
      </c>
      <c r="R129" s="7"/>
      <c r="S129" s="16" t="s">
        <v>299</v>
      </c>
      <c r="T129" s="4" t="s">
        <v>1094</v>
      </c>
      <c r="U129" s="4" t="s">
        <v>17</v>
      </c>
      <c r="V129" s="4" t="s">
        <v>1088</v>
      </c>
      <c r="W129" s="4"/>
      <c r="X129" s="4" t="s">
        <v>1089</v>
      </c>
      <c r="Y129" s="4" t="s">
        <v>1090</v>
      </c>
      <c r="Z129" s="4"/>
      <c r="AA129" s="37" t="s">
        <v>1091</v>
      </c>
      <c r="AB129" s="4"/>
      <c r="AC129" s="4"/>
      <c r="AD129" s="4" t="s">
        <v>1092</v>
      </c>
      <c r="AE129" s="32" t="s">
        <v>1103</v>
      </c>
      <c r="AF129" s="4" t="s">
        <v>1093</v>
      </c>
    </row>
    <row r="130" spans="1:32" ht="148.5" x14ac:dyDescent="0.25">
      <c r="A130" s="4" t="str">
        <f t="shared" si="15"/>
        <v>'1621507692499876-1645555-03-02',</v>
      </c>
      <c r="B130" s="4" t="str">
        <f t="shared" si="16"/>
        <v>'1621507692802596-1641252-48-01',</v>
      </c>
      <c r="C130" s="15" t="s">
        <v>1139</v>
      </c>
      <c r="D130" s="5" t="s">
        <v>1108</v>
      </c>
      <c r="E130" s="5" t="s">
        <v>1133</v>
      </c>
      <c r="F130" s="5" t="s">
        <v>1856</v>
      </c>
      <c r="G130" s="29" t="s">
        <v>1117</v>
      </c>
      <c r="H130" s="5"/>
      <c r="I130" s="22" t="s">
        <v>1140</v>
      </c>
      <c r="J130" s="16"/>
      <c r="K130" s="34" t="s">
        <v>1107</v>
      </c>
      <c r="L130" s="16"/>
      <c r="M130" s="16" t="str">
        <f>IF($L130&lt;&gt;"",IF($L130="清除同步失敗註記","UPDATE CIFX.TB_SERVICE_EXECUTION_CONTROL SET EXECUTION_STATE = "&amp;"'"&amp;"EXECUTED"&amp;"'"&amp;", ap_server_EXECUTING = NULL WHERE SERVICE_EXECUTION_CONTROL_ID IN ("&amp;"'"&amp;$Y130&amp;"'"&amp;") and execution_type = "&amp;"'"&amp;"STAGE1_EXECUTION"&amp;"';"&amp;"",IF($L130="重送CIP電文","UPDATE CIFX.TB_SERVICE_EXECUTION_CONTROL SET EXECUTION_STATE = "&amp;"'"&amp;"TO_EXECUTE"&amp;"'"&amp;",RESULT_CODE = NULL,EXECUTING_TIMESTAMP = null,EXECUTED_TIMESTAMP = null,ap_server_EXECUTING = NULL WHERE SERVICE_EXECUTION_CONTROL_ID IN ("&amp;"'"&amp;$Y130&amp;"'"&amp;") AND EXECUTION_TYPE = "&amp;"'"&amp;"STAGE1_EXECUTION"&amp;"'"&amp;";","沒有對應")),"")</f>
        <v/>
      </c>
      <c r="N130" s="16" t="str">
        <f t="shared" si="20"/>
        <v/>
      </c>
      <c r="O130" s="7" t="str">
        <f t="shared" si="18"/>
        <v>發送顧客刪除電文給CIP回傳錯誤碼:UP0090_00_V401,錯誤碼訊息:關聯檢核錯誤,錯誤訊息:[檢查有誤，查無符合顧客]</v>
      </c>
      <c r="P130" s="7"/>
      <c r="Q130" s="7" t="s">
        <v>162</v>
      </c>
      <c r="R130" s="7"/>
      <c r="S130" s="16" t="s">
        <v>299</v>
      </c>
      <c r="T130" s="4" t="s">
        <v>1096</v>
      </c>
      <c r="U130" s="4" t="s">
        <v>17</v>
      </c>
      <c r="V130" s="4" t="s">
        <v>1047</v>
      </c>
      <c r="W130" s="4"/>
      <c r="X130" s="4" t="s">
        <v>1097</v>
      </c>
      <c r="Y130" s="4" t="s">
        <v>1098</v>
      </c>
      <c r="Z130" s="4"/>
      <c r="AA130" s="37" t="s">
        <v>1100</v>
      </c>
      <c r="AB130" s="4"/>
      <c r="AC130" s="4"/>
      <c r="AD130" s="4" t="s">
        <v>1099</v>
      </c>
      <c r="AE130" s="4" t="s">
        <v>1101</v>
      </c>
      <c r="AF130" s="4" t="s">
        <v>1102</v>
      </c>
    </row>
    <row r="131" spans="1:32" x14ac:dyDescent="0.25">
      <c r="A131" s="4" t="str">
        <f t="shared" si="15"/>
        <v>'1622719927927797-4303653-51-01',</v>
      </c>
      <c r="B131" s="4" t="str">
        <f t="shared" si="16"/>
        <v>'1622719928300405-4298703-27-02',</v>
      </c>
      <c r="C131" s="15" t="s">
        <v>1130</v>
      </c>
      <c r="D131" s="5" t="s">
        <v>1118</v>
      </c>
      <c r="E131" s="5" t="s">
        <v>1128</v>
      </c>
      <c r="F131" s="5" t="s">
        <v>1127</v>
      </c>
      <c r="G131" s="29"/>
      <c r="H131" s="5"/>
      <c r="I131" s="22" t="s">
        <v>1160</v>
      </c>
      <c r="J131" s="16"/>
      <c r="K131" s="25" t="s">
        <v>1154</v>
      </c>
      <c r="L131" s="16" t="s">
        <v>809</v>
      </c>
      <c r="M131" s="16" t="s">
        <v>1120</v>
      </c>
      <c r="N131" s="16" t="str">
        <f t="shared" si="20"/>
        <v>SELECT EXECUTION_TYPE,SERVICE_INTERCHANGE_ID,CIRCI_KEY,EXECUTION_STATE FROM CIFX.TB_SERVICE_EXECUTION_CONTROL WHERE SERVICE_EXECUTION_CONTROL_ID IN ('1622719927951458-4303653-05-01') AND EXECUTION_TYPE = 'STAGE1_EXECUTION';</v>
      </c>
      <c r="O131" s="7" t="str">
        <f t="shared" si="18"/>
        <v>發送異動通知電文給CIP回傳錯誤碼:UP0090_00_V201,錯誤碼訊息:必要性檢核錯誤,錯誤訊息:[CIP顧客識別取號:當系統為TS0116_00時顧客姓名不可為空值]</v>
      </c>
      <c r="P131" s="7" t="str">
        <f t="shared" si="19"/>
        <v>請協助處理</v>
      </c>
      <c r="Q131" s="7" t="s">
        <v>162</v>
      </c>
      <c r="R131" s="7"/>
      <c r="S131" s="16" t="s">
        <v>299</v>
      </c>
      <c r="T131" s="4" t="s">
        <v>1112</v>
      </c>
      <c r="U131" s="4" t="s">
        <v>17</v>
      </c>
      <c r="V131" s="4" t="s">
        <v>67</v>
      </c>
      <c r="W131" s="4"/>
      <c r="X131" s="4" t="s">
        <v>1113</v>
      </c>
      <c r="Y131" s="4" t="s">
        <v>1119</v>
      </c>
      <c r="Z131" s="4"/>
      <c r="AA131" s="37" t="s">
        <v>1115</v>
      </c>
      <c r="AB131" s="4"/>
      <c r="AC131" s="4"/>
      <c r="AD131" s="4" t="s">
        <v>1114</v>
      </c>
      <c r="AE131" s="4" t="s">
        <v>1116</v>
      </c>
      <c r="AF131" s="4" t="s">
        <v>1116</v>
      </c>
    </row>
    <row r="132" spans="1:32" x14ac:dyDescent="0.25">
      <c r="A132" s="4" t="str">
        <f t="shared" si="15"/>
        <v>'1622719927927797-4303653-51-01',</v>
      </c>
      <c r="B132" s="4" t="str">
        <f t="shared" si="16"/>
        <v>'1622739654085660-4341065-40-02',</v>
      </c>
      <c r="C132" s="15" t="s">
        <v>1159</v>
      </c>
      <c r="D132" s="5" t="s">
        <v>1158</v>
      </c>
      <c r="E132" s="5" t="s">
        <v>1129</v>
      </c>
      <c r="F132" s="5" t="s">
        <v>1357</v>
      </c>
      <c r="G132" s="29"/>
      <c r="H132" s="5"/>
      <c r="I132" s="22" t="s">
        <v>1161</v>
      </c>
      <c r="J132" s="16"/>
      <c r="K132" s="25"/>
      <c r="L132" s="16"/>
      <c r="M132" s="16" t="str">
        <f>IF($L132&lt;&gt;"",IF($L132="清除同步失敗註記","UPDATE CIFX.TB_SERVICE_EXECUTION_CONTROL SET EXECUTION_STATE = "&amp;"'"&amp;"EXECUTED"&amp;"'"&amp;", ap_server_EXECUTING = NULL WHERE SERVICE_EXECUTION_CONTROL_ID IN ("&amp;"'"&amp;$Y132&amp;"'"&amp;") and execution_type = "&amp;"'"&amp;"STAGE1_EXECUTION"&amp;"';"&amp;"",IF($L132="重送CIP電文","UPDATE CIFX.TB_SERVICE_EXECUTION_CONTROL SET EXECUTION_STATE = "&amp;"'"&amp;"TO_EXECUTE"&amp;"'"&amp;",RESULT_CODE = NULL,EXECUTING_TIMESTAMP = null,EXECUTED_TIMESTAMP = null,ap_server_EXECUTING = NULL WHERE SERVICE_EXECUTION_CONTROL_ID IN ("&amp;"'"&amp;$Y132&amp;"'"&amp;") AND EXECUTION_TYPE = "&amp;"'"&amp;"STAGE1_EXECUTION"&amp;"'"&amp;";","沒有對應")),"")</f>
        <v/>
      </c>
      <c r="N132" s="16" t="str">
        <f t="shared" si="20"/>
        <v/>
      </c>
      <c r="O132" s="7" t="str">
        <f t="shared" si="18"/>
        <v>發送異動通知電文給CIP回傳錯誤碼:UP0090_00_V201,錯誤碼訊息:必要性檢核錯誤,錯誤訊息:[CIP顧客識別取號:當系統為TS0116_00時顧客姓名不可為空值]</v>
      </c>
      <c r="P132" s="7" t="str">
        <f t="shared" si="19"/>
        <v>請協助處理</v>
      </c>
      <c r="Q132" s="7"/>
      <c r="R132" s="7"/>
      <c r="S132" s="16"/>
      <c r="T132" s="4" t="s">
        <v>1121</v>
      </c>
      <c r="U132" s="4" t="s">
        <v>17</v>
      </c>
      <c r="V132" s="4" t="s">
        <v>67</v>
      </c>
      <c r="W132" s="4"/>
      <c r="X132" s="4" t="s">
        <v>1113</v>
      </c>
      <c r="Y132" s="4" t="s">
        <v>1126</v>
      </c>
      <c r="Z132" s="4"/>
      <c r="AA132" s="37" t="s">
        <v>1122</v>
      </c>
      <c r="AB132" s="4"/>
      <c r="AC132" s="4"/>
      <c r="AD132" s="4" t="s">
        <v>1123</v>
      </c>
      <c r="AE132" s="4" t="s">
        <v>1124</v>
      </c>
      <c r="AF132" s="4" t="s">
        <v>1125</v>
      </c>
    </row>
    <row r="133" spans="1:32" ht="66" x14ac:dyDescent="0.25">
      <c r="A133" s="4" t="str">
        <f t="shared" si="15"/>
        <v>'1623062844157216-5032080-44-01',</v>
      </c>
      <c r="B133" s="4" t="str">
        <f t="shared" si="16"/>
        <v>'1623062844376967-5033597-52-01',</v>
      </c>
      <c r="C133" s="15" t="s">
        <v>1157</v>
      </c>
      <c r="D133" s="5" t="s">
        <v>1151</v>
      </c>
      <c r="E133" s="5" t="s">
        <v>1155</v>
      </c>
      <c r="F133" s="5" t="s">
        <v>1425</v>
      </c>
      <c r="G133" s="29"/>
      <c r="H133" s="5"/>
      <c r="I133" s="22" t="s">
        <v>1162</v>
      </c>
      <c r="J133" s="16"/>
      <c r="K133" s="25" t="s">
        <v>1143</v>
      </c>
      <c r="L133" s="16" t="s">
        <v>289</v>
      </c>
      <c r="M133" s="16" t="s">
        <v>1145</v>
      </c>
      <c r="N133" s="16" t="str">
        <f t="shared" si="20"/>
        <v>SELECT EXECUTION_TYPE,SERVICE_INTERCHANGE_ID,CIRCI_KEY,EXECUTION_STATE FROM CIFX.TB_SERVICE_EXECUTION_CONTROL WHERE SERVICE_EXECUTION_CONTROL_ID IN ('1623083452276143-5075272-76-01') AND EXECUTION_TYPE = 'STAGE1_EXECUTION';</v>
      </c>
      <c r="O133" s="7" t="str">
        <f t="shared" si="18"/>
        <v>發送ID改號電文給CIP回傳錯誤碼:UP0090_00_R101,錯誤碼訊息:存在驗證錯誤,錯誤訊息:[檢查有誤，顧客曾經執行過ID改號，將交由資料管家處理]</v>
      </c>
      <c r="P133" s="35" t="s">
        <v>1138</v>
      </c>
      <c r="Q133" s="7" t="s">
        <v>162</v>
      </c>
      <c r="R133" s="7"/>
      <c r="S133" s="16" t="s">
        <v>299</v>
      </c>
      <c r="T133" s="4" t="s">
        <v>1134</v>
      </c>
      <c r="U133" s="4" t="s">
        <v>17</v>
      </c>
      <c r="V133" s="4" t="s">
        <v>18</v>
      </c>
      <c r="W133" s="4"/>
      <c r="X133" s="4" t="s">
        <v>1135</v>
      </c>
      <c r="Y133" s="4" t="s">
        <v>1144</v>
      </c>
      <c r="Z133" s="4"/>
      <c r="AA133" s="37" t="s">
        <v>1141</v>
      </c>
      <c r="AB133" s="4"/>
      <c r="AC133" s="4"/>
      <c r="AD133" s="4" t="s">
        <v>1136</v>
      </c>
      <c r="AE133" s="32" t="s">
        <v>1142</v>
      </c>
      <c r="AF133" s="4" t="s">
        <v>1137</v>
      </c>
    </row>
    <row r="134" spans="1:32" x14ac:dyDescent="0.25">
      <c r="A134" s="4" t="str">
        <f t="shared" si="15"/>
        <v>'1623083452170857-5075272-67-01',</v>
      </c>
      <c r="B134" s="4" t="str">
        <f t="shared" si="16"/>
        <v>'1623236199564979-5415404-11-01',</v>
      </c>
      <c r="C134" s="15" t="s">
        <v>1155</v>
      </c>
      <c r="D134" s="5" t="s">
        <v>1152</v>
      </c>
      <c r="E134" s="5" t="s">
        <v>1156</v>
      </c>
      <c r="F134" s="5" t="s">
        <v>1153</v>
      </c>
      <c r="G134" s="29"/>
      <c r="H134" s="5"/>
      <c r="I134" s="22" t="s">
        <v>1163</v>
      </c>
      <c r="J134" s="16"/>
      <c r="K134" s="25"/>
      <c r="L134" s="16"/>
      <c r="M134" s="16" t="str">
        <f>IF($L134&lt;&gt;"",IF($L134="清除同步失敗註記","UPDATE CIFX.TB_SERVICE_EXECUTION_CONTROL SET EXECUTION_STATE = "&amp;"'"&amp;"EXECUTED"&amp;"'"&amp;", ap_server_EXECUTING = NULL WHERE SERVICE_EXECUTION_CONTROL_ID IN ("&amp;"'"&amp;$Y134&amp;"'"&amp;") and execution_type = "&amp;"'"&amp;"STAGE1_EXECUTION"&amp;"';"&amp;"",IF($L134="重送CIP電文","UPDATE CIFX.TB_SERVICE_EXECUTION_CONTROL SET EXECUTION_STATE = "&amp;"'"&amp;"TO_EXECUTE"&amp;"'"&amp;",RESULT_CODE = NULL,EXECUTING_TIMESTAMP = null,EXECUTED_TIMESTAMP = null,ap_server_EXECUTING = NULL WHERE SERVICE_EXECUTION_CONTROL_ID IN ("&amp;"'"&amp;$Y134&amp;"'"&amp;") AND EXECUTION_TYPE = "&amp;"'"&amp;"STAGE1_EXECUTION"&amp;"'"&amp;";","沒有對應")),"")</f>
        <v/>
      </c>
      <c r="N134" s="16" t="str">
        <f t="shared" si="20"/>
        <v/>
      </c>
      <c r="O134" s="7" t="str">
        <f t="shared" si="18"/>
        <v>發送ID改號電文給CIP回傳錯誤碼:UP0090_00_R101,錯誤碼訊息:存在驗證錯誤,錯誤訊息:[檢查有誤，顧客曾經執行過ID改號，將交由資料管家處理]</v>
      </c>
      <c r="P134" s="35" t="str">
        <f t="shared" si="19"/>
        <v>請協助處理</v>
      </c>
      <c r="Q134" s="7"/>
      <c r="R134" s="7"/>
      <c r="S134" s="16"/>
      <c r="T134" s="4" t="s">
        <v>1146</v>
      </c>
      <c r="U134" s="4" t="s">
        <v>17</v>
      </c>
      <c r="V134" s="4" t="s">
        <v>18</v>
      </c>
      <c r="W134" s="4"/>
      <c r="X134" s="4" t="s">
        <v>1147</v>
      </c>
      <c r="Y134" s="4" t="s">
        <v>1149</v>
      </c>
      <c r="Z134" s="4"/>
      <c r="AA134" s="37" t="s">
        <v>1150</v>
      </c>
      <c r="AB134" s="4"/>
      <c r="AC134" s="4"/>
      <c r="AD134" s="4" t="s">
        <v>1148</v>
      </c>
      <c r="AE134" s="32"/>
      <c r="AF134" s="4"/>
    </row>
    <row r="135" spans="1:32" x14ac:dyDescent="0.25">
      <c r="A135" s="4" t="str">
        <f>"'"&amp;X135&amp;"',"</f>
        <v>'1623876409001023-6810226-05-01',</v>
      </c>
      <c r="B135" s="4" t="str">
        <f>"'"&amp;T135&amp;"',"</f>
        <v>'1623878613973536-6815291-92-02',</v>
      </c>
      <c r="C135" s="15" t="s">
        <v>1356</v>
      </c>
      <c r="D135" s="5" t="s">
        <v>1389</v>
      </c>
      <c r="E135" s="5" t="s">
        <v>1207</v>
      </c>
      <c r="F135" s="5" t="s">
        <v>1355</v>
      </c>
      <c r="G135" s="29"/>
      <c r="H135" s="5"/>
      <c r="I135" s="22" t="s">
        <v>1207</v>
      </c>
      <c r="J135" s="16"/>
      <c r="K135" s="25"/>
      <c r="L135" s="16"/>
      <c r="M135" s="16" t="str">
        <f>IF($L135&lt;&gt;"",IF($L135="清除同步失敗註記","UPDATE CIFX.TB_SERVICE_EXECUTION_CONTROL SET EXECUTION_STATE = "&amp;"'"&amp;"EXECUTED"&amp;"'"&amp;", ap_server_EXECUTING = NULL WHERE SERVICE_EXECUTION_CONTROL_ID IN ("&amp;"'"&amp;$Y135&amp;"'"&amp;") and execution_type = "&amp;"'"&amp;"STAGE1_EXECUTION"&amp;"';"&amp;"",IF($L135="重送CIP電文","UPDATE CIFX.TB_SERVICE_EXECUTION_CONTROL SET EXECUTION_STATE = "&amp;"'"&amp;"TO_EXECUTE"&amp;"'"&amp;",RESULT_CODE = NULL,EXECUTING_TIMESTAMP = null,EXECUTED_TIMESTAMP = null,ap_server_EXECUTING = NULL WHERE SERVICE_EXECUTION_CONTROL_ID IN ("&amp;"'"&amp;$Y135&amp;"'"&amp;") AND EXECUTION_TYPE = "&amp;"'"&amp;"STAGE1_EXECUTION"&amp;"'"&amp;";","沒有對應")),"")</f>
        <v/>
      </c>
      <c r="N135" s="16" t="str">
        <f t="shared" si="20"/>
        <v/>
      </c>
      <c r="O135" s="7" t="str">
        <f>IF(V135&lt;&gt;"",V135,"")</f>
        <v>發送異動通知電文給CIP回傳錯誤碼:UP0090_00_V501,錯誤碼訊息:正確性檢核錯誤,錯誤訊息:[jobTitle該系統無寫入權限]</v>
      </c>
      <c r="P135" s="35" t="str">
        <f>IF(O135="","","請協助處理")</f>
        <v>請協助處理</v>
      </c>
      <c r="Q135" s="7"/>
      <c r="R135" s="7"/>
      <c r="S135" s="16"/>
      <c r="T135" s="3" t="s">
        <v>1189</v>
      </c>
      <c r="U135" s="4" t="s">
        <v>17</v>
      </c>
      <c r="V135" s="4" t="s">
        <v>1179</v>
      </c>
      <c r="W135" s="4"/>
      <c r="X135" s="4" t="s">
        <v>1164</v>
      </c>
      <c r="Y135" s="4" t="s">
        <v>1165</v>
      </c>
      <c r="Z135" s="4"/>
      <c r="AA135" s="37" t="s">
        <v>1166</v>
      </c>
      <c r="AB135" s="4"/>
      <c r="AC135" s="4"/>
      <c r="AD135" s="4" t="s">
        <v>1190</v>
      </c>
      <c r="AE135" s="32"/>
      <c r="AF135" s="4"/>
    </row>
    <row r="136" spans="1:32" x14ac:dyDescent="0.25">
      <c r="A136" s="4" t="str">
        <f t="shared" si="15"/>
        <v>'1623878930621737-6814804-60-02',</v>
      </c>
      <c r="B136" s="4" t="str">
        <f t="shared" si="16"/>
        <v>'1623878930924671-6816442-01-02',</v>
      </c>
      <c r="C136" s="15" t="s">
        <v>1356</v>
      </c>
      <c r="D136" s="5" t="s">
        <v>1354</v>
      </c>
      <c r="E136" s="5" t="s">
        <v>1207</v>
      </c>
      <c r="F136" s="5" t="s">
        <v>1355</v>
      </c>
      <c r="G136" s="29"/>
      <c r="H136" s="5"/>
      <c r="I136" s="22" t="s">
        <v>1353</v>
      </c>
      <c r="J136" s="16"/>
      <c r="K136" s="25" t="s">
        <v>1352</v>
      </c>
      <c r="L136" s="16" t="s">
        <v>809</v>
      </c>
      <c r="M136" s="16" t="s">
        <v>1320</v>
      </c>
      <c r="N136" s="16" t="str">
        <f t="shared" si="20"/>
        <v>SELECT EXECUTION_TYPE,SERVICE_INTERCHANGE_ID,CIRCI_KEY,EXECUTION_STATE FROM CIFX.TB_SERVICE_EXECUTION_CONTROL WHERE SERVICE_EXECUTION_CONTROL_ID IN ('1623878930632215-6814804-82-02') AND EXECUTION_TYPE = 'STAGE1_EXECUTION';</v>
      </c>
      <c r="O136" s="7" t="str">
        <f t="shared" si="18"/>
        <v>發送異動通知電文給CIP回傳錯誤碼:UP0090_00_V501,錯誤碼訊息:正確性檢核錯誤,錯誤訊息:[jobTitle該系統無寫入權限]</v>
      </c>
      <c r="P136" s="35" t="str">
        <f t="shared" si="19"/>
        <v>請協助處理</v>
      </c>
      <c r="Q136" s="7"/>
      <c r="R136" s="7"/>
      <c r="S136" s="16"/>
      <c r="T136" s="3" t="s">
        <v>1178</v>
      </c>
      <c r="U136" s="4" t="s">
        <v>17</v>
      </c>
      <c r="V136" s="4" t="s">
        <v>1179</v>
      </c>
      <c r="W136" s="4"/>
      <c r="X136" s="4" t="s">
        <v>1180</v>
      </c>
      <c r="Y136" s="4" t="s">
        <v>1181</v>
      </c>
      <c r="Z136" s="4"/>
      <c r="AA136" s="37" t="s">
        <v>1182</v>
      </c>
      <c r="AB136" s="4"/>
      <c r="AC136" s="4"/>
      <c r="AD136" s="4" t="s">
        <v>1183</v>
      </c>
      <c r="AE136" s="32"/>
      <c r="AF136" s="4"/>
    </row>
    <row r="137" spans="1:32" x14ac:dyDescent="0.25">
      <c r="A137" s="4" t="str">
        <f t="shared" si="15"/>
        <v>'1623878677174807-6823251-76-01',</v>
      </c>
      <c r="B137" s="4" t="str">
        <f t="shared" si="16"/>
        <v>'1623878677595323-6824584-38-01',</v>
      </c>
      <c r="C137" s="15" t="s">
        <v>1356</v>
      </c>
      <c r="D137" s="5" t="s">
        <v>1354</v>
      </c>
      <c r="E137" s="5" t="s">
        <v>1207</v>
      </c>
      <c r="F137" s="5" t="s">
        <v>1355</v>
      </c>
      <c r="G137" s="29"/>
      <c r="H137" s="5"/>
      <c r="I137" s="22" t="s">
        <v>1353</v>
      </c>
      <c r="J137" s="16"/>
      <c r="K137" s="25" t="s">
        <v>1352</v>
      </c>
      <c r="L137" s="16" t="s">
        <v>809</v>
      </c>
      <c r="M137" s="16" t="s">
        <v>1321</v>
      </c>
      <c r="N137" s="16" t="str">
        <f t="shared" si="20"/>
        <v>SELECT EXECUTION_TYPE,SERVICE_INTERCHANGE_ID,CIRCI_KEY,EXECUTION_STATE FROM CIFX.TB_SERVICE_EXECUTION_CONTROL WHERE SERVICE_EXECUTION_CONTROL_ID IN ('1623878677198854-6823251-29-01') AND EXECUTION_TYPE = 'STAGE1_EXECUTION';</v>
      </c>
      <c r="O137" s="7" t="str">
        <f t="shared" si="18"/>
        <v>發送異動通知電文給CIP回傳錯誤碼:UP0090_00_V501,錯誤碼訊息:正確性檢核錯誤,錯誤訊息:[jobTitle該系統無寫入權限]</v>
      </c>
      <c r="P137" s="35" t="str">
        <f t="shared" si="19"/>
        <v>請協助處理</v>
      </c>
      <c r="Q137" s="7"/>
      <c r="R137" s="7"/>
      <c r="S137" s="16"/>
      <c r="T137" s="3" t="s">
        <v>1184</v>
      </c>
      <c r="U137" s="4" t="s">
        <v>17</v>
      </c>
      <c r="V137" s="4" t="s">
        <v>1179</v>
      </c>
      <c r="W137" s="4"/>
      <c r="X137" s="4" t="s">
        <v>1185</v>
      </c>
      <c r="Y137" s="4" t="s">
        <v>1186</v>
      </c>
      <c r="Z137" s="4"/>
      <c r="AA137" s="37" t="s">
        <v>1187</v>
      </c>
      <c r="AB137" s="4"/>
      <c r="AC137" s="4"/>
      <c r="AD137" s="4" t="s">
        <v>1188</v>
      </c>
      <c r="AE137" s="32"/>
      <c r="AF137" s="4"/>
    </row>
    <row r="138" spans="1:32" x14ac:dyDescent="0.25">
      <c r="A138" s="4" t="str">
        <f t="shared" si="15"/>
        <v>'1623878607522626-6823251-95-01',</v>
      </c>
      <c r="B138" s="4" t="str">
        <f t="shared" si="16"/>
        <v>'1623878607834598-6824579-30-01',</v>
      </c>
      <c r="C138" s="15" t="s">
        <v>1356</v>
      </c>
      <c r="D138" s="5" t="s">
        <v>1354</v>
      </c>
      <c r="E138" s="5" t="s">
        <v>1207</v>
      </c>
      <c r="F138" s="5" t="s">
        <v>1355</v>
      </c>
      <c r="G138" s="29"/>
      <c r="H138" s="5"/>
      <c r="I138" s="22" t="s">
        <v>1353</v>
      </c>
      <c r="J138" s="16"/>
      <c r="K138" s="25" t="s">
        <v>1352</v>
      </c>
      <c r="L138" s="16" t="s">
        <v>809</v>
      </c>
      <c r="M138" s="16" t="s">
        <v>1322</v>
      </c>
      <c r="N138" s="16" t="str">
        <f t="shared" si="20"/>
        <v>SELECT EXECUTION_TYPE,SERVICE_INTERCHANGE_ID,CIRCI_KEY,EXECUTION_STATE FROM CIFX.TB_SERVICE_EXECUTION_CONTROL WHERE SERVICE_EXECUTION_CONTROL_ID IN ('1623878607534481-6823251-14-01') AND EXECUTION_TYPE = 'STAGE1_EXECUTION';</v>
      </c>
      <c r="O138" s="7" t="str">
        <f t="shared" si="18"/>
        <v>發送異動通知電文給CIP回傳錯誤碼:UP0090_00_V501,錯誤碼訊息:正確性檢核錯誤,錯誤訊息:[jobTitle該系統無寫入權限]</v>
      </c>
      <c r="P138" s="35" t="str">
        <f t="shared" si="19"/>
        <v>請協助處理</v>
      </c>
      <c r="Q138" s="7"/>
      <c r="R138" s="7"/>
      <c r="S138" s="16"/>
      <c r="T138" s="3" t="s">
        <v>1191</v>
      </c>
      <c r="U138" s="4" t="s">
        <v>17</v>
      </c>
      <c r="V138" s="4" t="s">
        <v>1179</v>
      </c>
      <c r="W138" s="4"/>
      <c r="X138" s="4" t="s">
        <v>1192</v>
      </c>
      <c r="Y138" s="4" t="s">
        <v>1193</v>
      </c>
      <c r="Z138" s="4"/>
      <c r="AA138" s="37" t="s">
        <v>1194</v>
      </c>
      <c r="AB138" s="4"/>
      <c r="AC138" s="4"/>
      <c r="AD138" s="4" t="s">
        <v>1195</v>
      </c>
      <c r="AE138" s="32"/>
      <c r="AF138" s="4"/>
    </row>
    <row r="139" spans="1:32" x14ac:dyDescent="0.25">
      <c r="A139" s="4" t="str">
        <f t="shared" si="15"/>
        <v>'1623878587661803-6814804-09-02',</v>
      </c>
      <c r="B139" s="4" t="str">
        <f t="shared" si="16"/>
        <v>'1623878588281907-6824133-07-01',</v>
      </c>
      <c r="C139" s="15" t="s">
        <v>1356</v>
      </c>
      <c r="D139" s="5" t="s">
        <v>1354</v>
      </c>
      <c r="E139" s="5" t="s">
        <v>1207</v>
      </c>
      <c r="F139" s="5" t="s">
        <v>1355</v>
      </c>
      <c r="G139" s="29"/>
      <c r="H139" s="5"/>
      <c r="I139" s="22" t="s">
        <v>1353</v>
      </c>
      <c r="J139" s="16"/>
      <c r="K139" s="25" t="s">
        <v>1352</v>
      </c>
      <c r="L139" s="16" t="s">
        <v>809</v>
      </c>
      <c r="M139" s="16" t="s">
        <v>1323</v>
      </c>
      <c r="N139" s="16" t="str">
        <f t="shared" si="20"/>
        <v>SELECT EXECUTION_TYPE,SERVICE_INTERCHANGE_ID,CIRCI_KEY,EXECUTION_STATE FROM CIFX.TB_SERVICE_EXECUTION_CONTROL WHERE SERVICE_EXECUTION_CONTROL_ID IN ('1623878587685104-6814804-60-02') AND EXECUTION_TYPE = 'STAGE1_EXECUTION';</v>
      </c>
      <c r="O139" s="7" t="str">
        <f t="shared" si="18"/>
        <v>發送異動通知電文給CIP回傳錯誤碼:UP0090_00_V501,錯誤碼訊息:正確性檢核錯誤,錯誤訊息:[jobTitle該系統無寫入權限]</v>
      </c>
      <c r="P139" s="35" t="str">
        <f t="shared" si="19"/>
        <v>請協助處理</v>
      </c>
      <c r="Q139" s="7"/>
      <c r="R139" s="7"/>
      <c r="S139" s="16"/>
      <c r="T139" s="3" t="s">
        <v>1196</v>
      </c>
      <c r="U139" s="4" t="s">
        <v>17</v>
      </c>
      <c r="V139" s="4" t="s">
        <v>1179</v>
      </c>
      <c r="W139" s="4"/>
      <c r="X139" s="4" t="s">
        <v>1197</v>
      </c>
      <c r="Y139" s="4" t="s">
        <v>1198</v>
      </c>
      <c r="Z139" s="4"/>
      <c r="AA139" s="37" t="s">
        <v>1199</v>
      </c>
      <c r="AB139" s="4"/>
      <c r="AC139" s="4"/>
      <c r="AD139" s="4" t="s">
        <v>1200</v>
      </c>
      <c r="AE139" s="32"/>
      <c r="AF139" s="4"/>
    </row>
    <row r="140" spans="1:32" x14ac:dyDescent="0.25">
      <c r="A140" s="4" t="str">
        <f t="shared" si="15"/>
        <v>'1623878559404523-6814795-84-02',</v>
      </c>
      <c r="B140" s="4" t="str">
        <f t="shared" si="16"/>
        <v>'1623878559927070-6824133-26-01',</v>
      </c>
      <c r="C140" s="15" t="s">
        <v>1356</v>
      </c>
      <c r="D140" s="5" t="s">
        <v>1354</v>
      </c>
      <c r="E140" s="5" t="s">
        <v>1207</v>
      </c>
      <c r="F140" s="5" t="s">
        <v>1355</v>
      </c>
      <c r="G140" s="29"/>
      <c r="H140" s="5"/>
      <c r="I140" s="22" t="s">
        <v>1353</v>
      </c>
      <c r="J140" s="16"/>
      <c r="K140" s="25" t="s">
        <v>1352</v>
      </c>
      <c r="L140" s="16" t="s">
        <v>809</v>
      </c>
      <c r="M140" s="16" t="s">
        <v>1324</v>
      </c>
      <c r="N140" s="16" t="str">
        <f t="shared" si="20"/>
        <v>SELECT EXECUTION_TYPE,SERVICE_INTERCHANGE_ID,CIRCI_KEY,EXECUTION_STATE FROM CIFX.TB_SERVICE_EXECUTION_CONTROL WHERE SERVICE_EXECUTION_CONTROL_ID IN ('1623878559418449-6814795-03-02') AND EXECUTION_TYPE = 'STAGE1_EXECUTION';</v>
      </c>
      <c r="O140" s="7" t="str">
        <f t="shared" si="18"/>
        <v>發送異動通知電文給CIP回傳錯誤碼:UP0090_00_V501,錯誤碼訊息:正確性檢核錯誤,錯誤訊息:[jobTitle該系統無寫入權限]</v>
      </c>
      <c r="P140" s="35" t="str">
        <f t="shared" si="19"/>
        <v>請協助處理</v>
      </c>
      <c r="Q140" s="7"/>
      <c r="R140" s="7"/>
      <c r="S140" s="16"/>
      <c r="T140" s="3" t="s">
        <v>1208</v>
      </c>
      <c r="U140" s="4" t="s">
        <v>1201</v>
      </c>
      <c r="V140" s="4" t="s">
        <v>1179</v>
      </c>
      <c r="W140" s="4"/>
      <c r="X140" s="4" t="s">
        <v>1203</v>
      </c>
      <c r="Y140" s="4" t="s">
        <v>1351</v>
      </c>
      <c r="Z140" s="4"/>
      <c r="AA140" s="37" t="s">
        <v>1205</v>
      </c>
      <c r="AB140" s="4"/>
      <c r="AC140" s="4"/>
      <c r="AD140" s="4" t="s">
        <v>1206</v>
      </c>
      <c r="AE140" s="32"/>
      <c r="AF140" s="4"/>
    </row>
    <row r="141" spans="1:32" x14ac:dyDescent="0.25">
      <c r="A141" s="4" t="str">
        <f t="shared" si="15"/>
        <v>'1623878452210061-6822639-53-01',</v>
      </c>
      <c r="B141" s="4" t="str">
        <f t="shared" si="16"/>
        <v>'1623878452437905-6823959-86-01',</v>
      </c>
      <c r="C141" s="15" t="s">
        <v>1356</v>
      </c>
      <c r="D141" s="5" t="s">
        <v>1354</v>
      </c>
      <c r="E141" s="5" t="s">
        <v>1207</v>
      </c>
      <c r="F141" s="5" t="s">
        <v>1355</v>
      </c>
      <c r="G141" s="29"/>
      <c r="H141" s="5"/>
      <c r="I141" s="22" t="s">
        <v>1353</v>
      </c>
      <c r="J141" s="16"/>
      <c r="K141" s="25" t="s">
        <v>1352</v>
      </c>
      <c r="L141" s="16" t="s">
        <v>809</v>
      </c>
      <c r="M141" s="16" t="s">
        <v>1325</v>
      </c>
      <c r="N141" s="16" t="str">
        <f t="shared" si="20"/>
        <v>SELECT EXECUTION_TYPE,SERVICE_INTERCHANGE_ID,CIRCI_KEY,EXECUTION_STATE FROM CIFX.TB_SERVICE_EXECUTION_CONTROL WHERE SERVICE_EXECUTION_CONTROL_ID IN ('1623878452219130-6822639-65-01') AND EXECUTION_TYPE = 'STAGE1_EXECUTION';</v>
      </c>
      <c r="O141" s="7" t="str">
        <f t="shared" si="18"/>
        <v>發送異動通知電文給CIP回傳錯誤碼:UP0090_00_V501,錯誤碼訊息:正確性檢核錯誤,錯誤訊息:[jobTitle該系統無寫入權限]</v>
      </c>
      <c r="P141" s="35" t="str">
        <f t="shared" si="19"/>
        <v>請協助處理</v>
      </c>
      <c r="Q141" s="7"/>
      <c r="R141" s="7"/>
      <c r="S141" s="16"/>
      <c r="T141" s="3" t="s">
        <v>1209</v>
      </c>
      <c r="U141" s="4" t="s">
        <v>17</v>
      </c>
      <c r="V141" s="4" t="s">
        <v>1179</v>
      </c>
      <c r="W141" s="4"/>
      <c r="X141" s="4" t="s">
        <v>1210</v>
      </c>
      <c r="Y141" s="4" t="s">
        <v>1211</v>
      </c>
      <c r="Z141" s="4"/>
      <c r="AA141" s="37" t="s">
        <v>1212</v>
      </c>
      <c r="AB141" s="4"/>
      <c r="AC141" s="4"/>
      <c r="AD141" s="4" t="s">
        <v>1213</v>
      </c>
      <c r="AE141" s="32"/>
      <c r="AF141" s="4"/>
    </row>
    <row r="142" spans="1:32" x14ac:dyDescent="0.25">
      <c r="A142" s="4" t="str">
        <f t="shared" si="15"/>
        <v>'1623878373698110-6822639-16-01',</v>
      </c>
      <c r="B142" s="4" t="str">
        <f t="shared" si="16"/>
        <v>'1623878374045482-6815291-94-02',</v>
      </c>
      <c r="C142" s="15" t="s">
        <v>1356</v>
      </c>
      <c r="D142" s="5" t="s">
        <v>1354</v>
      </c>
      <c r="E142" s="5" t="s">
        <v>1207</v>
      </c>
      <c r="F142" s="5" t="s">
        <v>1355</v>
      </c>
      <c r="G142" s="29"/>
      <c r="H142" s="5"/>
      <c r="I142" s="22" t="s">
        <v>1353</v>
      </c>
      <c r="J142" s="16"/>
      <c r="K142" s="25" t="s">
        <v>1352</v>
      </c>
      <c r="L142" s="16" t="s">
        <v>809</v>
      </c>
      <c r="M142" s="16" t="s">
        <v>1326</v>
      </c>
      <c r="N142" s="16" t="str">
        <f t="shared" si="20"/>
        <v>SELECT EXECUTION_TYPE,SERVICE_INTERCHANGE_ID,CIRCI_KEY,EXECUTION_STATE FROM CIFX.TB_SERVICE_EXECUTION_CONTROL WHERE SERVICE_EXECUTION_CONTROL_ID IN ('1623878373719672-6822639-68-01') AND EXECUTION_TYPE = 'STAGE1_EXECUTION';</v>
      </c>
      <c r="O142" s="7" t="str">
        <f t="shared" si="18"/>
        <v>發送異動通知電文給CIP回傳錯誤碼:UP0090_00_V501,錯誤碼訊息:正確性檢核錯誤,錯誤訊息:[jobTitle該系統無寫入權限]</v>
      </c>
      <c r="P142" s="35" t="str">
        <f t="shared" si="19"/>
        <v>請協助處理</v>
      </c>
      <c r="Q142" s="7"/>
      <c r="R142" s="7"/>
      <c r="S142" s="16"/>
      <c r="T142" s="3" t="s">
        <v>1214</v>
      </c>
      <c r="U142" s="4" t="s">
        <v>17</v>
      </c>
      <c r="V142" s="4" t="s">
        <v>1179</v>
      </c>
      <c r="W142" s="4"/>
      <c r="X142" s="4" t="s">
        <v>1215</v>
      </c>
      <c r="Y142" s="4" t="s">
        <v>1216</v>
      </c>
      <c r="Z142" s="4"/>
      <c r="AA142" s="37" t="s">
        <v>1217</v>
      </c>
      <c r="AB142" s="4"/>
      <c r="AC142" s="4"/>
      <c r="AD142" s="4" t="s">
        <v>1218</v>
      </c>
      <c r="AE142" s="32"/>
      <c r="AF142" s="4"/>
    </row>
    <row r="143" spans="1:32" x14ac:dyDescent="0.25">
      <c r="A143" s="4" t="str">
        <f t="shared" si="15"/>
        <v>'1623878559404523-6814795-84-02',</v>
      </c>
      <c r="B143" s="4" t="str">
        <f t="shared" si="16"/>
        <v>'1623878559927070-6824133-26-01',</v>
      </c>
      <c r="C143" s="15" t="s">
        <v>1356</v>
      </c>
      <c r="D143" s="5" t="s">
        <v>1354</v>
      </c>
      <c r="E143" s="5" t="s">
        <v>1207</v>
      </c>
      <c r="F143" s="5" t="s">
        <v>1355</v>
      </c>
      <c r="G143" s="29"/>
      <c r="H143" s="5"/>
      <c r="I143" s="22" t="s">
        <v>1353</v>
      </c>
      <c r="J143" s="16"/>
      <c r="K143" s="25" t="s">
        <v>1352</v>
      </c>
      <c r="L143" s="16" t="s">
        <v>809</v>
      </c>
      <c r="M143" s="16" t="s">
        <v>1324</v>
      </c>
      <c r="N143" s="16" t="str">
        <f t="shared" si="20"/>
        <v>SELECT EXECUTION_TYPE,SERVICE_INTERCHANGE_ID,CIRCI_KEY,EXECUTION_STATE FROM CIFX.TB_SERVICE_EXECUTION_CONTROL WHERE SERVICE_EXECUTION_CONTROL_ID IN ('1623878559418449-6814795-03-02') AND EXECUTION_TYPE = 'STAGE1_EXECUTION';</v>
      </c>
      <c r="O143" s="7" t="str">
        <f t="shared" si="18"/>
        <v>發送異動通知電文給CIP回傳錯誤碼:UP0090_00_V501,錯誤碼訊息:正確性檢核錯誤,錯誤訊息:[jobTitle該系統無寫入權限]</v>
      </c>
      <c r="P143" s="35" t="str">
        <f t="shared" si="19"/>
        <v>請協助處理</v>
      </c>
      <c r="Q143" s="7"/>
      <c r="R143" s="7"/>
      <c r="S143" s="16"/>
      <c r="T143" s="3" t="s">
        <v>1202</v>
      </c>
      <c r="U143" s="4" t="s">
        <v>17</v>
      </c>
      <c r="V143" s="4" t="s">
        <v>1179</v>
      </c>
      <c r="W143" s="4"/>
      <c r="X143" s="4" t="s">
        <v>1203</v>
      </c>
      <c r="Y143" s="4" t="s">
        <v>1204</v>
      </c>
      <c r="Z143" s="4"/>
      <c r="AA143" s="37" t="s">
        <v>1205</v>
      </c>
      <c r="AB143" s="4"/>
      <c r="AC143" s="4"/>
      <c r="AD143" s="4" t="s">
        <v>1206</v>
      </c>
      <c r="AE143" s="32"/>
      <c r="AF143" s="4"/>
    </row>
    <row r="144" spans="1:32" x14ac:dyDescent="0.25">
      <c r="A144" s="4" t="str">
        <f t="shared" si="15"/>
        <v>'1623878351553739-6812538-26-01',</v>
      </c>
      <c r="B144" s="4" t="str">
        <f t="shared" si="16"/>
        <v>'1623878351823856-6815291-74-02',</v>
      </c>
      <c r="C144" s="15" t="s">
        <v>1356</v>
      </c>
      <c r="D144" s="5" t="s">
        <v>1354</v>
      </c>
      <c r="E144" s="5" t="s">
        <v>1207</v>
      </c>
      <c r="F144" s="5" t="s">
        <v>1355</v>
      </c>
      <c r="G144" s="29"/>
      <c r="H144" s="5"/>
      <c r="I144" s="22" t="s">
        <v>1353</v>
      </c>
      <c r="J144" s="16"/>
      <c r="K144" s="25" t="s">
        <v>1352</v>
      </c>
      <c r="L144" s="16" t="s">
        <v>809</v>
      </c>
      <c r="M144" s="16" t="s">
        <v>1327</v>
      </c>
      <c r="N144" s="16" t="str">
        <f t="shared" si="20"/>
        <v>SELECT EXECUTION_TYPE,SERVICE_INTERCHANGE_ID,CIRCI_KEY,EXECUTION_STATE FROM CIFX.TB_SERVICE_EXECUTION_CONTROL WHERE SERVICE_EXECUTION_CONTROL_ID IN ('1623878351563324-6812538-45-01') AND EXECUTION_TYPE = 'STAGE1_EXECUTION';</v>
      </c>
      <c r="O144" s="7" t="str">
        <f t="shared" si="18"/>
        <v>發送異動通知電文給CIP回傳錯誤碼:UP0090_00_V501,錯誤碼訊息:正確性檢核錯誤,錯誤訊息:[jobTitle該系統無寫入權限]</v>
      </c>
      <c r="P144" s="7" t="str">
        <f t="shared" si="19"/>
        <v>請協助處理</v>
      </c>
      <c r="Q144" s="7"/>
      <c r="R144" s="7"/>
      <c r="S144" s="16"/>
      <c r="T144" s="3" t="s">
        <v>1219</v>
      </c>
      <c r="U144" s="4" t="s">
        <v>17</v>
      </c>
      <c r="V144" s="4" t="s">
        <v>1179</v>
      </c>
      <c r="W144" s="4"/>
      <c r="X144" s="4" t="s">
        <v>1220</v>
      </c>
      <c r="Y144" s="4" t="s">
        <v>1221</v>
      </c>
      <c r="Z144" s="4"/>
      <c r="AA144" s="37" t="s">
        <v>1222</v>
      </c>
      <c r="AB144" s="4"/>
      <c r="AC144" s="4"/>
      <c r="AD144" s="4" t="s">
        <v>1223</v>
      </c>
      <c r="AE144" s="4"/>
      <c r="AF144" s="4"/>
    </row>
    <row r="145" spans="1:32" x14ac:dyDescent="0.25">
      <c r="A145" s="4" t="str">
        <f t="shared" si="15"/>
        <v>'1623878349137325-6822639-49-01',</v>
      </c>
      <c r="B145" s="4" t="str">
        <f t="shared" si="16"/>
        <v>'1623878349462176-6824057-38-01',</v>
      </c>
      <c r="C145" s="15" t="s">
        <v>1356</v>
      </c>
      <c r="D145" s="5" t="s">
        <v>1354</v>
      </c>
      <c r="E145" s="5" t="s">
        <v>1207</v>
      </c>
      <c r="F145" s="5" t="s">
        <v>1355</v>
      </c>
      <c r="G145" s="29"/>
      <c r="H145" s="5"/>
      <c r="I145" s="22" t="s">
        <v>1353</v>
      </c>
      <c r="J145" s="16"/>
      <c r="K145" s="25" t="s">
        <v>1352</v>
      </c>
      <c r="L145" s="16" t="s">
        <v>809</v>
      </c>
      <c r="M145" s="16" t="s">
        <v>1328</v>
      </c>
      <c r="N145" s="16" t="str">
        <f t="shared" si="20"/>
        <v>SELECT EXECUTION_TYPE,SERVICE_INTERCHANGE_ID,CIRCI_KEY,EXECUTION_STATE FROM CIFX.TB_SERVICE_EXECUTION_CONTROL WHERE SERVICE_EXECUTION_CONTROL_ID IN ('1623878349160884-6822639-08-01') AND EXECUTION_TYPE = 'STAGE1_EXECUTION';</v>
      </c>
      <c r="O145" s="7" t="str">
        <f t="shared" si="18"/>
        <v>發送異動通知電文給CIP回傳錯誤碼:UP0090_00_V501,錯誤碼訊息:正確性檢核錯誤,錯誤訊息:[jobTitle該系統無寫入權限]</v>
      </c>
      <c r="P145" s="7" t="str">
        <f t="shared" si="19"/>
        <v>請協助處理</v>
      </c>
      <c r="Q145" s="7"/>
      <c r="R145" s="7"/>
      <c r="S145" s="16"/>
      <c r="T145" s="3" t="s">
        <v>1224</v>
      </c>
      <c r="U145" s="4" t="s">
        <v>17</v>
      </c>
      <c r="V145" s="4" t="s">
        <v>1179</v>
      </c>
      <c r="W145" s="4"/>
      <c r="X145" s="4" t="s">
        <v>1225</v>
      </c>
      <c r="Y145" s="4" t="s">
        <v>1226</v>
      </c>
      <c r="Z145" s="4"/>
      <c r="AA145" s="37" t="s">
        <v>1227</v>
      </c>
      <c r="AB145" s="4"/>
      <c r="AC145" s="4"/>
      <c r="AD145" s="4" t="s">
        <v>1228</v>
      </c>
      <c r="AE145" s="4"/>
      <c r="AF145" s="4"/>
    </row>
    <row r="146" spans="1:32" x14ac:dyDescent="0.25">
      <c r="A146" s="4" t="str">
        <f t="shared" si="15"/>
        <v>'1623878347360928-6812517-58-01',</v>
      </c>
      <c r="B146" s="4" t="str">
        <f t="shared" si="16"/>
        <v>'1623878347768471-6824133-89-01',</v>
      </c>
      <c r="C146" s="15" t="s">
        <v>1356</v>
      </c>
      <c r="D146" s="5" t="s">
        <v>1354</v>
      </c>
      <c r="E146" s="5" t="s">
        <v>1207</v>
      </c>
      <c r="F146" s="5" t="s">
        <v>1355</v>
      </c>
      <c r="G146" s="29"/>
      <c r="H146" s="5"/>
      <c r="I146" s="22" t="s">
        <v>1353</v>
      </c>
      <c r="J146" s="16"/>
      <c r="K146" s="25" t="s">
        <v>1352</v>
      </c>
      <c r="L146" s="16" t="s">
        <v>809</v>
      </c>
      <c r="M146" s="16" t="s">
        <v>1329</v>
      </c>
      <c r="N146" s="16" t="str">
        <f t="shared" si="20"/>
        <v>SELECT EXECUTION_TYPE,SERVICE_INTERCHANGE_ID,CIRCI_KEY,EXECUTION_STATE FROM CIFX.TB_SERVICE_EXECUTION_CONTROL WHERE SERVICE_EXECUTION_CONTROL_ID IN ('1623878347371815-6812517-70-01') AND EXECUTION_TYPE = 'STAGE1_EXECUTION';</v>
      </c>
      <c r="O146" s="7" t="str">
        <f t="shared" si="18"/>
        <v>發送異動通知電文給CIP回傳錯誤碼:UP0090_00_V501,錯誤碼訊息:正確性檢核錯誤,錯誤訊息:[jobTitle該系統無寫入權限]</v>
      </c>
      <c r="P146" s="7" t="str">
        <f t="shared" si="19"/>
        <v>請協助處理</v>
      </c>
      <c r="Q146" s="7"/>
      <c r="R146" s="7"/>
      <c r="S146" s="16"/>
      <c r="T146" s="3" t="s">
        <v>1229</v>
      </c>
      <c r="U146" s="4" t="s">
        <v>17</v>
      </c>
      <c r="V146" s="4" t="s">
        <v>1179</v>
      </c>
      <c r="W146" s="4"/>
      <c r="X146" s="4" t="s">
        <v>1230</v>
      </c>
      <c r="Y146" s="4" t="s">
        <v>1231</v>
      </c>
      <c r="Z146" s="4"/>
      <c r="AA146" s="37" t="s">
        <v>1232</v>
      </c>
      <c r="AB146" s="4"/>
      <c r="AC146" s="4"/>
      <c r="AD146" s="4" t="s">
        <v>1233</v>
      </c>
      <c r="AE146" s="4"/>
      <c r="AF146" s="4"/>
    </row>
    <row r="147" spans="1:32" x14ac:dyDescent="0.25">
      <c r="A147" s="4" t="str">
        <f t="shared" si="15"/>
        <v>'1623878218447498-6813567-79-02',</v>
      </c>
      <c r="B147" s="4" t="str">
        <f t="shared" si="16"/>
        <v>'1623878218671604-6823961-17-01',</v>
      </c>
      <c r="C147" s="15" t="s">
        <v>1356</v>
      </c>
      <c r="D147" s="5" t="s">
        <v>1354</v>
      </c>
      <c r="E147" s="5" t="s">
        <v>1207</v>
      </c>
      <c r="F147" s="5" t="s">
        <v>1355</v>
      </c>
      <c r="G147" s="29"/>
      <c r="H147" s="5"/>
      <c r="I147" s="22" t="s">
        <v>1353</v>
      </c>
      <c r="J147" s="16"/>
      <c r="K147" s="25" t="s">
        <v>1352</v>
      </c>
      <c r="L147" s="16" t="s">
        <v>809</v>
      </c>
      <c r="M147" s="16" t="s">
        <v>1330</v>
      </c>
      <c r="N147" s="16" t="str">
        <f t="shared" si="20"/>
        <v>SELECT EXECUTION_TYPE,SERVICE_INTERCHANGE_ID,CIRCI_KEY,EXECUTION_STATE FROM CIFX.TB_SERVICE_EXECUTION_CONTROL WHERE SERVICE_EXECUTION_CONTROL_ID IN ('1623878218459857-6813567-95-02') AND EXECUTION_TYPE = 'STAGE1_EXECUTION';</v>
      </c>
      <c r="O147" s="7" t="str">
        <f t="shared" si="18"/>
        <v>發送異動通知電文給CIP回傳錯誤碼:UP0090_00_V501,錯誤碼訊息:正確性檢核錯誤,錯誤訊息:[jobTitle該系統無寫入權限]</v>
      </c>
      <c r="P147" s="7" t="str">
        <f t="shared" si="19"/>
        <v>請協助處理</v>
      </c>
      <c r="Q147" s="7"/>
      <c r="R147" s="7"/>
      <c r="S147" s="16"/>
      <c r="T147" s="3" t="s">
        <v>1234</v>
      </c>
      <c r="U147" s="4" t="s">
        <v>17</v>
      </c>
      <c r="V147" s="4" t="s">
        <v>1179</v>
      </c>
      <c r="W147" s="4"/>
      <c r="X147" s="4" t="s">
        <v>1235</v>
      </c>
      <c r="Y147" s="4" t="s">
        <v>1236</v>
      </c>
      <c r="Z147" s="4"/>
      <c r="AA147" s="37" t="s">
        <v>1237</v>
      </c>
      <c r="AB147" s="4"/>
      <c r="AC147" s="4"/>
      <c r="AD147" s="4" t="s">
        <v>1238</v>
      </c>
      <c r="AE147" s="4"/>
      <c r="AF147" s="4"/>
    </row>
    <row r="148" spans="1:32" x14ac:dyDescent="0.25">
      <c r="A148" s="4" t="str">
        <f t="shared" si="15"/>
        <v>'1623878161677685-6813430-61-02',</v>
      </c>
      <c r="B148" s="4" t="str">
        <f t="shared" si="16"/>
        <v>'1623878161979703-6824133-36-01',</v>
      </c>
      <c r="C148" s="15" t="s">
        <v>1356</v>
      </c>
      <c r="D148" s="5" t="s">
        <v>1354</v>
      </c>
      <c r="E148" s="5" t="s">
        <v>1207</v>
      </c>
      <c r="F148" s="5" t="s">
        <v>1355</v>
      </c>
      <c r="G148" s="29"/>
      <c r="H148" s="5"/>
      <c r="I148" s="22" t="s">
        <v>1353</v>
      </c>
      <c r="J148" s="16"/>
      <c r="K148" s="25" t="s">
        <v>1352</v>
      </c>
      <c r="L148" s="16" t="s">
        <v>809</v>
      </c>
      <c r="M148" s="16" t="s">
        <v>1331</v>
      </c>
      <c r="N148" s="16" t="str">
        <f t="shared" si="20"/>
        <v>SELECT EXECUTION_TYPE,SERVICE_INTERCHANGE_ID,CIRCI_KEY,EXECUTION_STATE FROM CIFX.TB_SERVICE_EXECUTION_CONTROL WHERE SERVICE_EXECUTION_CONTROL_ID IN ('1623878161697042-6813430-14-02') AND EXECUTION_TYPE = 'STAGE1_EXECUTION';</v>
      </c>
      <c r="O148" s="7" t="str">
        <f t="shared" si="18"/>
        <v>發送異動通知電文給CIP回傳錯誤碼:UP0090_00_V501,錯誤碼訊息:正確性檢核錯誤,錯誤訊息:[jobTitle該系統無寫入權限]</v>
      </c>
      <c r="P148" s="7" t="str">
        <f t="shared" si="19"/>
        <v>請協助處理</v>
      </c>
      <c r="Q148" s="7"/>
      <c r="R148" s="7"/>
      <c r="S148" s="16"/>
      <c r="T148" s="3" t="s">
        <v>1239</v>
      </c>
      <c r="U148" s="4" t="s">
        <v>17</v>
      </c>
      <c r="V148" s="4" t="s">
        <v>1179</v>
      </c>
      <c r="W148" s="4"/>
      <c r="X148" s="4" t="s">
        <v>1742</v>
      </c>
      <c r="Y148" s="4" t="s">
        <v>1240</v>
      </c>
      <c r="Z148" s="4"/>
      <c r="AA148" s="37" t="s">
        <v>1241</v>
      </c>
      <c r="AB148" s="4"/>
      <c r="AC148" s="4"/>
      <c r="AD148" s="4" t="s">
        <v>1242</v>
      </c>
      <c r="AE148" s="4"/>
      <c r="AF148" s="4"/>
    </row>
    <row r="149" spans="1:32" x14ac:dyDescent="0.25">
      <c r="A149" s="4" t="str">
        <f t="shared" si="15"/>
        <v>'1623878142720968-6813430-15-02',</v>
      </c>
      <c r="B149" s="4" t="str">
        <f t="shared" si="16"/>
        <v>'1623878143006342-6824133-58-01',</v>
      </c>
      <c r="C149" s="15" t="s">
        <v>1356</v>
      </c>
      <c r="D149" s="5" t="s">
        <v>1354</v>
      </c>
      <c r="E149" s="5" t="s">
        <v>1207</v>
      </c>
      <c r="F149" s="5" t="s">
        <v>1355</v>
      </c>
      <c r="G149" s="29"/>
      <c r="H149" s="5"/>
      <c r="I149" s="22" t="s">
        <v>1353</v>
      </c>
      <c r="J149" s="16"/>
      <c r="K149" s="25" t="s">
        <v>1352</v>
      </c>
      <c r="L149" s="16" t="s">
        <v>809</v>
      </c>
      <c r="M149" s="16" t="s">
        <v>1332</v>
      </c>
      <c r="N149" s="16" t="str">
        <f t="shared" si="20"/>
        <v>SELECT EXECUTION_TYPE,SERVICE_INTERCHANGE_ID,CIRCI_KEY,EXECUTION_STATE FROM CIFX.TB_SERVICE_EXECUTION_CONTROL WHERE SERVICE_EXECUTION_CONTROL_ID IN ('1623878142733119-6813430-42-02') AND EXECUTION_TYPE = 'STAGE1_EXECUTION';</v>
      </c>
      <c r="O149" s="7" t="str">
        <f t="shared" si="18"/>
        <v>發送異動通知電文給CIP回傳錯誤碼:UP0090_00_V501,錯誤碼訊息:正確性檢核錯誤,錯誤訊息:[jobTitle該系統無寫入權限]</v>
      </c>
      <c r="P149" s="7" t="str">
        <f t="shared" si="19"/>
        <v>請協助處理</v>
      </c>
      <c r="Q149" s="7"/>
      <c r="R149" s="7"/>
      <c r="S149" s="16"/>
      <c r="T149" s="3" t="s">
        <v>1243</v>
      </c>
      <c r="U149" s="4" t="s">
        <v>17</v>
      </c>
      <c r="V149" s="4" t="s">
        <v>1179</v>
      </c>
      <c r="W149" s="4"/>
      <c r="X149" s="4" t="s">
        <v>1244</v>
      </c>
      <c r="Y149" s="4" t="s">
        <v>1245</v>
      </c>
      <c r="Z149" s="4"/>
      <c r="AA149" s="37" t="s">
        <v>1246</v>
      </c>
      <c r="AB149" s="4"/>
      <c r="AC149" s="4"/>
      <c r="AD149" s="4" t="s">
        <v>1247</v>
      </c>
      <c r="AE149" s="4"/>
      <c r="AF149" s="4"/>
    </row>
    <row r="150" spans="1:32" x14ac:dyDescent="0.25">
      <c r="A150" s="4" t="str">
        <f t="shared" si="15"/>
        <v>'1623878031878632-6812270-87-01',</v>
      </c>
      <c r="B150" s="4" t="str">
        <f t="shared" si="16"/>
        <v>'1623878032407794-6824133-60-01',</v>
      </c>
      <c r="C150" s="15" t="s">
        <v>1356</v>
      </c>
      <c r="D150" s="5" t="s">
        <v>1354</v>
      </c>
      <c r="E150" s="5" t="s">
        <v>1207</v>
      </c>
      <c r="F150" s="5" t="s">
        <v>1355</v>
      </c>
      <c r="G150" s="29"/>
      <c r="H150" s="5"/>
      <c r="I150" s="22" t="s">
        <v>1353</v>
      </c>
      <c r="J150" s="16"/>
      <c r="K150" s="25" t="s">
        <v>1352</v>
      </c>
      <c r="L150" s="16" t="s">
        <v>809</v>
      </c>
      <c r="M150" s="16" t="s">
        <v>1333</v>
      </c>
      <c r="N150" s="16" t="str">
        <f t="shared" si="20"/>
        <v>SELECT EXECUTION_TYPE,SERVICE_INTERCHANGE_ID,CIRCI_KEY,EXECUTION_STATE FROM CIFX.TB_SERVICE_EXECUTION_CONTROL WHERE SERVICE_EXECUTION_CONTROL_ID IN ('1623878031905826-6812270-39-01') AND EXECUTION_TYPE = 'STAGE1_EXECUTION';</v>
      </c>
      <c r="O150" s="7" t="str">
        <f t="shared" si="18"/>
        <v>發送異動通知電文給CIP回傳錯誤碼:UP0090_00_V501,錯誤碼訊息:正確性檢核錯誤,錯誤訊息:[jobTitle該系統無寫入權限]</v>
      </c>
      <c r="P150" s="7" t="str">
        <f t="shared" si="19"/>
        <v>請協助處理</v>
      </c>
      <c r="Q150" s="7"/>
      <c r="R150" s="7"/>
      <c r="S150" s="16"/>
      <c r="T150" s="3" t="s">
        <v>1248</v>
      </c>
      <c r="U150" s="4" t="s">
        <v>17</v>
      </c>
      <c r="V150" s="4" t="s">
        <v>1179</v>
      </c>
      <c r="W150" s="4"/>
      <c r="X150" s="4" t="s">
        <v>1249</v>
      </c>
      <c r="Y150" s="4" t="s">
        <v>1250</v>
      </c>
      <c r="Z150" s="4"/>
      <c r="AA150" s="37" t="s">
        <v>1251</v>
      </c>
      <c r="AB150" s="4"/>
      <c r="AC150" s="4"/>
      <c r="AD150" s="4" t="s">
        <v>1252</v>
      </c>
      <c r="AE150" s="4"/>
      <c r="AF150" s="4"/>
    </row>
    <row r="151" spans="1:32" x14ac:dyDescent="0.25">
      <c r="A151" s="4" t="str">
        <f t="shared" si="15"/>
        <v>'1623878006829577-6813300-30-02',</v>
      </c>
      <c r="B151" s="4" t="str">
        <f t="shared" si="16"/>
        <v>'1623878007136775-6824058-95-01',</v>
      </c>
      <c r="C151" s="15" t="s">
        <v>1356</v>
      </c>
      <c r="D151" s="5" t="s">
        <v>1354</v>
      </c>
      <c r="E151" s="5" t="s">
        <v>1207</v>
      </c>
      <c r="F151" s="5" t="s">
        <v>1355</v>
      </c>
      <c r="G151" s="29"/>
      <c r="H151" s="5"/>
      <c r="I151" s="22" t="s">
        <v>1353</v>
      </c>
      <c r="J151" s="16"/>
      <c r="K151" s="25" t="s">
        <v>1352</v>
      </c>
      <c r="L151" s="16" t="s">
        <v>809</v>
      </c>
      <c r="M151" s="16" t="s">
        <v>1334</v>
      </c>
      <c r="N151" s="16" t="str">
        <f t="shared" si="20"/>
        <v>SELECT EXECUTION_TYPE,SERVICE_INTERCHANGE_ID,CIRCI_KEY,EXECUTION_STATE FROM CIFX.TB_SERVICE_EXECUTION_CONTROL WHERE SERVICE_EXECUTION_CONTROL_ID IN ('1623878006854425-6813300-85-02') AND EXECUTION_TYPE = 'STAGE1_EXECUTION';</v>
      </c>
      <c r="O151" s="7" t="str">
        <f t="shared" si="18"/>
        <v>發送異動通知電文給CIP回傳錯誤碼:UP0090_00_V501,錯誤碼訊息:正確性檢核錯誤,錯誤訊息:[jobTitle該系統無寫入權限]</v>
      </c>
      <c r="P151" s="7" t="str">
        <f t="shared" si="19"/>
        <v>請協助處理</v>
      </c>
      <c r="Q151" s="7"/>
      <c r="R151" s="7"/>
      <c r="S151" s="16"/>
      <c r="T151" s="3" t="s">
        <v>1253</v>
      </c>
      <c r="U151" s="4" t="s">
        <v>17</v>
      </c>
      <c r="V151" s="4" t="s">
        <v>1179</v>
      </c>
      <c r="W151" s="4"/>
      <c r="X151" s="4" t="s">
        <v>1254</v>
      </c>
      <c r="Y151" s="4" t="s">
        <v>1255</v>
      </c>
      <c r="Z151" s="4"/>
      <c r="AA151" s="37" t="s">
        <v>1256</v>
      </c>
      <c r="AB151" s="4"/>
      <c r="AC151" s="4"/>
      <c r="AD151" s="4" t="s">
        <v>1257</v>
      </c>
      <c r="AE151" s="4"/>
      <c r="AF151" s="4"/>
    </row>
    <row r="152" spans="1:32" x14ac:dyDescent="0.25">
      <c r="A152" s="4" t="str">
        <f t="shared" si="15"/>
        <v>'1623877969288975-6813300-74-02',</v>
      </c>
      <c r="B152" s="4" t="str">
        <f t="shared" si="16"/>
        <v>'1623877969573375-6823689-45-01',</v>
      </c>
      <c r="C152" s="15" t="s">
        <v>1356</v>
      </c>
      <c r="D152" s="5" t="s">
        <v>1354</v>
      </c>
      <c r="E152" s="5" t="s">
        <v>1207</v>
      </c>
      <c r="F152" s="5" t="s">
        <v>1355</v>
      </c>
      <c r="G152" s="29"/>
      <c r="H152" s="5"/>
      <c r="I152" s="22" t="s">
        <v>1353</v>
      </c>
      <c r="J152" s="16"/>
      <c r="K152" s="25" t="s">
        <v>1352</v>
      </c>
      <c r="L152" s="16" t="s">
        <v>809</v>
      </c>
      <c r="M152" s="16" t="s">
        <v>1335</v>
      </c>
      <c r="N152" s="16" t="str">
        <f t="shared" si="20"/>
        <v>SELECT EXECUTION_TYPE,SERVICE_INTERCHANGE_ID,CIRCI_KEY,EXECUTION_STATE FROM CIFX.TB_SERVICE_EXECUTION_CONTROL WHERE SERVICE_EXECUTION_CONTROL_ID IN ('1623877969299819-6813300-85-02') AND EXECUTION_TYPE = 'STAGE1_EXECUTION';</v>
      </c>
      <c r="O152" s="7" t="str">
        <f t="shared" si="18"/>
        <v>發送異動通知電文給CIP回傳錯誤碼:UP0090_00_V501,錯誤碼訊息:正確性檢核錯誤,錯誤訊息:[jobTitle該系統無寫入權限]</v>
      </c>
      <c r="P152" s="7" t="str">
        <f t="shared" si="19"/>
        <v>請協助處理</v>
      </c>
      <c r="Q152" s="7"/>
      <c r="R152" s="7"/>
      <c r="S152" s="16"/>
      <c r="T152" s="3" t="s">
        <v>1258</v>
      </c>
      <c r="U152" s="4" t="s">
        <v>17</v>
      </c>
      <c r="V152" s="4" t="s">
        <v>1179</v>
      </c>
      <c r="W152" s="4"/>
      <c r="X152" s="4" t="s">
        <v>1259</v>
      </c>
      <c r="Y152" s="4" t="s">
        <v>1260</v>
      </c>
      <c r="Z152" s="4"/>
      <c r="AA152" s="37" t="s">
        <v>1261</v>
      </c>
      <c r="AB152" s="4"/>
      <c r="AC152" s="4"/>
      <c r="AD152" s="4" t="s">
        <v>1262</v>
      </c>
      <c r="AE152" s="4"/>
      <c r="AF152" s="4"/>
    </row>
    <row r="153" spans="1:32" x14ac:dyDescent="0.25">
      <c r="A153" s="4" t="str">
        <f t="shared" si="15"/>
        <v>'1623877918290833-6812203-36-01',</v>
      </c>
      <c r="B153" s="4" t="str">
        <f t="shared" si="16"/>
        <v>'1623877918630704-6814710-98-02',</v>
      </c>
      <c r="C153" s="15" t="s">
        <v>1356</v>
      </c>
      <c r="D153" s="5" t="s">
        <v>1354</v>
      </c>
      <c r="E153" s="5" t="s">
        <v>1207</v>
      </c>
      <c r="F153" s="5" t="s">
        <v>1355</v>
      </c>
      <c r="G153" s="29"/>
      <c r="H153" s="5"/>
      <c r="I153" s="22" t="s">
        <v>1353</v>
      </c>
      <c r="J153" s="16"/>
      <c r="K153" s="25" t="s">
        <v>1352</v>
      </c>
      <c r="L153" s="16" t="s">
        <v>809</v>
      </c>
      <c r="M153" s="16" t="s">
        <v>1336</v>
      </c>
      <c r="N153" s="16" t="str">
        <f t="shared" si="20"/>
        <v>SELECT EXECUTION_TYPE,SERVICE_INTERCHANGE_ID,CIRCI_KEY,EXECUTION_STATE FROM CIFX.TB_SERVICE_EXECUTION_CONTROL WHERE SERVICE_EXECUTION_CONTROL_ID IN ('1623877918303399-6812203-61-01') AND EXECUTION_TYPE = 'STAGE1_EXECUTION';</v>
      </c>
      <c r="O153" s="7" t="str">
        <f t="shared" si="18"/>
        <v>發送異動通知電文給CIP回傳錯誤碼:UP0090_00_V501,錯誤碼訊息:正確性檢核錯誤,錯誤訊息:[jobTitle該系統無寫入權限]</v>
      </c>
      <c r="P153" s="7" t="str">
        <f t="shared" si="19"/>
        <v>請協助處理</v>
      </c>
      <c r="Q153" s="7"/>
      <c r="R153" s="7"/>
      <c r="S153" s="16"/>
      <c r="T153" s="3" t="s">
        <v>1263</v>
      </c>
      <c r="U153" s="4" t="s">
        <v>17</v>
      </c>
      <c r="V153" s="4" t="s">
        <v>1179</v>
      </c>
      <c r="W153" s="4"/>
      <c r="X153" s="4" t="s">
        <v>1743</v>
      </c>
      <c r="Y153" s="4" t="s">
        <v>1264</v>
      </c>
      <c r="Z153" s="4"/>
      <c r="AA153" s="37" t="s">
        <v>1265</v>
      </c>
      <c r="AB153" s="4"/>
      <c r="AC153" s="4"/>
      <c r="AD153" s="4" t="s">
        <v>1266</v>
      </c>
      <c r="AE153" s="4"/>
      <c r="AF153" s="4"/>
    </row>
    <row r="154" spans="1:32" x14ac:dyDescent="0.25">
      <c r="A154" s="4" t="str">
        <f t="shared" ref="A154:A210" si="21">"'"&amp;X154&amp;"',"</f>
        <v>'1623877832941884-6812114-12-01',</v>
      </c>
      <c r="B154" s="4" t="str">
        <f t="shared" ref="B154:B210" si="22">"'"&amp;T154&amp;"',"</f>
        <v>'1623877833333151-6814583-54-02',</v>
      </c>
      <c r="C154" s="15" t="s">
        <v>1356</v>
      </c>
      <c r="D154" s="5" t="s">
        <v>1354</v>
      </c>
      <c r="E154" s="5" t="s">
        <v>1207</v>
      </c>
      <c r="F154" s="5" t="s">
        <v>1355</v>
      </c>
      <c r="G154" s="29"/>
      <c r="H154" s="5"/>
      <c r="I154" s="22" t="s">
        <v>1353</v>
      </c>
      <c r="J154" s="16"/>
      <c r="K154" s="25" t="s">
        <v>1352</v>
      </c>
      <c r="L154" s="16" t="s">
        <v>809</v>
      </c>
      <c r="M154" s="16" t="s">
        <v>1337</v>
      </c>
      <c r="N154" s="16" t="str">
        <f t="shared" si="20"/>
        <v>SELECT EXECUTION_TYPE,SERVICE_INTERCHANGE_ID,CIRCI_KEY,EXECUTION_STATE FROM CIFX.TB_SERVICE_EXECUTION_CONTROL WHERE SERVICE_EXECUTION_CONTROL_ID IN ('1623877832950069-6812114-26-01') AND EXECUTION_TYPE = 'STAGE1_EXECUTION';</v>
      </c>
      <c r="O154" s="7" t="str">
        <f t="shared" si="18"/>
        <v>發送異動通知電文給CIP回傳錯誤碼:UP0090_00_V501,錯誤碼訊息:正確性檢核錯誤,錯誤訊息:[jobTitle該系統無寫入權限]</v>
      </c>
      <c r="P154" s="7" t="str">
        <f t="shared" si="19"/>
        <v>請協助處理</v>
      </c>
      <c r="Q154" s="7"/>
      <c r="R154" s="7"/>
      <c r="S154" s="16"/>
      <c r="T154" s="3" t="s">
        <v>1267</v>
      </c>
      <c r="U154" s="4" t="s">
        <v>17</v>
      </c>
      <c r="V154" s="4" t="s">
        <v>1179</v>
      </c>
      <c r="W154" s="4"/>
      <c r="X154" s="4" t="s">
        <v>1268</v>
      </c>
      <c r="Y154" s="4" t="s">
        <v>1269</v>
      </c>
      <c r="Z154" s="4"/>
      <c r="AA154" s="37" t="s">
        <v>1270</v>
      </c>
      <c r="AB154" s="4"/>
      <c r="AC154" s="4"/>
      <c r="AD154" s="4" t="s">
        <v>1271</v>
      </c>
      <c r="AE154" s="4"/>
      <c r="AF154" s="4"/>
    </row>
    <row r="155" spans="1:32" x14ac:dyDescent="0.25">
      <c r="A155" s="4" t="str">
        <f t="shared" si="21"/>
        <v>'1623877651636124-6812051-10-01',</v>
      </c>
      <c r="B155" s="4" t="str">
        <f t="shared" si="22"/>
        <v>'1623877652061074-6823689-48-01',</v>
      </c>
      <c r="C155" s="15" t="s">
        <v>1356</v>
      </c>
      <c r="D155" s="5" t="s">
        <v>1354</v>
      </c>
      <c r="E155" s="5" t="s">
        <v>1207</v>
      </c>
      <c r="F155" s="5" t="s">
        <v>1355</v>
      </c>
      <c r="G155" s="29"/>
      <c r="H155" s="5"/>
      <c r="I155" s="22" t="s">
        <v>1353</v>
      </c>
      <c r="J155" s="16"/>
      <c r="K155" s="25" t="s">
        <v>1352</v>
      </c>
      <c r="L155" s="16" t="s">
        <v>809</v>
      </c>
      <c r="M155" s="16" t="s">
        <v>1338</v>
      </c>
      <c r="N155" s="16" t="str">
        <f t="shared" si="20"/>
        <v>SELECT EXECUTION_TYPE,SERVICE_INTERCHANGE_ID,CIRCI_KEY,EXECUTION_STATE FROM CIFX.TB_SERVICE_EXECUTION_CONTROL WHERE SERVICE_EXECUTION_CONTROL_ID IN ('1623877651648490-6812051-32-01') AND EXECUTION_TYPE = 'STAGE1_EXECUTION';</v>
      </c>
      <c r="O155" s="7" t="str">
        <f t="shared" si="18"/>
        <v>發送異動通知電文給CIP回傳錯誤碼:UP0090_00_V501,錯誤碼訊息:正確性檢核錯誤,錯誤訊息:[jobTitle該系統無寫入權限]</v>
      </c>
      <c r="P155" s="7" t="str">
        <f t="shared" si="19"/>
        <v>請協助處理</v>
      </c>
      <c r="Q155" s="7"/>
      <c r="R155" s="7"/>
      <c r="S155" s="16"/>
      <c r="T155" s="3" t="s">
        <v>1272</v>
      </c>
      <c r="U155" s="4" t="s">
        <v>17</v>
      </c>
      <c r="V155" s="4" t="s">
        <v>1179</v>
      </c>
      <c r="W155" s="4"/>
      <c r="X155" s="4" t="s">
        <v>1273</v>
      </c>
      <c r="Y155" s="4" t="s">
        <v>1274</v>
      </c>
      <c r="Z155" s="4"/>
      <c r="AA155" s="37" t="s">
        <v>1275</v>
      </c>
      <c r="AB155" s="4"/>
      <c r="AC155" s="4"/>
      <c r="AD155" s="4" t="s">
        <v>1276</v>
      </c>
      <c r="AE155" s="4"/>
      <c r="AF155" s="4"/>
    </row>
    <row r="156" spans="1:32" x14ac:dyDescent="0.25">
      <c r="A156" s="4" t="str">
        <f t="shared" si="21"/>
        <v>'1623877618760791-6811912-67-01',</v>
      </c>
      <c r="B156" s="4" t="str">
        <f t="shared" si="22"/>
        <v>'1623877619010731-6814710-01-02',</v>
      </c>
      <c r="C156" s="15" t="s">
        <v>1356</v>
      </c>
      <c r="D156" s="5" t="s">
        <v>1354</v>
      </c>
      <c r="E156" s="5" t="s">
        <v>1207</v>
      </c>
      <c r="F156" s="5" t="s">
        <v>1355</v>
      </c>
      <c r="G156" s="29"/>
      <c r="H156" s="5"/>
      <c r="I156" s="22" t="s">
        <v>1353</v>
      </c>
      <c r="J156" s="16"/>
      <c r="K156" s="25" t="s">
        <v>1352</v>
      </c>
      <c r="L156" s="16" t="s">
        <v>809</v>
      </c>
      <c r="M156" s="16" t="s">
        <v>1339</v>
      </c>
      <c r="N156" s="16" t="str">
        <f t="shared" si="20"/>
        <v>SELECT EXECUTION_TYPE,SERVICE_INTERCHANGE_ID,CIRCI_KEY,EXECUTION_STATE FROM CIFX.TB_SERVICE_EXECUTION_CONTROL WHERE SERVICE_EXECUTION_CONTROL_ID IN ('1623877618772612-6811912-84-01') AND EXECUTION_TYPE = 'STAGE1_EXECUTION';</v>
      </c>
      <c r="O156" s="7" t="str">
        <f t="shared" si="18"/>
        <v>發送異動通知電文給CIP回傳錯誤碼:UP0090_00_V501,錯誤碼訊息:正確性檢核錯誤,錯誤訊息:[jobTitle該系統無寫入權限]</v>
      </c>
      <c r="P156" s="7" t="str">
        <f t="shared" si="19"/>
        <v>請協助處理</v>
      </c>
      <c r="Q156" s="7"/>
      <c r="R156" s="7"/>
      <c r="S156" s="16"/>
      <c r="T156" s="3" t="s">
        <v>1277</v>
      </c>
      <c r="U156" s="4" t="s">
        <v>17</v>
      </c>
      <c r="V156" s="4" t="s">
        <v>1179</v>
      </c>
      <c r="W156" s="4"/>
      <c r="X156" s="4" t="s">
        <v>1278</v>
      </c>
      <c r="Y156" s="4" t="s">
        <v>1279</v>
      </c>
      <c r="Z156" s="4"/>
      <c r="AA156" s="37" t="s">
        <v>1280</v>
      </c>
      <c r="AB156" s="4"/>
      <c r="AC156" s="4"/>
      <c r="AD156" s="4" t="s">
        <v>1281</v>
      </c>
      <c r="AE156" s="4"/>
      <c r="AF156" s="4"/>
    </row>
    <row r="157" spans="1:32" x14ac:dyDescent="0.25">
      <c r="A157" s="4" t="str">
        <f t="shared" si="21"/>
        <v>'1623877519316649-6812894-83-02',</v>
      </c>
      <c r="B157" s="4" t="str">
        <f t="shared" si="22"/>
        <v>'1623877519525300-6823689-44-01',</v>
      </c>
      <c r="C157" s="15" t="s">
        <v>1356</v>
      </c>
      <c r="D157" s="5" t="s">
        <v>1354</v>
      </c>
      <c r="E157" s="5" t="s">
        <v>1207</v>
      </c>
      <c r="F157" s="5" t="s">
        <v>1355</v>
      </c>
      <c r="G157" s="29"/>
      <c r="H157" s="5"/>
      <c r="I157" s="22" t="s">
        <v>1353</v>
      </c>
      <c r="J157" s="16"/>
      <c r="K157" s="25" t="s">
        <v>1352</v>
      </c>
      <c r="L157" s="16" t="s">
        <v>809</v>
      </c>
      <c r="M157" s="16" t="s">
        <v>1340</v>
      </c>
      <c r="N157" s="16" t="str">
        <f t="shared" si="20"/>
        <v>SELECT EXECUTION_TYPE,SERVICE_INTERCHANGE_ID,CIRCI_KEY,EXECUTION_STATE FROM CIFX.TB_SERVICE_EXECUTION_CONTROL WHERE SERVICE_EXECUTION_CONTROL_ID IN ('1623877519340424-6812894-35-02') AND EXECUTION_TYPE = 'STAGE1_EXECUTION';</v>
      </c>
      <c r="O157" s="7" t="str">
        <f t="shared" si="18"/>
        <v>發送異動通知電文給CIP回傳錯誤碼:UP0090_00_V501,錯誤碼訊息:正確性檢核錯誤,錯誤訊息:[jobTitle該系統無寫入權限]</v>
      </c>
      <c r="P157" s="7" t="str">
        <f t="shared" si="19"/>
        <v>請協助處理</v>
      </c>
      <c r="Q157" s="7"/>
      <c r="R157" s="7"/>
      <c r="S157" s="16"/>
      <c r="T157" s="3" t="s">
        <v>1282</v>
      </c>
      <c r="U157" s="4" t="s">
        <v>17</v>
      </c>
      <c r="V157" s="4" t="s">
        <v>1179</v>
      </c>
      <c r="W157" s="4"/>
      <c r="X157" s="4" t="s">
        <v>1283</v>
      </c>
      <c r="Y157" s="4" t="s">
        <v>1284</v>
      </c>
      <c r="Z157" s="4"/>
      <c r="AA157" s="37" t="s">
        <v>1285</v>
      </c>
      <c r="AB157" s="4"/>
      <c r="AC157" s="4"/>
      <c r="AD157" s="4" t="s">
        <v>1286</v>
      </c>
      <c r="AE157" s="4"/>
      <c r="AF157" s="4"/>
    </row>
    <row r="158" spans="1:32" x14ac:dyDescent="0.25">
      <c r="A158" s="4" t="str">
        <f t="shared" si="21"/>
        <v>'1623877354570508-6812829-17-02',</v>
      </c>
      <c r="B158" s="4" t="str">
        <f t="shared" si="22"/>
        <v>'1623877354930407-6823465-51-01',</v>
      </c>
      <c r="C158" s="15" t="s">
        <v>1356</v>
      </c>
      <c r="D158" s="5" t="s">
        <v>1354</v>
      </c>
      <c r="E158" s="5" t="s">
        <v>1207</v>
      </c>
      <c r="F158" s="5" t="s">
        <v>1355</v>
      </c>
      <c r="G158" s="29"/>
      <c r="H158" s="5"/>
      <c r="I158" s="22" t="s">
        <v>1353</v>
      </c>
      <c r="J158" s="16"/>
      <c r="K158" s="25" t="s">
        <v>1352</v>
      </c>
      <c r="L158" s="16" t="s">
        <v>809</v>
      </c>
      <c r="M158" s="16" t="s">
        <v>1341</v>
      </c>
      <c r="N158" s="16" t="str">
        <f t="shared" ref="N158:N172" si="23">IF($L158&lt;&gt;"","SELECT EXECUTION_TYPE,SERVICE_INTERCHANGE_ID,CIRCI_KEY,EXECUTION_STATE FROM CIFX.TB_SERVICE_EXECUTION_CONTROL WHERE SERVICE_EXECUTION_CONTROL_ID IN ("&amp;"'"&amp;$Y158&amp;"'"&amp;") AND EXECUTION_TYPE = "&amp;"'"&amp;"STAGE1_EXECUTION"&amp;"'"&amp;";","")</f>
        <v>SELECT EXECUTION_TYPE,SERVICE_INTERCHANGE_ID,CIRCI_KEY,EXECUTION_STATE FROM CIFX.TB_SERVICE_EXECUTION_CONTROL WHERE SERVICE_EXECUTION_CONTROL_ID IN ('1623877354592638-6812829-34-02') AND EXECUTION_TYPE = 'STAGE1_EXECUTION';</v>
      </c>
      <c r="O158" s="7" t="str">
        <f t="shared" si="18"/>
        <v>發送異動通知電文給CIP回傳錯誤碼:UP0090_00_V501,錯誤碼訊息:正確性檢核錯誤,錯誤訊息:[jobTitle該系統無寫入權限]</v>
      </c>
      <c r="P158" s="7" t="str">
        <f t="shared" si="19"/>
        <v>請協助處理</v>
      </c>
      <c r="Q158" s="7"/>
      <c r="R158" s="7"/>
      <c r="S158" s="16"/>
      <c r="T158" s="3" t="s">
        <v>1287</v>
      </c>
      <c r="U158" s="4" t="s">
        <v>17</v>
      </c>
      <c r="V158" s="4" t="s">
        <v>1179</v>
      </c>
      <c r="W158" s="4"/>
      <c r="X158" s="4" t="s">
        <v>1288</v>
      </c>
      <c r="Y158" s="4" t="s">
        <v>1289</v>
      </c>
      <c r="Z158" s="4"/>
      <c r="AA158" s="37" t="s">
        <v>1290</v>
      </c>
      <c r="AB158" s="4"/>
      <c r="AC158" s="4"/>
      <c r="AD158" s="4" t="s">
        <v>1291</v>
      </c>
      <c r="AE158" s="4"/>
      <c r="AF158" s="4"/>
    </row>
    <row r="159" spans="1:32" x14ac:dyDescent="0.25">
      <c r="A159" s="4" t="str">
        <f t="shared" si="21"/>
        <v>'1623877283876679-6811710-26-01',</v>
      </c>
      <c r="B159" s="4" t="str">
        <f t="shared" si="22"/>
        <v>'1623877284138368-6823461-07-01',</v>
      </c>
      <c r="C159" s="15" t="s">
        <v>1356</v>
      </c>
      <c r="D159" s="5" t="s">
        <v>1354</v>
      </c>
      <c r="E159" s="5" t="s">
        <v>1207</v>
      </c>
      <c r="F159" s="5" t="s">
        <v>1355</v>
      </c>
      <c r="G159" s="29"/>
      <c r="H159" s="5"/>
      <c r="I159" s="22" t="s">
        <v>1353</v>
      </c>
      <c r="J159" s="16"/>
      <c r="K159" s="25" t="s">
        <v>1352</v>
      </c>
      <c r="L159" s="16" t="s">
        <v>809</v>
      </c>
      <c r="M159" s="16" t="s">
        <v>1342</v>
      </c>
      <c r="N159" s="16" t="str">
        <f t="shared" si="23"/>
        <v>SELECT EXECUTION_TYPE,SERVICE_INTERCHANGE_ID,CIRCI_KEY,EXECUTION_STATE FROM CIFX.TB_SERVICE_EXECUTION_CONTROL WHERE SERVICE_EXECUTION_CONTROL_ID IN ('1623877283896298-6811710-80-01') AND EXECUTION_TYPE = 'STAGE1_EXECUTION';</v>
      </c>
      <c r="O159" s="7" t="str">
        <f t="shared" si="18"/>
        <v>發送異動通知電文給CIP回傳錯誤碼:UP0090_00_V501,錯誤碼訊息:正確性檢核錯誤,錯誤訊息:[jobTitle該系統無寫入權限]</v>
      </c>
      <c r="P159" s="7" t="str">
        <f t="shared" si="19"/>
        <v>請協助處理</v>
      </c>
      <c r="Q159" s="7"/>
      <c r="R159" s="7"/>
      <c r="S159" s="16"/>
      <c r="T159" s="3" t="s">
        <v>1292</v>
      </c>
      <c r="U159" s="4" t="s">
        <v>17</v>
      </c>
      <c r="V159" s="4" t="s">
        <v>1179</v>
      </c>
      <c r="W159" s="4"/>
      <c r="X159" s="4" t="s">
        <v>1293</v>
      </c>
      <c r="Y159" s="4" t="s">
        <v>1294</v>
      </c>
      <c r="Z159" s="4"/>
      <c r="AA159" s="37" t="s">
        <v>1295</v>
      </c>
      <c r="AB159" s="4"/>
      <c r="AC159" s="4"/>
      <c r="AD159" s="4" t="s">
        <v>1296</v>
      </c>
      <c r="AE159" s="4"/>
      <c r="AF159" s="4"/>
    </row>
    <row r="160" spans="1:32" x14ac:dyDescent="0.25">
      <c r="A160" s="4" t="str">
        <f t="shared" si="21"/>
        <v>'1623877277916307-6811693-48-01',</v>
      </c>
      <c r="B160" s="4" t="str">
        <f t="shared" si="22"/>
        <v>'1623877278224877-6812529-23-01',</v>
      </c>
      <c r="C160" s="15" t="s">
        <v>1356</v>
      </c>
      <c r="D160" s="5" t="s">
        <v>1354</v>
      </c>
      <c r="E160" s="5" t="s">
        <v>1207</v>
      </c>
      <c r="F160" s="5" t="s">
        <v>1355</v>
      </c>
      <c r="G160" s="29"/>
      <c r="H160" s="5"/>
      <c r="I160" s="22" t="s">
        <v>1353</v>
      </c>
      <c r="J160" s="16"/>
      <c r="K160" s="25" t="s">
        <v>1352</v>
      </c>
      <c r="L160" s="16" t="s">
        <v>809</v>
      </c>
      <c r="M160" s="16" t="s">
        <v>1343</v>
      </c>
      <c r="N160" s="16" t="str">
        <f t="shared" si="23"/>
        <v>SELECT EXECUTION_TYPE,SERVICE_INTERCHANGE_ID,CIRCI_KEY,EXECUTION_STATE FROM CIFX.TB_SERVICE_EXECUTION_CONTROL WHERE SERVICE_EXECUTION_CONTROL_ID IN ('1623877277938054-6811693-01-01') AND EXECUTION_TYPE = 'STAGE1_EXECUTION';</v>
      </c>
      <c r="O160" s="7" t="str">
        <f t="shared" ref="O160:O216" si="24">IF(V160&lt;&gt;"",V160,"")</f>
        <v>發送異動通知電文給CIP回傳錯誤碼:UP0090_00_V501,錯誤碼訊息:正確性檢核錯誤,錯誤訊息:[jobTitle該系統無寫入權限]</v>
      </c>
      <c r="P160" s="7" t="str">
        <f t="shared" ref="P160:P216" si="25">IF(O160="","","請協助處理")</f>
        <v>請協助處理</v>
      </c>
      <c r="Q160" s="7"/>
      <c r="R160" s="7"/>
      <c r="S160" s="16"/>
      <c r="T160" s="3" t="s">
        <v>1297</v>
      </c>
      <c r="U160" s="4" t="s">
        <v>17</v>
      </c>
      <c r="V160" s="4" t="s">
        <v>1179</v>
      </c>
      <c r="W160" s="4"/>
      <c r="X160" s="4" t="s">
        <v>1298</v>
      </c>
      <c r="Y160" s="4" t="s">
        <v>1299</v>
      </c>
      <c r="Z160" s="4"/>
      <c r="AA160" s="37" t="s">
        <v>1300</v>
      </c>
      <c r="AB160" s="4"/>
      <c r="AC160" s="4"/>
      <c r="AD160" s="4" t="s">
        <v>1301</v>
      </c>
      <c r="AE160" s="4"/>
      <c r="AF160" s="4"/>
    </row>
    <row r="161" spans="1:32" x14ac:dyDescent="0.25">
      <c r="A161" s="4" t="str">
        <f t="shared" si="21"/>
        <v>'1623877209324897-6811774-75-01',</v>
      </c>
      <c r="B161" s="4" t="str">
        <f t="shared" si="22"/>
        <v>'1623877209607980-6812529-96-01',</v>
      </c>
      <c r="C161" s="15" t="s">
        <v>1356</v>
      </c>
      <c r="D161" s="5" t="s">
        <v>1354</v>
      </c>
      <c r="E161" s="5" t="s">
        <v>1207</v>
      </c>
      <c r="F161" s="5" t="s">
        <v>1355</v>
      </c>
      <c r="G161" s="29"/>
      <c r="H161" s="5"/>
      <c r="I161" s="22" t="s">
        <v>1353</v>
      </c>
      <c r="J161" s="16"/>
      <c r="K161" s="25" t="s">
        <v>1352</v>
      </c>
      <c r="L161" s="16" t="s">
        <v>809</v>
      </c>
      <c r="M161" s="16" t="s">
        <v>1344</v>
      </c>
      <c r="N161" s="16" t="str">
        <f t="shared" si="23"/>
        <v>SELECT EXECUTION_TYPE,SERVICE_INTERCHANGE_ID,CIRCI_KEY,EXECUTION_STATE FROM CIFX.TB_SERVICE_EXECUTION_CONTROL WHERE SERVICE_EXECUTION_CONTROL_ID IN ('1623877209335131-6811774-87-01') AND EXECUTION_TYPE = 'STAGE1_EXECUTION';</v>
      </c>
      <c r="O161" s="7" t="str">
        <f t="shared" si="24"/>
        <v>發送異動通知電文給CIP回傳錯誤碼:UP0090_00_V501,錯誤碼訊息:正確性檢核錯誤,錯誤訊息:[jobTitle該系統無寫入權限]</v>
      </c>
      <c r="P161" s="7" t="str">
        <f t="shared" si="25"/>
        <v>請協助處理</v>
      </c>
      <c r="Q161" s="7"/>
      <c r="R161" s="7"/>
      <c r="S161" s="16"/>
      <c r="T161" s="3" t="s">
        <v>1302</v>
      </c>
      <c r="U161" s="4" t="s">
        <v>17</v>
      </c>
      <c r="V161" s="4" t="s">
        <v>1179</v>
      </c>
      <c r="W161" s="4"/>
      <c r="X161" s="4" t="s">
        <v>1303</v>
      </c>
      <c r="Y161" s="4" t="s">
        <v>1304</v>
      </c>
      <c r="Z161" s="4"/>
      <c r="AA161" s="37" t="s">
        <v>1305</v>
      </c>
      <c r="AB161" s="4"/>
      <c r="AC161" s="4"/>
      <c r="AD161" s="4" t="s">
        <v>1306</v>
      </c>
      <c r="AE161" s="4"/>
      <c r="AF161" s="4"/>
    </row>
    <row r="162" spans="1:32" x14ac:dyDescent="0.25">
      <c r="A162" s="4" t="str">
        <f t="shared" si="21"/>
        <v>'1623876814334837-6811693-10-01',</v>
      </c>
      <c r="B162" s="4" t="str">
        <f t="shared" si="22"/>
        <v>'1623876814583186-6813500-82-02',</v>
      </c>
      <c r="C162" s="15" t="s">
        <v>1356</v>
      </c>
      <c r="D162" s="5" t="s">
        <v>1354</v>
      </c>
      <c r="E162" s="5" t="s">
        <v>1207</v>
      </c>
      <c r="F162" s="5" t="s">
        <v>1355</v>
      </c>
      <c r="G162" s="29"/>
      <c r="H162" s="5"/>
      <c r="I162" s="22" t="s">
        <v>1353</v>
      </c>
      <c r="J162" s="16"/>
      <c r="K162" s="25" t="s">
        <v>1352</v>
      </c>
      <c r="L162" s="16" t="s">
        <v>809</v>
      </c>
      <c r="M162" s="16" t="s">
        <v>1345</v>
      </c>
      <c r="N162" s="16" t="str">
        <f t="shared" si="23"/>
        <v>SELECT EXECUTION_TYPE,SERVICE_INTERCHANGE_ID,CIRCI_KEY,EXECUTION_STATE FROM CIFX.TB_SERVICE_EXECUTION_CONTROL WHERE SERVICE_EXECUTION_CONTROL_ID IN ('1623876814358889-6811693-61-01') AND EXECUTION_TYPE = 'STAGE1_EXECUTION';</v>
      </c>
      <c r="O162" s="7" t="str">
        <f t="shared" si="24"/>
        <v>發送異動通知電文給CIP回傳錯誤碼:UP0090_00_V501,錯誤碼訊息:正確性檢核錯誤,錯誤訊息:[jobTitle該系統無寫入權限]</v>
      </c>
      <c r="P162" s="7" t="str">
        <f t="shared" si="25"/>
        <v>請協助處理</v>
      </c>
      <c r="Q162" s="7"/>
      <c r="R162" s="7"/>
      <c r="S162" s="16"/>
      <c r="T162" s="3" t="s">
        <v>1318</v>
      </c>
      <c r="U162" s="4" t="s">
        <v>17</v>
      </c>
      <c r="V162" s="4" t="s">
        <v>1179</v>
      </c>
      <c r="W162" s="4"/>
      <c r="X162" s="4" t="s">
        <v>1307</v>
      </c>
      <c r="Y162" s="4" t="s">
        <v>1308</v>
      </c>
      <c r="Z162" s="4"/>
      <c r="AA162" s="37" t="s">
        <v>1309</v>
      </c>
      <c r="AB162" s="4"/>
      <c r="AC162" s="4"/>
      <c r="AD162" s="4" t="s">
        <v>1310</v>
      </c>
      <c r="AE162" s="4"/>
      <c r="AF162" s="4"/>
    </row>
    <row r="163" spans="1:32" x14ac:dyDescent="0.25">
      <c r="A163" s="4" t="str">
        <f t="shared" si="21"/>
        <v>'1623876660626296-6801720-44-02',</v>
      </c>
      <c r="B163" s="4" t="str">
        <f t="shared" si="22"/>
        <v>'1623876660933596-6813500-84-02',</v>
      </c>
      <c r="C163" s="15" t="s">
        <v>1356</v>
      </c>
      <c r="D163" s="5" t="s">
        <v>1354</v>
      </c>
      <c r="E163" s="5" t="s">
        <v>1207</v>
      </c>
      <c r="F163" s="5" t="s">
        <v>1355</v>
      </c>
      <c r="G163" s="29"/>
      <c r="H163" s="5"/>
      <c r="I163" s="22" t="s">
        <v>1353</v>
      </c>
      <c r="J163" s="16"/>
      <c r="K163" s="25" t="s">
        <v>1352</v>
      </c>
      <c r="L163" s="16" t="s">
        <v>809</v>
      </c>
      <c r="M163" s="16" t="s">
        <v>1346</v>
      </c>
      <c r="N163" s="16" t="str">
        <f t="shared" si="23"/>
        <v>SELECT EXECUTION_TYPE,SERVICE_INTERCHANGE_ID,CIRCI_KEY,EXECUTION_STATE FROM CIFX.TB_SERVICE_EXECUTION_CONTROL WHERE SERVICE_EXECUTION_CONTROL_ID IN ('1623876660639798-6801720-68-02') AND EXECUTION_TYPE = 'STAGE1_EXECUTION';</v>
      </c>
      <c r="O163" s="7" t="str">
        <f t="shared" si="24"/>
        <v>發送異動通知電文給CIP回傳錯誤碼:UP0090_00_V501,錯誤碼訊息:正確性檢核錯誤,錯誤訊息:[jobTitle該系統無寫入權限]</v>
      </c>
      <c r="P163" s="7" t="str">
        <f t="shared" si="25"/>
        <v>請協助處理</v>
      </c>
      <c r="Q163" s="7"/>
      <c r="R163" s="7"/>
      <c r="S163" s="16"/>
      <c r="T163" s="3" t="s">
        <v>1319</v>
      </c>
      <c r="U163" s="4" t="s">
        <v>17</v>
      </c>
      <c r="V163" s="4" t="s">
        <v>1179</v>
      </c>
      <c r="W163" s="4"/>
      <c r="X163" s="4" t="s">
        <v>1313</v>
      </c>
      <c r="Y163" s="4" t="s">
        <v>1311</v>
      </c>
      <c r="Z163" s="4"/>
      <c r="AA163" s="37" t="s">
        <v>1312</v>
      </c>
      <c r="AB163" s="4"/>
      <c r="AC163" s="4"/>
      <c r="AD163" s="4" t="s">
        <v>1314</v>
      </c>
      <c r="AE163" s="4"/>
      <c r="AF163" s="4"/>
    </row>
    <row r="164" spans="1:32" x14ac:dyDescent="0.25">
      <c r="A164" s="4" t="str">
        <f t="shared" si="21"/>
        <v>'1623876273624131-6810127-15-01',</v>
      </c>
      <c r="B164" s="4" t="str">
        <f t="shared" si="22"/>
        <v>'1623876274920387-6811756-96-01',</v>
      </c>
      <c r="C164" s="15" t="s">
        <v>1356</v>
      </c>
      <c r="D164" s="5" t="s">
        <v>1354</v>
      </c>
      <c r="E164" s="5" t="s">
        <v>1207</v>
      </c>
      <c r="F164" s="5" t="s">
        <v>1355</v>
      </c>
      <c r="G164" s="29"/>
      <c r="H164" s="5"/>
      <c r="I164" s="22" t="s">
        <v>1353</v>
      </c>
      <c r="J164" s="16"/>
      <c r="K164" s="25" t="s">
        <v>1352</v>
      </c>
      <c r="L164" s="16" t="s">
        <v>809</v>
      </c>
      <c r="M164" s="16" t="s">
        <v>1347</v>
      </c>
      <c r="N164" s="16" t="str">
        <f t="shared" si="23"/>
        <v>SELECT EXECUTION_TYPE,SERVICE_INTERCHANGE_ID,CIRCI_KEY,EXECUTION_STATE FROM CIFX.TB_SERVICE_EXECUTION_CONTROL WHERE SERVICE_EXECUTION_CONTROL_ID IN ('1623876273640290-6810127-66-01') AND EXECUTION_TYPE = 'STAGE1_EXECUTION';</v>
      </c>
      <c r="O164" s="7" t="str">
        <f t="shared" si="24"/>
        <v>發送異動通知電文給CIP回傳錯誤碼:UP0090_00_V501,錯誤碼訊息:正確性檢核錯誤,錯誤訊息:[jobTitle該系統無寫入權限]</v>
      </c>
      <c r="P164" s="7" t="str">
        <f t="shared" si="25"/>
        <v>請協助處理</v>
      </c>
      <c r="Q164" s="7"/>
      <c r="R164" s="7"/>
      <c r="S164" s="16"/>
      <c r="T164" s="3" t="s">
        <v>1315</v>
      </c>
      <c r="U164" s="4" t="s">
        <v>17</v>
      </c>
      <c r="V164" s="4" t="s">
        <v>1179</v>
      </c>
      <c r="W164" s="4"/>
      <c r="X164" s="4" t="s">
        <v>1167</v>
      </c>
      <c r="Y164" s="4" t="s">
        <v>1168</v>
      </c>
      <c r="Z164" s="4"/>
      <c r="AA164" s="37" t="s">
        <v>1169</v>
      </c>
      <c r="AB164" s="4"/>
      <c r="AC164" s="4"/>
      <c r="AD164" s="4" t="s">
        <v>1170</v>
      </c>
      <c r="AE164" s="4"/>
      <c r="AF164" s="4"/>
    </row>
    <row r="165" spans="1:32" x14ac:dyDescent="0.25">
      <c r="A165" s="4" t="str">
        <f t="shared" si="21"/>
        <v>'1623876263611325-6810127-27-01',</v>
      </c>
      <c r="B165" s="4" t="str">
        <f t="shared" si="22"/>
        <v>'1623876264057655-6811841-58-01',</v>
      </c>
      <c r="C165" s="15" t="s">
        <v>1356</v>
      </c>
      <c r="D165" s="5" t="s">
        <v>1354</v>
      </c>
      <c r="E165" s="5" t="s">
        <v>1207</v>
      </c>
      <c r="F165" s="5" t="s">
        <v>1355</v>
      </c>
      <c r="G165" s="29"/>
      <c r="H165" s="5"/>
      <c r="I165" s="22" t="s">
        <v>1353</v>
      </c>
      <c r="J165" s="16"/>
      <c r="K165" s="25" t="s">
        <v>1352</v>
      </c>
      <c r="L165" s="16" t="s">
        <v>809</v>
      </c>
      <c r="M165" s="16" t="s">
        <v>1348</v>
      </c>
      <c r="N165" s="16" t="str">
        <f t="shared" si="23"/>
        <v>SELECT EXECUTION_TYPE,SERVICE_INTERCHANGE_ID,CIRCI_KEY,EXECUTION_STATE FROM CIFX.TB_SERVICE_EXECUTION_CONTROL WHERE SERVICE_EXECUTION_CONTROL_ID IN ('1623876263620305-6810127-42-01') AND EXECUTION_TYPE = 'STAGE1_EXECUTION';</v>
      </c>
      <c r="O165" s="7" t="str">
        <f t="shared" si="24"/>
        <v>發送異動通知電文給CIP回傳錯誤碼:UP0090_00_V501,錯誤碼訊息:正確性檢核錯誤,錯誤訊息:[jobTitle該系統無寫入權限]</v>
      </c>
      <c r="P165" s="7" t="str">
        <f t="shared" si="25"/>
        <v>請協助處理</v>
      </c>
      <c r="Q165" s="7"/>
      <c r="R165" s="7"/>
      <c r="S165" s="16"/>
      <c r="T165" s="3" t="s">
        <v>1316</v>
      </c>
      <c r="U165" s="4" t="s">
        <v>17</v>
      </c>
      <c r="V165" s="4" t="s">
        <v>1179</v>
      </c>
      <c r="W165" s="4"/>
      <c r="X165" s="4" t="s">
        <v>1171</v>
      </c>
      <c r="Y165" s="4" t="s">
        <v>1172</v>
      </c>
      <c r="Z165" s="4"/>
      <c r="AA165" s="37" t="s">
        <v>1173</v>
      </c>
      <c r="AB165" s="4"/>
      <c r="AC165" s="4"/>
      <c r="AD165" s="4" t="s">
        <v>1174</v>
      </c>
      <c r="AE165" s="4"/>
      <c r="AF165" s="4"/>
    </row>
    <row r="166" spans="1:32" x14ac:dyDescent="0.25">
      <c r="A166" s="4" t="str">
        <f t="shared" si="21"/>
        <v>'1623875885171422-6809717-73-01',</v>
      </c>
      <c r="B166" s="4" t="str">
        <f t="shared" si="22"/>
        <v>'1623875885665877-6811841-67-01',</v>
      </c>
      <c r="C166" s="15" t="s">
        <v>1356</v>
      </c>
      <c r="D166" s="5" t="s">
        <v>1354</v>
      </c>
      <c r="E166" s="5" t="s">
        <v>1207</v>
      </c>
      <c r="F166" s="5" t="s">
        <v>1355</v>
      </c>
      <c r="G166" s="29"/>
      <c r="H166" s="5"/>
      <c r="I166" s="22" t="s">
        <v>1353</v>
      </c>
      <c r="J166" s="16"/>
      <c r="K166" s="25" t="s">
        <v>1352</v>
      </c>
      <c r="L166" s="16" t="s">
        <v>809</v>
      </c>
      <c r="M166" s="16" t="s">
        <v>1349</v>
      </c>
      <c r="N166" s="16" t="str">
        <f t="shared" si="23"/>
        <v>SELECT EXECUTION_TYPE,SERVICE_INTERCHANGE_ID,CIRCI_KEY,EXECUTION_STATE FROM CIFX.TB_SERVICE_EXECUTION_CONTROL WHERE SERVICE_EXECUTION_CONTROL_ID IN ('1623875885197467-6809717-33-01') AND EXECUTION_TYPE = 'STAGE1_EXECUTION';</v>
      </c>
      <c r="O166" s="7" t="str">
        <f t="shared" si="24"/>
        <v>發送異動通知電文給CIP回傳錯誤碼:UP0090_00_V501,錯誤碼訊息:正確性檢核錯誤,錯誤訊息:[jobTitle該系統無寫入權限]</v>
      </c>
      <c r="P166" s="7" t="str">
        <f t="shared" si="25"/>
        <v>請協助處理</v>
      </c>
      <c r="Q166" s="7"/>
      <c r="R166" s="7"/>
      <c r="S166" s="16"/>
      <c r="T166" s="3" t="s">
        <v>1317</v>
      </c>
      <c r="U166" s="4" t="s">
        <v>17</v>
      </c>
      <c r="V166" s="4" t="s">
        <v>1179</v>
      </c>
      <c r="W166" s="4"/>
      <c r="X166" s="4" t="s">
        <v>1175</v>
      </c>
      <c r="Y166" s="4" t="s">
        <v>1350</v>
      </c>
      <c r="Z166" s="4"/>
      <c r="AA166" s="37" t="s">
        <v>1176</v>
      </c>
      <c r="AB166" s="4"/>
      <c r="AC166" s="4"/>
      <c r="AD166" s="4" t="s">
        <v>1177</v>
      </c>
      <c r="AE166" s="4"/>
      <c r="AF166" s="4"/>
    </row>
    <row r="167" spans="1:32" ht="49.5" x14ac:dyDescent="0.25">
      <c r="A167" s="4" t="str">
        <f t="shared" si="21"/>
        <v>'1624274022101019-7659630-50-01',</v>
      </c>
      <c r="B167" s="4" t="str">
        <f t="shared" si="22"/>
        <v>'1624274022722069-7659618-79-01',</v>
      </c>
      <c r="C167" s="15" t="s">
        <v>1417</v>
      </c>
      <c r="D167" s="5" t="s">
        <v>1407</v>
      </c>
      <c r="E167" s="5" t="s">
        <v>1416</v>
      </c>
      <c r="F167" s="5" t="s">
        <v>1414</v>
      </c>
      <c r="G167" s="29" t="s">
        <v>1417</v>
      </c>
      <c r="H167" s="5" t="s">
        <v>1386</v>
      </c>
      <c r="I167" s="22" t="s">
        <v>1423</v>
      </c>
      <c r="J167" s="16"/>
      <c r="K167" s="34" t="s">
        <v>1404</v>
      </c>
      <c r="L167" s="16" t="s">
        <v>809</v>
      </c>
      <c r="M167" s="16" t="s">
        <v>1408</v>
      </c>
      <c r="N167" s="16" t="str">
        <f t="shared" si="23"/>
        <v>SELECT EXECUTION_TYPE,SERVICE_INTERCHANGE_ID,CIRCI_KEY,EXECUTION_STATE FROM CIFX.TB_SERVICE_EXECUTION_CONTROL WHERE SERVICE_EXECUTION_CONTROL_ID IN ('1624274022135617-7659630-02-01') AND EXECUTION_TYPE = 'STAGE1_EXECUTION';</v>
      </c>
      <c r="O167" s="7" t="str">
        <f t="shared" si="24"/>
        <v>發送異動通知電文給CIP回傳錯誤碼:UP0090_00_V201,錯誤碼訊息:必要性檢核錯誤,錯誤訊息:[DEL00000000000000881 顧客 TS0116_00 已刪除，但全行未刪除，無法進行異動建檔]</v>
      </c>
      <c r="P167" s="7" t="str">
        <f t="shared" si="25"/>
        <v>請協助處理</v>
      </c>
      <c r="Q167" s="7" t="s">
        <v>162</v>
      </c>
      <c r="R167" s="7"/>
      <c r="S167" s="16" t="s">
        <v>299</v>
      </c>
      <c r="T167" s="4" t="s">
        <v>1359</v>
      </c>
      <c r="U167" s="4" t="s">
        <v>17</v>
      </c>
      <c r="V167" s="4" t="s">
        <v>1358</v>
      </c>
      <c r="W167" s="4"/>
      <c r="X167" s="4" t="s">
        <v>1360</v>
      </c>
      <c r="Y167" s="4" t="s">
        <v>1409</v>
      </c>
      <c r="Z167" s="4"/>
      <c r="AA167" s="37" t="s">
        <v>1387</v>
      </c>
      <c r="AB167" s="4"/>
      <c r="AC167" s="4"/>
      <c r="AD167" s="4" t="s">
        <v>1361</v>
      </c>
      <c r="AE167" s="4" t="s">
        <v>1364</v>
      </c>
      <c r="AF167" s="4" t="s">
        <v>1365</v>
      </c>
    </row>
    <row r="168" spans="1:32" x14ac:dyDescent="0.25">
      <c r="A168" s="4" t="str">
        <f t="shared" si="21"/>
        <v>'1624023949463838-7144071-04-02',</v>
      </c>
      <c r="B168" s="4" t="str">
        <f t="shared" si="22"/>
        <v>'1624023950733959-7144084-79-02',</v>
      </c>
      <c r="C168" s="15" t="s">
        <v>1380</v>
      </c>
      <c r="D168" s="5" t="s">
        <v>1374</v>
      </c>
      <c r="E168" s="5" t="s">
        <v>1379</v>
      </c>
      <c r="F168" s="5" t="s">
        <v>1377</v>
      </c>
      <c r="G168" s="29"/>
      <c r="H168" s="5"/>
      <c r="I168" s="22" t="s">
        <v>1380</v>
      </c>
      <c r="J168" s="16"/>
      <c r="K168" s="25" t="s">
        <v>1397</v>
      </c>
      <c r="L168" s="16" t="s">
        <v>289</v>
      </c>
      <c r="M168" s="16" t="s">
        <v>1376</v>
      </c>
      <c r="N168" s="16" t="str">
        <f t="shared" si="23"/>
        <v>SELECT EXECUTION_TYPE,SERVICE_INTERCHANGE_ID,CIRCI_KEY,EXECUTION_STATE FROM CIFX.TB_SERVICE_EXECUTION_CONTROL WHERE SERVICE_EXECUTION_CONTROL_ID IN ('1624023949507922-7144071-71-02') AND EXECUTION_TYPE = 'STAGE1_EXECUTION';</v>
      </c>
      <c r="O168" s="7" t="str">
        <f t="shared" si="24"/>
        <v>發送異動通知電文給CIP回傳錯誤碼:UP0090_00_E301,錯誤碼訊息:服務執行期錯誤,錯誤訊息:[顧客識別寫入CI發生錯誤。ChangeRequest:ChangeRequest [serviceInterchange=ServiceInterchange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funcId=01, custName=陳珮儀, companyEstablishDate=null, circiKey=N226310952, creditCardKey=null, certNo=N226310952, certDate=Fri Mar 16 00:00:00 GMT+08:00 2001,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goldenRecordItemContent=1333],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goldenRecordItemContent=陳珮儀],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goldenRecordItemContent=1333],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goldenRecordItemContent=034285000],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goldenRecordItemContent=0916039129],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goldenRecordItemContent=0916039129],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goldenRecordItemContent=PEI0316520@GMAIL.COM],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goldenRecordItemContent=振興里１１鄰龍岡路三段１５４巷７之１號四樓],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goldenRecordItemContent=寶春奶綠有限公司],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goldenRecordItemContent=2001-03-16],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[custId=10017442, custType=P, certTypeCode=00, partyKind=P, oldRestart=false, customerTag=CustomerTag [custId=10017442, custType=P, removalPredicate=null, removalSystemCode=null, refToCustId=0, refDatetime=null, disabledDatetime=null, identityCertTypeCode=00, disabled=null, disabledSystemCode=null], idChangeState=null, creditCardKey=N226310952, circiKey=null, birthDay=2001-03-16 00:00:00.0]；ServiceInterchange:ServiceInterchange [serviceInterchangeId=1624023949615128262, serviceInterchangeTime=Fri Jun 18 13:45:49 GMT+08:00 2021, msgNo=TS0116_00_20210618134549_16841, serviceName=CATEGORY_002, operationName=writeCustomerInfo, txnCode=A101011, txnTime=Fri Jun 18 13:45:49 GMT+08:00 2021, senderCode=TS0116_00, receiverCode=UP0090_00, operatorCode=15880, unitCode=1333, authorizerCode=null, serviceResponse=null, queryResponseLineitems=[]], Exception : ]</v>
      </c>
      <c r="P168" s="7" t="str">
        <f t="shared" si="25"/>
        <v>請協助處理</v>
      </c>
      <c r="Q168" s="7" t="s">
        <v>162</v>
      </c>
      <c r="R168" s="7"/>
      <c r="S168" s="16" t="s">
        <v>299</v>
      </c>
      <c r="T168" s="4" t="s">
        <v>1363</v>
      </c>
      <c r="U168" s="4" t="s">
        <v>17</v>
      </c>
      <c r="V168" s="4" t="s">
        <v>1367</v>
      </c>
      <c r="W168" s="4"/>
      <c r="X168" s="4" t="s">
        <v>1381</v>
      </c>
      <c r="Y168" s="4" t="s">
        <v>1375</v>
      </c>
      <c r="Z168" s="4"/>
      <c r="AA168" s="37" t="s">
        <v>1368</v>
      </c>
      <c r="AB168" s="4"/>
      <c r="AC168" s="4"/>
      <c r="AD168" s="4" t="s">
        <v>1362</v>
      </c>
      <c r="AE168" s="4" t="s">
        <v>1364</v>
      </c>
      <c r="AF168" s="4" t="s">
        <v>1366</v>
      </c>
    </row>
    <row r="169" spans="1:32" ht="49.5" x14ac:dyDescent="0.25">
      <c r="A169" s="4" t="str">
        <f t="shared" si="21"/>
        <v>'1624318211720822-7765809-80-02',</v>
      </c>
      <c r="B169" s="4" t="str">
        <f t="shared" si="22"/>
        <v>'1624318214676298-7758631-98-01',</v>
      </c>
      <c r="C169" s="15" t="s">
        <v>1434</v>
      </c>
      <c r="D169" s="5" t="s">
        <v>1378</v>
      </c>
      <c r="E169" s="5" t="s">
        <v>1434</v>
      </c>
      <c r="F169" s="5" t="s">
        <v>1432</v>
      </c>
      <c r="G169" s="29"/>
      <c r="H169" s="5"/>
      <c r="I169" s="22" t="s">
        <v>1434</v>
      </c>
      <c r="J169" s="16"/>
      <c r="K169" s="34" t="s">
        <v>1427</v>
      </c>
      <c r="L169" s="16" t="s">
        <v>289</v>
      </c>
      <c r="M169" s="16" t="s">
        <v>1430</v>
      </c>
      <c r="N169" s="16" t="str">
        <f t="shared" si="23"/>
        <v>SELECT EXECUTION_TYPE,SERVICE_INTERCHANGE_ID,CIRCI_KEY,EXECUTION_STATE FROM CIFX.TB_SERVICE_EXECUTION_CONTROL WHERE SERVICE_EXECUTION_CONTROL_ID IN ('1624318211725654-7765809-83-02') AND EXECUTION_TYPE = 'STAGE1_EXECUTION';</v>
      </c>
      <c r="O169" s="7" t="str">
        <f t="shared" si="24"/>
        <v>發送異動通知電文給CIP回傳錯誤碼:UP0090_00_V201,錯誤碼訊息:必要性檢核錯誤,錯誤訊息:[檢查有誤，顧客ID已停用]</v>
      </c>
      <c r="P169" s="7" t="str">
        <f t="shared" si="25"/>
        <v>請協助處理</v>
      </c>
      <c r="Q169" s="7" t="s">
        <v>162</v>
      </c>
      <c r="R169" s="7"/>
      <c r="S169" s="16" t="s">
        <v>299</v>
      </c>
      <c r="T169" s="4" t="s">
        <v>1369</v>
      </c>
      <c r="U169" s="4" t="s">
        <v>17</v>
      </c>
      <c r="V169" s="4" t="s">
        <v>1</v>
      </c>
      <c r="W169" s="4"/>
      <c r="X169" s="4" t="s">
        <v>1370</v>
      </c>
      <c r="Y169" s="4" t="s">
        <v>1429</v>
      </c>
      <c r="Z169" s="4"/>
      <c r="AA169" s="37" t="s">
        <v>1388</v>
      </c>
      <c r="AB169" s="4"/>
      <c r="AC169" s="4"/>
      <c r="AD169" s="4" t="s">
        <v>1371</v>
      </c>
      <c r="AE169" s="32" t="s">
        <v>1372</v>
      </c>
      <c r="AF169" s="4" t="s">
        <v>1373</v>
      </c>
    </row>
    <row r="170" spans="1:32" x14ac:dyDescent="0.25">
      <c r="A170" s="4" t="str">
        <f t="shared" si="21"/>
        <v>'1624393548805656-7933471-08-01',</v>
      </c>
      <c r="B170" s="4" t="str">
        <f t="shared" si="22"/>
        <v>'1624393550294540-7928776-07-02',</v>
      </c>
      <c r="C170" s="15" t="s">
        <v>1406</v>
      </c>
      <c r="D170" s="5" t="s">
        <v>1402</v>
      </c>
      <c r="E170" s="5" t="s">
        <v>1406</v>
      </c>
      <c r="F170" s="5" t="s">
        <v>1410</v>
      </c>
      <c r="G170" s="29"/>
      <c r="H170" s="5"/>
      <c r="I170" s="22" t="s">
        <v>1405</v>
      </c>
      <c r="J170" s="16"/>
      <c r="K170" s="25" t="s">
        <v>1398</v>
      </c>
      <c r="L170" s="16" t="s">
        <v>289</v>
      </c>
      <c r="M170" s="16" t="s">
        <v>1400</v>
      </c>
      <c r="N170" s="16" t="str">
        <f t="shared" si="23"/>
        <v>SELECT EXECUTION_TYPE,SERVICE_INTERCHANGE_ID,CIRCI_KEY,EXECUTION_STATE FROM CIFX.TB_SERVICE_EXECUTION_CONTROL WHERE SERVICE_EXECUTION_CONTROL_ID IN ('1624393548839226-7933471-60-01') AND EXECUTION_TYPE = 'STAGE1_EXECUTION';</v>
      </c>
      <c r="O170" s="7" t="str">
        <f t="shared" si="24"/>
        <v>發送異動通知電文給CIP回傳錯誤碼:UP0090_00_E301,錯誤碼訊息:服務執行期錯誤,錯誤訊息:[顧客識別寫入CI發生錯誤。ChangeRequest:ChangeRequest [serviceInterchange=ServiceInterchange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funcId=01, custName=湯惠鈺, companyEstablishDate=null, circiKey=K222077963, creditCardKey=null, certNo=K222077963, certDate=Sat Sep 21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goldenRecordItemContent=湯惠鈺],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goldenRecordItemContent=033022080],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goldenRecordItemContent=0908856872],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goldenRecordItemContent=Love9919125@gmail.com],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goldenRecordItemContent=松義路７１號６樓],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goldenRecordItemContent=1991-09-21],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[custId=4953179, custType=P, certTypeCode=00, partyKind=P, oldRestart=false, customerTag=null, idChangeState=null, creditCardKey=null, circiKey=null, birthDay=null]；ServiceInterchange:ServiceInterchange [serviceInterchangeId=1624393549024787351, serviceInterchangeTime=Tue Jun 22 20:25:49 GMT+08:00 2021, msgNo=TS0116_00_20210622202548_86831, serviceName=CATEGORY_002, operationName=writeCustomerInfo, txnCode=AQF0308, txnTime=Tue Jun 22 20:25:48 GMT+08:00 2021, senderCode=TS0116_00, receiverCode=UP0090_00, operatorCode=LB, unitCode=9008, authorizerCode=null, serviceResponse=null, queryResponseLineitems=[]], Exception : ]</v>
      </c>
      <c r="P170" s="7" t="str">
        <f t="shared" si="25"/>
        <v>請協助處理</v>
      </c>
      <c r="Q170" s="7"/>
      <c r="R170" s="7"/>
      <c r="S170" s="16"/>
      <c r="T170" s="4" t="s">
        <v>1383</v>
      </c>
      <c r="U170" s="4" t="s">
        <v>17</v>
      </c>
      <c r="V170" s="4" t="s">
        <v>1382</v>
      </c>
      <c r="W170" s="4"/>
      <c r="X170" s="4" t="s">
        <v>1399</v>
      </c>
      <c r="Y170" s="4" t="s">
        <v>1401</v>
      </c>
      <c r="Z170" s="4"/>
      <c r="AA170" s="37" t="s">
        <v>1384</v>
      </c>
      <c r="AB170" s="4"/>
      <c r="AC170" s="4"/>
      <c r="AD170" s="4" t="s">
        <v>1385</v>
      </c>
      <c r="AE170" s="4"/>
      <c r="AF170" s="4"/>
    </row>
    <row r="171" spans="1:32" ht="33" x14ac:dyDescent="0.25">
      <c r="A171" s="4" t="str">
        <f t="shared" si="21"/>
        <v>'1624471251795143-8108456-48-02',</v>
      </c>
      <c r="B171" s="4" t="str">
        <f t="shared" si="22"/>
        <v>'1624471252079694-8113481-63-01',</v>
      </c>
      <c r="C171" s="15" t="s">
        <v>1423</v>
      </c>
      <c r="D171" s="5" t="s">
        <v>1392</v>
      </c>
      <c r="E171" s="5" t="s">
        <v>1418</v>
      </c>
      <c r="F171" s="5" t="s">
        <v>1415</v>
      </c>
      <c r="G171" s="29" t="s">
        <v>1433</v>
      </c>
      <c r="H171" s="5" t="s">
        <v>1411</v>
      </c>
      <c r="I171" s="22" t="s">
        <v>1428</v>
      </c>
      <c r="J171" s="16"/>
      <c r="K171" s="25" t="s">
        <v>1403</v>
      </c>
      <c r="L171" s="16" t="s">
        <v>289</v>
      </c>
      <c r="M171" s="16" t="s">
        <v>1413</v>
      </c>
      <c r="N171" s="16" t="str">
        <f t="shared" si="23"/>
        <v>SELECT EXECUTION_TYPE,SERVICE_INTERCHANGE_ID,CIRCI_KEY,EXECUTION_STATE FROM CIFX.TB_SERVICE_EXECUTION_CONTROL WHERE SERVICE_EXECUTION_CONTROL_ID IN ('1624471251800371-8108456-56-02') AND EXECUTION_TYPE = 'STAGE1_EXECUTION';</v>
      </c>
      <c r="O171" s="7" t="str">
        <f t="shared" si="24"/>
        <v>發送ID改號電文給CIP回傳錯誤碼:UP0090_00_R101,錯誤碼訊息:存在驗證錯誤,錯誤訊息:[ID改號作業-&gt;CIF改號作業-&gt;&lt;檢查有誤，查無符合(改號前)銀行歸戶統編(F22650826A)顧客&gt;]</v>
      </c>
      <c r="P171" s="7" t="str">
        <f t="shared" si="25"/>
        <v>請協助處理</v>
      </c>
      <c r="Q171" s="7" t="s">
        <v>162</v>
      </c>
      <c r="R171" s="7"/>
      <c r="S171" s="16" t="s">
        <v>299</v>
      </c>
      <c r="T171" s="4" t="s">
        <v>1390</v>
      </c>
      <c r="U171" s="4" t="s">
        <v>17</v>
      </c>
      <c r="V171" s="4" t="s">
        <v>1391</v>
      </c>
      <c r="W171" s="4"/>
      <c r="X171" s="4" t="s">
        <v>1396</v>
      </c>
      <c r="Y171" s="4" t="s">
        <v>1412</v>
      </c>
      <c r="Z171" s="4"/>
      <c r="AA171" s="37" t="s">
        <v>1426</v>
      </c>
      <c r="AB171" s="4"/>
      <c r="AC171" s="4"/>
      <c r="AD171" s="4" t="s">
        <v>1393</v>
      </c>
      <c r="AE171" s="32" t="s">
        <v>1394</v>
      </c>
      <c r="AF171" s="4" t="s">
        <v>1395</v>
      </c>
    </row>
    <row r="172" spans="1:32" x14ac:dyDescent="0.25">
      <c r="A172" s="4" t="str">
        <f t="shared" si="21"/>
        <v>'1624877464829083-8986366-14-02',</v>
      </c>
      <c r="B172" s="4" t="str">
        <f t="shared" si="22"/>
        <v>'1624877494965935-8986466-19-02',</v>
      </c>
      <c r="C172" s="15" t="s">
        <v>1434</v>
      </c>
      <c r="D172" s="5" t="s">
        <v>1422</v>
      </c>
      <c r="E172" s="5" t="s">
        <v>1423</v>
      </c>
      <c r="F172" s="5" t="s">
        <v>1431</v>
      </c>
      <c r="G172" s="29"/>
      <c r="H172" s="5"/>
      <c r="I172" s="22" t="s">
        <v>1435</v>
      </c>
      <c r="J172" s="16"/>
      <c r="K172" s="25" t="s">
        <v>1424</v>
      </c>
      <c r="L172" s="16" t="s">
        <v>809</v>
      </c>
      <c r="M172" s="16" t="s">
        <v>1421</v>
      </c>
      <c r="N172" s="16" t="str">
        <f t="shared" si="23"/>
        <v>SELECT EXECUTION_TYPE,SERVICE_INTERCHANGE_ID,CIRCI_KEY,EXECUTION_STATE FROM CIFX.TB_SERVICE_EXECUTION_CONTROL WHERE SERVICE_EXECUTION_CONTROL_ID IN ('1624877464853400-8986366-41-02') AND EXECUTION_TYPE = 'STAGE1_EXECUTION';</v>
      </c>
      <c r="O172" s="7" t="str">
        <f t="shared" si="24"/>
        <v>發送異動通知電文，未回傳resultCode!!,回傳代碼描述:,錯誤訊息:[]</v>
      </c>
      <c r="P172" s="7" t="str">
        <f t="shared" si="25"/>
        <v>請協助處理</v>
      </c>
      <c r="Q172" s="7"/>
      <c r="R172" s="7"/>
      <c r="S172" s="16"/>
      <c r="T172" s="4" t="s">
        <v>1443</v>
      </c>
      <c r="U172" s="4" t="s">
        <v>17</v>
      </c>
      <c r="V172" s="4" t="s">
        <v>900</v>
      </c>
      <c r="W172" s="4"/>
      <c r="X172" s="4" t="s">
        <v>1586</v>
      </c>
      <c r="Y172" s="4" t="s">
        <v>1420</v>
      </c>
      <c r="Z172" s="4"/>
      <c r="AA172" s="37" t="s">
        <v>1419</v>
      </c>
      <c r="AB172" s="4"/>
      <c r="AC172" s="4"/>
      <c r="AD172" s="4"/>
      <c r="AE172" s="4"/>
      <c r="AF172" s="4"/>
    </row>
    <row r="173" spans="1:32" ht="33" x14ac:dyDescent="0.25">
      <c r="A173" s="4" t="str">
        <f t="shared" si="21"/>
        <v>'1625256480447829-9829958-04-02',</v>
      </c>
      <c r="B173" s="4" t="str">
        <f t="shared" si="22"/>
        <v>'1625256480739417-9829968-15-02',</v>
      </c>
      <c r="C173" s="15" t="s">
        <v>1540</v>
      </c>
      <c r="D173" s="5" t="s">
        <v>1442</v>
      </c>
      <c r="E173" s="5" t="s">
        <v>1450</v>
      </c>
      <c r="F173" s="5" t="s">
        <v>1449</v>
      </c>
      <c r="G173" s="29"/>
      <c r="H173" s="5"/>
      <c r="I173" s="22" t="s">
        <v>1451</v>
      </c>
      <c r="J173" s="16"/>
      <c r="K173" s="25" t="s">
        <v>1445</v>
      </c>
      <c r="L173" s="16" t="s">
        <v>289</v>
      </c>
      <c r="M173" s="16" t="s">
        <v>1447</v>
      </c>
      <c r="N173" s="16" t="s">
        <v>1446</v>
      </c>
      <c r="O173" s="7" t="str">
        <f t="shared" si="24"/>
        <v>發送異動通知電文給CIP回傳錯誤碼:UP0090_00_V201,錯誤碼訊息:必要性檢核錯誤,錯誤訊息:[檢查有誤，AB90026511 顧客曾經執行過ID改號]</v>
      </c>
      <c r="P173" s="7" t="str">
        <f t="shared" si="25"/>
        <v>請協助處理</v>
      </c>
      <c r="Q173" s="7" t="s">
        <v>162</v>
      </c>
      <c r="R173" s="7"/>
      <c r="S173" s="16" t="s">
        <v>299</v>
      </c>
      <c r="T173" s="4" t="s">
        <v>1437</v>
      </c>
      <c r="U173" s="4" t="s">
        <v>17</v>
      </c>
      <c r="V173" s="4" t="s">
        <v>1436</v>
      </c>
      <c r="W173" s="4"/>
      <c r="X173" s="4" t="s">
        <v>1438</v>
      </c>
      <c r="Y173" s="4" t="s">
        <v>1448</v>
      </c>
      <c r="Z173" s="4"/>
      <c r="AA173" s="37" t="s">
        <v>1444</v>
      </c>
      <c r="AB173" s="4"/>
      <c r="AC173" s="4"/>
      <c r="AD173" s="4" t="s">
        <v>1439</v>
      </c>
      <c r="AE173" s="32" t="s">
        <v>1440</v>
      </c>
      <c r="AF173" s="4" t="s">
        <v>1441</v>
      </c>
    </row>
    <row r="174" spans="1:32" ht="363" x14ac:dyDescent="0.25">
      <c r="A174" s="4" t="str">
        <f t="shared" si="21"/>
        <v>'1625583984052652-0526292-49-01',</v>
      </c>
      <c r="B174" s="4" t="str">
        <f t="shared" si="22"/>
        <v>'1625583984489056-0527686-93-01',</v>
      </c>
      <c r="C174" s="15" t="s">
        <v>1591</v>
      </c>
      <c r="D174" s="5" t="s">
        <v>1590</v>
      </c>
      <c r="E174" s="5" t="s">
        <v>1513</v>
      </c>
      <c r="F174" s="5" t="s">
        <v>1515</v>
      </c>
      <c r="G174" s="29" t="s">
        <v>1513</v>
      </c>
      <c r="H174" s="5" t="s">
        <v>1516</v>
      </c>
      <c r="I174" s="22" t="s">
        <v>1514</v>
      </c>
      <c r="J174" s="16" t="s">
        <v>1460</v>
      </c>
      <c r="K174" s="34" t="s">
        <v>1589</v>
      </c>
      <c r="L174" s="16" t="s">
        <v>1510</v>
      </c>
      <c r="M174" s="16" t="s">
        <v>1511</v>
      </c>
      <c r="N174" s="16" t="str">
        <f t="shared" ref="N174:N237" si="26">IF($L174&lt;&gt;"","SELECT EXECUTION_TYPE,SERVICE_INTERCHANGE_ID,CIRCI_KEY,EXECUTION_STATE FROM CIFX.TB_SERVICE_EXECUTION_CONTROL WHERE SERVICE_EXECUTION_CONTROL_ID IN ("&amp;"'"&amp;$Y174&amp;"'"&amp;") AND EXECUTION_TYPE = "&amp;"'"&amp;"STAGE1_EXECUTION"&amp;"'"&amp;";","")</f>
        <v>SELECT EXECUTION_TYPE,SERVICE_INTERCHANGE_ID,CIRCI_KEY,EXECUTION_STATE FROM CIFX.TB_SERVICE_EXECUTION_CONTROL WHERE SERVICE_EXECUTION_CONTROL_ID IN ('1625583984058030-0526292-56-01') AND EXECUTION_TYPE = 'STAGE1_EXECUTION';</v>
      </c>
      <c r="O174" s="7" t="str">
        <f t="shared" si="24"/>
        <v>發送ID改號電文給CIP回傳錯誤碼:UP0090_00_R101,錯誤碼訊息:存在驗證錯誤,錯誤訊息:[檢查有誤，顧客曾經執行過ID改號，將交由資料管家處理]</v>
      </c>
      <c r="P174" s="7" t="str">
        <f t="shared" si="25"/>
        <v>請協助處理</v>
      </c>
      <c r="Q174" s="7" t="s">
        <v>162</v>
      </c>
      <c r="R174" s="7"/>
      <c r="S174" s="16" t="s">
        <v>299</v>
      </c>
      <c r="T174" s="4" t="s">
        <v>1452</v>
      </c>
      <c r="U174" s="4" t="s">
        <v>17</v>
      </c>
      <c r="V174" s="4" t="s">
        <v>18</v>
      </c>
      <c r="W174" s="4"/>
      <c r="X174" s="4" t="s">
        <v>1453</v>
      </c>
      <c r="Y174" s="4" t="s">
        <v>1454</v>
      </c>
      <c r="Z174" s="4"/>
      <c r="AA174" s="37" t="s">
        <v>1456</v>
      </c>
      <c r="AB174" s="4"/>
      <c r="AC174" s="4"/>
      <c r="AD174" s="4" t="s">
        <v>1459</v>
      </c>
      <c r="AE174" s="32" t="s">
        <v>1457</v>
      </c>
      <c r="AF174" s="4" t="s">
        <v>1458</v>
      </c>
    </row>
    <row r="175" spans="1:32" ht="396" x14ac:dyDescent="0.25">
      <c r="A175" s="4" t="str">
        <f t="shared" si="21"/>
        <v>'1625656245838188-0695977-08-02',</v>
      </c>
      <c r="B175" s="4" t="str">
        <f t="shared" si="22"/>
        <v>'1625656246101221-0687819-07-01',</v>
      </c>
      <c r="C175" s="15" t="s">
        <v>1572</v>
      </c>
      <c r="D175" s="5" t="s">
        <v>1568</v>
      </c>
      <c r="E175" s="5" t="s">
        <v>1571</v>
      </c>
      <c r="F175" s="5" t="s">
        <v>1570</v>
      </c>
      <c r="G175" s="29"/>
      <c r="H175" s="5"/>
      <c r="I175" s="22" t="s">
        <v>1569</v>
      </c>
      <c r="J175" s="16" t="s">
        <v>1460</v>
      </c>
      <c r="K175" s="34" t="s">
        <v>1524</v>
      </c>
      <c r="L175" s="16" t="s">
        <v>809</v>
      </c>
      <c r="M175" s="16" t="s">
        <v>1566</v>
      </c>
      <c r="N175" s="16" t="str">
        <f t="shared" si="26"/>
        <v>SELECT EXECUTION_TYPE,SERVICE_INTERCHANGE_ID,CIRCI_KEY,EXECUTION_STATE FROM CIFX.TB_SERVICE_EXECUTION_CONTROL WHERE SERVICE_EXECUTION_CONTROL_ID IN ('1625656245876635-0695977-58-02') AND EXECUTION_TYPE = 'STAGE1_EXECUTION';</v>
      </c>
      <c r="O175" s="7" t="str">
        <f t="shared" si="24"/>
        <v>發送異動通知電文給CIP回傳錯誤碼:UP0090_00_V201,錯誤碼訊息:必要性檢核錯誤,錯誤訊息:[DEL00000000000000901 顧客 TS0116_00 已刪除，但全行未刪除，無法進行異動建檔]</v>
      </c>
      <c r="P175" s="7" t="str">
        <f t="shared" si="25"/>
        <v>請協助處理</v>
      </c>
      <c r="Q175" s="7" t="s">
        <v>162</v>
      </c>
      <c r="R175" s="7"/>
      <c r="S175" s="16" t="s">
        <v>299</v>
      </c>
      <c r="T175" s="4" t="s">
        <v>1558</v>
      </c>
      <c r="U175" s="4" t="s">
        <v>17</v>
      </c>
      <c r="V175" s="4" t="s">
        <v>1461</v>
      </c>
      <c r="W175" s="4"/>
      <c r="X175" s="4" t="s">
        <v>1462</v>
      </c>
      <c r="Y175" s="4" t="s">
        <v>1565</v>
      </c>
      <c r="Z175" s="4"/>
      <c r="AA175" s="37" t="s">
        <v>1567</v>
      </c>
      <c r="AB175" s="4"/>
      <c r="AC175" s="4"/>
      <c r="AD175" s="4" t="s">
        <v>1557</v>
      </c>
      <c r="AE175" s="4" t="s">
        <v>1463</v>
      </c>
      <c r="AF175" s="4" t="s">
        <v>1464</v>
      </c>
    </row>
    <row r="176" spans="1:32" x14ac:dyDescent="0.25">
      <c r="A176" s="4" t="str">
        <f t="shared" si="21"/>
        <v>'1625662317066552-0703520-27-01',</v>
      </c>
      <c r="B176" s="4" t="str">
        <f t="shared" si="22"/>
        <v>'1625662347441302-0713030-34-02',</v>
      </c>
      <c r="C176" s="15" t="s">
        <v>1539</v>
      </c>
      <c r="D176" s="5" t="s">
        <v>1538</v>
      </c>
      <c r="E176" s="5" t="s">
        <v>1537</v>
      </c>
      <c r="F176" s="5" t="s">
        <v>1512</v>
      </c>
      <c r="G176" s="29"/>
      <c r="H176" s="5"/>
      <c r="I176" s="22" t="s">
        <v>1539</v>
      </c>
      <c r="J176" s="16"/>
      <c r="K176" s="25" t="s">
        <v>1509</v>
      </c>
      <c r="L176" s="16" t="s">
        <v>1510</v>
      </c>
      <c r="M176" s="16" t="s">
        <v>1525</v>
      </c>
      <c r="N176" s="16" t="str">
        <f t="shared" si="26"/>
        <v>SELECT EXECUTION_TYPE,SERVICE_INTERCHANGE_ID,CIRCI_KEY,EXECUTION_STATE FROM CIFX.TB_SERVICE_EXECUTION_CONTROL WHERE SERVICE_EXECUTION_CONTROL_ID IN ('1625662317069589-0703520-29-01') AND EXECUTION_TYPE = 'STAGE1_EXECUTION';</v>
      </c>
      <c r="O176" s="7" t="str">
        <f t="shared" si="24"/>
        <v>發送異動通知電文，未回傳resultCode!!,回傳代碼描述:,錯誤訊息:[]</v>
      </c>
      <c r="P176" s="7" t="str">
        <f t="shared" si="25"/>
        <v>請協助處理</v>
      </c>
      <c r="Q176" s="7"/>
      <c r="R176" s="7"/>
      <c r="S176" s="16"/>
      <c r="T176" s="4" t="s">
        <v>1465</v>
      </c>
      <c r="U176" s="4" t="s">
        <v>17</v>
      </c>
      <c r="V176" s="4" t="s">
        <v>900</v>
      </c>
      <c r="W176" s="4"/>
      <c r="X176" s="4" t="s">
        <v>1466</v>
      </c>
      <c r="Y176" s="4" t="s">
        <v>1467</v>
      </c>
      <c r="Z176" s="4"/>
      <c r="AA176" s="37" t="s">
        <v>1468</v>
      </c>
      <c r="AB176" s="4"/>
      <c r="AC176" s="4"/>
      <c r="AD176" s="4"/>
      <c r="AE176" s="4"/>
      <c r="AF176" s="4"/>
    </row>
    <row r="177" spans="1:32" x14ac:dyDescent="0.25">
      <c r="A177" s="4" t="str">
        <f t="shared" si="21"/>
        <v>'1625662246124687-0712774-73-02',</v>
      </c>
      <c r="B177" s="4" t="str">
        <f t="shared" si="22"/>
        <v>'1625662276319249-0712822-15-02',</v>
      </c>
      <c r="C177" s="15" t="s">
        <v>1539</v>
      </c>
      <c r="D177" s="5" t="s">
        <v>1508</v>
      </c>
      <c r="E177" s="5" t="s">
        <v>1537</v>
      </c>
      <c r="F177" s="5" t="s">
        <v>1512</v>
      </c>
      <c r="G177" s="29"/>
      <c r="H177" s="5"/>
      <c r="I177" s="22" t="s">
        <v>1539</v>
      </c>
      <c r="J177" s="16"/>
      <c r="K177" s="25" t="s">
        <v>1509</v>
      </c>
      <c r="L177" s="16" t="s">
        <v>1510</v>
      </c>
      <c r="M177" s="16" t="s">
        <v>1526</v>
      </c>
      <c r="N177" s="16" t="str">
        <f t="shared" si="26"/>
        <v>SELECT EXECUTION_TYPE,SERVICE_INTERCHANGE_ID,CIRCI_KEY,EXECUTION_STATE FROM CIFX.TB_SERVICE_EXECUTION_CONTROL WHERE SERVICE_EXECUTION_CONTROL_ID IN ('1625662246197732-0712808-83-02') AND EXECUTION_TYPE = 'STAGE1_EXECUTION';</v>
      </c>
      <c r="O177" s="7" t="str">
        <f t="shared" si="24"/>
        <v>發送異動通知電文，未回傳resultCode!!,回傳代碼描述:,錯誤訊息:[]</v>
      </c>
      <c r="P177" s="7" t="str">
        <f t="shared" si="25"/>
        <v>請協助處理</v>
      </c>
      <c r="Q177" s="7"/>
      <c r="R177" s="7"/>
      <c r="S177" s="16"/>
      <c r="T177" s="4" t="s">
        <v>1469</v>
      </c>
      <c r="U177" s="4" t="s">
        <v>17</v>
      </c>
      <c r="V177" s="4" t="s">
        <v>900</v>
      </c>
      <c r="W177" s="4"/>
      <c r="X177" s="4" t="s">
        <v>1470</v>
      </c>
      <c r="Y177" s="4" t="s">
        <v>1471</v>
      </c>
      <c r="Z177" s="4"/>
      <c r="AA177" s="37" t="s">
        <v>1472</v>
      </c>
      <c r="AB177" s="4"/>
      <c r="AC177" s="4"/>
      <c r="AD177" s="4"/>
      <c r="AE177" s="4"/>
      <c r="AF177" s="4"/>
    </row>
    <row r="178" spans="1:32" x14ac:dyDescent="0.25">
      <c r="A178" s="4" t="str">
        <f t="shared" si="21"/>
        <v>'1625662230817342-0701898-51-02',</v>
      </c>
      <c r="B178" s="4" t="str">
        <f t="shared" si="22"/>
        <v>'1625662261130745-0712811-07-02',</v>
      </c>
      <c r="C178" s="15" t="s">
        <v>1539</v>
      </c>
      <c r="D178" s="5" t="s">
        <v>1508</v>
      </c>
      <c r="E178" s="5" t="s">
        <v>1537</v>
      </c>
      <c r="F178" s="5" t="s">
        <v>1512</v>
      </c>
      <c r="G178" s="29"/>
      <c r="H178" s="5"/>
      <c r="I178" s="22" t="s">
        <v>1539</v>
      </c>
      <c r="J178" s="16"/>
      <c r="K178" s="25" t="s">
        <v>1509</v>
      </c>
      <c r="L178" s="16" t="s">
        <v>1510</v>
      </c>
      <c r="M178" s="16" t="s">
        <v>1527</v>
      </c>
      <c r="N178" s="16" t="str">
        <f t="shared" si="26"/>
        <v>SELECT EXECUTION_TYPE,SERVICE_INTERCHANGE_ID,CIRCI_KEY,EXECUTION_STATE FROM CIFX.TB_SERVICE_EXECUTION_CONTROL WHERE SERVICE_EXECUTION_CONTROL_ID IN ('1625662230820498-0701898-53-02') AND EXECUTION_TYPE = 'STAGE1_EXECUTION';</v>
      </c>
      <c r="O178" s="7" t="str">
        <f t="shared" si="24"/>
        <v>發送異動通知電文，未回傳resultCode!!,回傳代碼描述:,錯誤訊息:[]</v>
      </c>
      <c r="P178" s="7" t="str">
        <f t="shared" si="25"/>
        <v>請協助處理</v>
      </c>
      <c r="Q178" s="7"/>
      <c r="R178" s="7"/>
      <c r="S178" s="16"/>
      <c r="T178" s="4" t="s">
        <v>1473</v>
      </c>
      <c r="U178" s="4" t="s">
        <v>17</v>
      </c>
      <c r="V178" s="4" t="s">
        <v>900</v>
      </c>
      <c r="W178" s="4"/>
      <c r="X178" s="4" t="s">
        <v>1474</v>
      </c>
      <c r="Y178" s="4" t="s">
        <v>1475</v>
      </c>
      <c r="Z178" s="4"/>
      <c r="AA178" s="37" t="s">
        <v>1476</v>
      </c>
      <c r="AB178" s="4"/>
      <c r="AC178" s="4"/>
      <c r="AD178" s="4"/>
      <c r="AE178" s="4"/>
      <c r="AF178" s="4"/>
    </row>
    <row r="179" spans="1:32" x14ac:dyDescent="0.25">
      <c r="A179" s="4" t="str">
        <f t="shared" si="21"/>
        <v>'1625662207874696-0704615-81-01',</v>
      </c>
      <c r="B179" s="4" t="str">
        <f t="shared" si="22"/>
        <v>'1625662238054951-0712811-74-02',</v>
      </c>
      <c r="C179" s="15" t="s">
        <v>1539</v>
      </c>
      <c r="D179" s="5" t="s">
        <v>1508</v>
      </c>
      <c r="E179" s="5" t="s">
        <v>1537</v>
      </c>
      <c r="F179" s="5" t="s">
        <v>1512</v>
      </c>
      <c r="G179" s="29"/>
      <c r="H179" s="5"/>
      <c r="I179" s="22" t="s">
        <v>1539</v>
      </c>
      <c r="J179" s="16"/>
      <c r="K179" s="25" t="s">
        <v>1509</v>
      </c>
      <c r="L179" s="16" t="s">
        <v>289</v>
      </c>
      <c r="M179" s="16" t="s">
        <v>1528</v>
      </c>
      <c r="N179" s="16" t="str">
        <f t="shared" si="26"/>
        <v>SELECT EXECUTION_TYPE,SERVICE_INTERCHANGE_ID,CIRCI_KEY,EXECUTION_STATE FROM CIFX.TB_SERVICE_EXECUTION_CONTROL WHERE SERVICE_EXECUTION_CONTROL_ID IN ('1625662207910470-0704615-42-01') AND EXECUTION_TYPE = 'STAGE1_EXECUTION';</v>
      </c>
      <c r="O179" s="7" t="str">
        <f t="shared" si="24"/>
        <v>發送異動通知電文，未回傳resultCode!!,回傳代碼描述:,錯誤訊息:[]</v>
      </c>
      <c r="P179" s="7" t="str">
        <f t="shared" si="25"/>
        <v>請協助處理</v>
      </c>
      <c r="Q179" s="7"/>
      <c r="R179" s="7"/>
      <c r="S179" s="16"/>
      <c r="T179" s="4" t="s">
        <v>1477</v>
      </c>
      <c r="U179" s="4" t="s">
        <v>17</v>
      </c>
      <c r="V179" s="4" t="s">
        <v>900</v>
      </c>
      <c r="W179" s="4"/>
      <c r="X179" s="4" t="s">
        <v>1478</v>
      </c>
      <c r="Y179" s="4" t="s">
        <v>1479</v>
      </c>
      <c r="Z179" s="4"/>
      <c r="AA179" s="37" t="s">
        <v>1480</v>
      </c>
      <c r="AB179" s="4"/>
      <c r="AC179" s="4"/>
      <c r="AD179" s="4"/>
      <c r="AE179" s="4"/>
      <c r="AF179" s="4"/>
    </row>
    <row r="180" spans="1:32" x14ac:dyDescent="0.25">
      <c r="A180" s="4" t="str">
        <f t="shared" si="21"/>
        <v>'1625662192036763-0704689-14-01',</v>
      </c>
      <c r="B180" s="4" t="str">
        <f t="shared" si="22"/>
        <v>'1625662222288210-0712809-30-02',</v>
      </c>
      <c r="C180" s="15" t="s">
        <v>1539</v>
      </c>
      <c r="D180" s="5" t="s">
        <v>1508</v>
      </c>
      <c r="E180" s="5" t="s">
        <v>1537</v>
      </c>
      <c r="F180" s="5" t="s">
        <v>1512</v>
      </c>
      <c r="G180" s="29"/>
      <c r="H180" s="5"/>
      <c r="I180" s="22" t="s">
        <v>1539</v>
      </c>
      <c r="J180" s="16"/>
      <c r="K180" s="25" t="s">
        <v>1509</v>
      </c>
      <c r="L180" s="16" t="s">
        <v>289</v>
      </c>
      <c r="M180" s="16" t="s">
        <v>1529</v>
      </c>
      <c r="N180" s="16" t="str">
        <f t="shared" si="26"/>
        <v>SELECT EXECUTION_TYPE,SERVICE_INTERCHANGE_ID,CIRCI_KEY,EXECUTION_STATE FROM CIFX.TB_SERVICE_EXECUTION_CONTROL WHERE SERVICE_EXECUTION_CONTROL_ID IN ('1625662192064844-0704689-42-01') AND EXECUTION_TYPE = 'STAGE1_EXECUTION';</v>
      </c>
      <c r="O180" s="7" t="str">
        <f t="shared" si="24"/>
        <v>發送異動通知電文，未回傳resultCode!!,回傳代碼描述:,錯誤訊息:[]</v>
      </c>
      <c r="P180" s="7" t="str">
        <f t="shared" si="25"/>
        <v>請協助處理</v>
      </c>
      <c r="Q180" s="7"/>
      <c r="R180" s="7"/>
      <c r="S180" s="16"/>
      <c r="T180" s="4" t="s">
        <v>1481</v>
      </c>
      <c r="U180" s="4" t="s">
        <v>17</v>
      </c>
      <c r="V180" s="4" t="s">
        <v>900</v>
      </c>
      <c r="W180" s="4"/>
      <c r="X180" s="4" t="s">
        <v>1482</v>
      </c>
      <c r="Y180" s="4" t="s">
        <v>1483</v>
      </c>
      <c r="Z180" s="4"/>
      <c r="AA180" s="37" t="s">
        <v>1484</v>
      </c>
      <c r="AB180" s="4"/>
      <c r="AC180" s="4"/>
      <c r="AD180" s="4"/>
      <c r="AE180" s="4"/>
      <c r="AF180" s="4"/>
    </row>
    <row r="181" spans="1:32" x14ac:dyDescent="0.25">
      <c r="A181" s="4" t="str">
        <f t="shared" si="21"/>
        <v>'1625662127132424-0712689-65-02',</v>
      </c>
      <c r="B181" s="4" t="str">
        <f t="shared" si="22"/>
        <v>'1625662157270466-0712808-77-02',</v>
      </c>
      <c r="C181" s="15" t="s">
        <v>1539</v>
      </c>
      <c r="D181" s="5" t="s">
        <v>1508</v>
      </c>
      <c r="E181" s="5" t="s">
        <v>1537</v>
      </c>
      <c r="F181" s="5" t="s">
        <v>1512</v>
      </c>
      <c r="G181" s="29"/>
      <c r="H181" s="5"/>
      <c r="I181" s="22" t="s">
        <v>1539</v>
      </c>
      <c r="J181" s="16"/>
      <c r="K181" s="25" t="s">
        <v>1509</v>
      </c>
      <c r="L181" s="16" t="s">
        <v>289</v>
      </c>
      <c r="M181" s="16" t="s">
        <v>1530</v>
      </c>
      <c r="N181" s="16" t="str">
        <f t="shared" si="26"/>
        <v>SELECT EXECUTION_TYPE,SERVICE_INTERCHANGE_ID,CIRCI_KEY,EXECUTION_STATE FROM CIFX.TB_SERVICE_EXECUTION_CONTROL WHERE SERVICE_EXECUTION_CONTROL_ID IN ('1625662127147774-0712689-77-02') AND EXECUTION_TYPE = 'STAGE1_EXECUTION';</v>
      </c>
      <c r="O181" s="7" t="str">
        <f t="shared" si="24"/>
        <v>發送異動通知電文，未回傳resultCode!!,回傳代碼描述:,錯誤訊息:[]</v>
      </c>
      <c r="P181" s="7" t="str">
        <f t="shared" si="25"/>
        <v>請協助處理</v>
      </c>
      <c r="Q181" s="7"/>
      <c r="R181" s="7"/>
      <c r="S181" s="16"/>
      <c r="T181" s="4" t="s">
        <v>1485</v>
      </c>
      <c r="U181" s="4" t="s">
        <v>17</v>
      </c>
      <c r="V181" s="4" t="s">
        <v>900</v>
      </c>
      <c r="W181" s="4"/>
      <c r="X181" s="4" t="s">
        <v>1486</v>
      </c>
      <c r="Y181" s="4" t="s">
        <v>1487</v>
      </c>
      <c r="Z181" s="4"/>
      <c r="AA181" s="37" t="s">
        <v>1488</v>
      </c>
      <c r="AB181" s="4"/>
      <c r="AC181" s="4"/>
      <c r="AD181" s="4"/>
      <c r="AE181" s="4"/>
      <c r="AF181" s="4"/>
    </row>
    <row r="182" spans="1:32" x14ac:dyDescent="0.25">
      <c r="A182" s="4" t="str">
        <f t="shared" si="21"/>
        <v>'1625662114611386-0703162-04-01',</v>
      </c>
      <c r="B182" s="4" t="str">
        <f t="shared" si="22"/>
        <v>'1625662144898595-0704474-61-01',</v>
      </c>
      <c r="C182" s="15" t="s">
        <v>1539</v>
      </c>
      <c r="D182" s="5" t="s">
        <v>1508</v>
      </c>
      <c r="E182" s="5" t="s">
        <v>1537</v>
      </c>
      <c r="F182" s="5" t="s">
        <v>1512</v>
      </c>
      <c r="G182" s="29"/>
      <c r="H182" s="5"/>
      <c r="I182" s="22" t="s">
        <v>1539</v>
      </c>
      <c r="J182" s="16"/>
      <c r="K182" s="25" t="s">
        <v>1509</v>
      </c>
      <c r="L182" s="16" t="s">
        <v>289</v>
      </c>
      <c r="M182" s="16" t="s">
        <v>1531</v>
      </c>
      <c r="N182" s="16" t="str">
        <f t="shared" si="26"/>
        <v>SELECT EXECUTION_TYPE,SERVICE_INTERCHANGE_ID,CIRCI_KEY,EXECUTION_STATE FROM CIFX.TB_SERVICE_EXECUTION_CONTROL WHERE SERVICE_EXECUTION_CONTROL_ID IN ('1625662114614115-0703162-06-01') AND EXECUTION_TYPE = 'STAGE1_EXECUTION';</v>
      </c>
      <c r="O182" s="7" t="str">
        <f t="shared" si="24"/>
        <v>發送異動通知電文，未回傳resultCode!!,回傳代碼描述:,錯誤訊息:[]</v>
      </c>
      <c r="P182" s="7" t="str">
        <f t="shared" si="25"/>
        <v>請協助處理</v>
      </c>
      <c r="Q182" s="7"/>
      <c r="R182" s="7"/>
      <c r="S182" s="16"/>
      <c r="T182" s="4" t="s">
        <v>1489</v>
      </c>
      <c r="U182" s="4" t="s">
        <v>17</v>
      </c>
      <c r="V182" s="4" t="s">
        <v>900</v>
      </c>
      <c r="W182" s="4"/>
      <c r="X182" s="4" t="s">
        <v>1490</v>
      </c>
      <c r="Y182" s="4" t="s">
        <v>1491</v>
      </c>
      <c r="Z182" s="4"/>
      <c r="AA182" s="37" t="s">
        <v>1492</v>
      </c>
      <c r="AB182" s="4"/>
      <c r="AC182" s="4"/>
      <c r="AD182" s="4"/>
      <c r="AE182" s="4"/>
      <c r="AF182" s="4"/>
    </row>
    <row r="183" spans="1:32" x14ac:dyDescent="0.25">
      <c r="A183" s="4" t="str">
        <f t="shared" si="21"/>
        <v>'1625662045313306-0712579-77-02',</v>
      </c>
      <c r="B183" s="4" t="str">
        <f t="shared" si="22"/>
        <v>'1625662075469142-0712756-65-02',</v>
      </c>
      <c r="C183" s="15" t="s">
        <v>1539</v>
      </c>
      <c r="D183" s="5" t="s">
        <v>1508</v>
      </c>
      <c r="E183" s="5" t="s">
        <v>1537</v>
      </c>
      <c r="F183" s="5" t="s">
        <v>1512</v>
      </c>
      <c r="G183" s="29"/>
      <c r="H183" s="5"/>
      <c r="I183" s="22" t="s">
        <v>1539</v>
      </c>
      <c r="J183" s="16"/>
      <c r="K183" s="25" t="s">
        <v>1509</v>
      </c>
      <c r="L183" s="16" t="s">
        <v>289</v>
      </c>
      <c r="M183" s="16" t="s">
        <v>1532</v>
      </c>
      <c r="N183" s="16" t="str">
        <f t="shared" si="26"/>
        <v>SELECT EXECUTION_TYPE,SERVICE_INTERCHANGE_ID,CIRCI_KEY,EXECUTION_STATE FROM CIFX.TB_SERVICE_EXECUTION_CONTROL WHERE SERVICE_EXECUTION_CONTROL_ID IN ('1625662045345680-0712579-31-02') AND EXECUTION_TYPE = 'STAGE1_EXECUTION';</v>
      </c>
      <c r="O183" s="7" t="str">
        <f t="shared" si="24"/>
        <v>發送異動通知電文，未回傳resultCode!!,回傳代碼描述:,錯誤訊息:[]</v>
      </c>
      <c r="P183" s="7" t="str">
        <f t="shared" si="25"/>
        <v>請協助處理</v>
      </c>
      <c r="Q183" s="7"/>
      <c r="R183" s="7"/>
      <c r="S183" s="16"/>
      <c r="T183" s="4" t="s">
        <v>1493</v>
      </c>
      <c r="U183" s="4" t="s">
        <v>17</v>
      </c>
      <c r="V183" s="4" t="s">
        <v>900</v>
      </c>
      <c r="W183" s="4"/>
      <c r="X183" s="4" t="s">
        <v>1494</v>
      </c>
      <c r="Y183" s="4" t="s">
        <v>1495</v>
      </c>
      <c r="Z183" s="4"/>
      <c r="AA183" s="37" t="s">
        <v>1496</v>
      </c>
      <c r="AB183" s="4"/>
      <c r="AC183" s="4"/>
      <c r="AD183" s="4"/>
      <c r="AE183" s="4"/>
      <c r="AF183" s="4"/>
    </row>
    <row r="184" spans="1:32" x14ac:dyDescent="0.25">
      <c r="A184" s="4" t="str">
        <f t="shared" si="21"/>
        <v>'1625661675116654-0701181-46-02',</v>
      </c>
      <c r="B184" s="4" t="str">
        <f t="shared" si="22"/>
        <v>'1625661705263192-0704093-66-01',</v>
      </c>
      <c r="C184" s="15" t="s">
        <v>1539</v>
      </c>
      <c r="D184" s="5" t="s">
        <v>1508</v>
      </c>
      <c r="E184" s="5" t="s">
        <v>1537</v>
      </c>
      <c r="F184" s="5" t="s">
        <v>1512</v>
      </c>
      <c r="G184" s="29"/>
      <c r="H184" s="5"/>
      <c r="I184" s="22" t="s">
        <v>1539</v>
      </c>
      <c r="J184" s="16"/>
      <c r="K184" s="25" t="s">
        <v>1509</v>
      </c>
      <c r="L184" s="16" t="s">
        <v>289</v>
      </c>
      <c r="M184" s="16" t="s">
        <v>1533</v>
      </c>
      <c r="N184" s="16" t="str">
        <f t="shared" si="26"/>
        <v>SELECT EXECUTION_TYPE,SERVICE_INTERCHANGE_ID,CIRCI_KEY,EXECUTION_STATE FROM CIFX.TB_SERVICE_EXECUTION_CONTROL WHERE SERVICE_EXECUTION_CONTROL_ID IN ('1625661675121013-0701181-48-02') AND EXECUTION_TYPE = 'STAGE1_EXECUTION';</v>
      </c>
      <c r="O184" s="7" t="str">
        <f t="shared" si="24"/>
        <v>發送異動通知電文，未回傳resultCode!!,回傳代碼描述:,錯誤訊息:[]</v>
      </c>
      <c r="P184" s="7" t="str">
        <f t="shared" si="25"/>
        <v>請協助處理</v>
      </c>
      <c r="Q184" s="7"/>
      <c r="R184" s="7"/>
      <c r="S184" s="16"/>
      <c r="T184" s="4" t="s">
        <v>1497</v>
      </c>
      <c r="U184" s="4" t="s">
        <v>17</v>
      </c>
      <c r="V184" s="4" t="s">
        <v>900</v>
      </c>
      <c r="W184" s="4"/>
      <c r="X184" s="4" t="s">
        <v>1498</v>
      </c>
      <c r="Y184" s="4" t="s">
        <v>1499</v>
      </c>
      <c r="Z184" s="4"/>
      <c r="AA184" s="37" t="s">
        <v>1500</v>
      </c>
      <c r="AB184" s="4"/>
      <c r="AC184" s="4"/>
      <c r="AD184" s="4"/>
      <c r="AE184" s="4"/>
      <c r="AF184" s="4"/>
    </row>
    <row r="185" spans="1:32" x14ac:dyDescent="0.25">
      <c r="A185" s="4" t="str">
        <f t="shared" si="21"/>
        <v>'1625661638504156-0703838-88-01',</v>
      </c>
      <c r="B185" s="4" t="str">
        <f t="shared" si="22"/>
        <v>'1625661668654567-0704020-02-01',</v>
      </c>
      <c r="C185" s="15" t="s">
        <v>1539</v>
      </c>
      <c r="D185" s="5" t="s">
        <v>1508</v>
      </c>
      <c r="E185" s="5" t="s">
        <v>1537</v>
      </c>
      <c r="F185" s="5" t="s">
        <v>1512</v>
      </c>
      <c r="G185" s="29"/>
      <c r="H185" s="5"/>
      <c r="I185" s="22" t="s">
        <v>1539</v>
      </c>
      <c r="J185" s="16"/>
      <c r="K185" s="25" t="s">
        <v>1509</v>
      </c>
      <c r="L185" s="16" t="s">
        <v>289</v>
      </c>
      <c r="M185" s="16" t="s">
        <v>1534</v>
      </c>
      <c r="N185" s="16" t="str">
        <f t="shared" si="26"/>
        <v>SELECT EXECUTION_TYPE,SERVICE_INTERCHANGE_ID,CIRCI_KEY,EXECUTION_STATE FROM CIFX.TB_SERVICE_EXECUTION_CONTROL WHERE SERVICE_EXECUTION_CONTROL_ID IN ('1625661638548398-0703838-42-01') AND EXECUTION_TYPE = 'STAGE1_EXECUTION';</v>
      </c>
      <c r="O185" s="7" t="str">
        <f t="shared" si="24"/>
        <v>發送異動通知電文，未回傳resultCode!!,回傳代碼描述:,錯誤訊息:[]</v>
      </c>
      <c r="P185" s="7" t="str">
        <f t="shared" si="25"/>
        <v>請協助處理</v>
      </c>
      <c r="Q185" s="7"/>
      <c r="R185" s="7"/>
      <c r="S185" s="16"/>
      <c r="T185" s="4" t="s">
        <v>1507</v>
      </c>
      <c r="U185" s="4" t="s">
        <v>17</v>
      </c>
      <c r="V185" s="4" t="s">
        <v>900</v>
      </c>
      <c r="W185" s="4"/>
      <c r="X185" s="4" t="s">
        <v>1501</v>
      </c>
      <c r="Y185" s="4" t="s">
        <v>1502</v>
      </c>
      <c r="Z185" s="4"/>
      <c r="AA185" s="37">
        <v>85913317</v>
      </c>
      <c r="AB185" s="4"/>
      <c r="AC185" s="4"/>
      <c r="AD185" s="4"/>
      <c r="AE185" s="4"/>
      <c r="AF185" s="4"/>
    </row>
    <row r="186" spans="1:32" x14ac:dyDescent="0.25">
      <c r="A186" s="4" t="str">
        <f t="shared" si="21"/>
        <v>'1625661638104699-0702722-58-01',</v>
      </c>
      <c r="B186" s="4" t="str">
        <f t="shared" si="22"/>
        <v>'1625661668298099-0704020-77-01',</v>
      </c>
      <c r="C186" s="15" t="s">
        <v>1539</v>
      </c>
      <c r="D186" s="5" t="s">
        <v>1508</v>
      </c>
      <c r="E186" s="5" t="s">
        <v>1537</v>
      </c>
      <c r="F186" s="5" t="s">
        <v>1512</v>
      </c>
      <c r="G186" s="29"/>
      <c r="H186" s="5"/>
      <c r="I186" s="22" t="s">
        <v>1539</v>
      </c>
      <c r="J186" s="16"/>
      <c r="K186" s="25" t="s">
        <v>1509</v>
      </c>
      <c r="L186" s="16" t="s">
        <v>289</v>
      </c>
      <c r="M186" s="16" t="s">
        <v>1535</v>
      </c>
      <c r="N186" s="16" t="str">
        <f t="shared" si="26"/>
        <v>SELECT EXECUTION_TYPE,SERVICE_INTERCHANGE_ID,CIRCI_KEY,EXECUTION_STATE FROM CIFX.TB_SERVICE_EXECUTION_CONTROL WHERE SERVICE_EXECUTION_CONTROL_ID IN ('1625661638107564-0702722-60-01') AND EXECUTION_TYPE = 'STAGE1_EXECUTION';</v>
      </c>
      <c r="O186" s="7" t="str">
        <f t="shared" si="24"/>
        <v>發送異動通知電文，未回傳resultCode!!,回傳代碼描述:,錯誤訊息:[]</v>
      </c>
      <c r="P186" s="7" t="str">
        <f t="shared" si="25"/>
        <v>請協助處理</v>
      </c>
      <c r="Q186" s="7"/>
      <c r="R186" s="7"/>
      <c r="S186" s="16"/>
      <c r="T186" s="4" t="s">
        <v>1503</v>
      </c>
      <c r="U186" s="4" t="s">
        <v>17</v>
      </c>
      <c r="V186" s="4" t="s">
        <v>900</v>
      </c>
      <c r="W186" s="4"/>
      <c r="X186" s="4" t="s">
        <v>1504</v>
      </c>
      <c r="Y186" s="4" t="s">
        <v>1505</v>
      </c>
      <c r="Z186" s="4"/>
      <c r="AA186" s="37" t="s">
        <v>1506</v>
      </c>
      <c r="AB186" s="4"/>
      <c r="AC186" s="4"/>
      <c r="AD186" s="4"/>
      <c r="AE186" s="4"/>
      <c r="AF186" s="4"/>
    </row>
    <row r="187" spans="1:32" ht="66" x14ac:dyDescent="0.25">
      <c r="A187" s="4" t="str">
        <f t="shared" si="21"/>
        <v>'1625669808373936-0720093-43-02',</v>
      </c>
      <c r="B187" s="4" t="str">
        <f t="shared" si="22"/>
        <v>'1625669808659413-0721283-51-02',</v>
      </c>
      <c r="C187" s="15" t="s">
        <v>1560</v>
      </c>
      <c r="D187" s="5" t="s">
        <v>1523</v>
      </c>
      <c r="E187" s="5" t="s">
        <v>1561</v>
      </c>
      <c r="F187" s="5" t="s">
        <v>1559</v>
      </c>
      <c r="G187" s="29"/>
      <c r="H187" s="5"/>
      <c r="I187" s="22" t="s">
        <v>1561</v>
      </c>
      <c r="J187" s="16"/>
      <c r="K187" s="34" t="s">
        <v>1536</v>
      </c>
      <c r="L187" s="16" t="s">
        <v>289</v>
      </c>
      <c r="M187" s="16" t="s">
        <v>1550</v>
      </c>
      <c r="N187" s="16" t="str">
        <f t="shared" si="26"/>
        <v>SELECT EXECUTION_TYPE,SERVICE_INTERCHANGE_ID,CIRCI_KEY,EXECUTION_STATE FROM CIFX.TB_SERVICE_EXECUTION_CONTROL WHERE SERVICE_EXECUTION_CONTROL_ID IN ('1625669808379524-0720093-48-02') AND EXECUTION_TYPE = 'STAGE1_EXECUTION';</v>
      </c>
      <c r="O187" s="7" t="str">
        <f t="shared" si="24"/>
        <v>發送ID改號電文給CIP回傳錯誤碼:UP0090_00_R101,錯誤碼訊息:存在驗證錯誤,錯誤訊息:[檢查有誤，顧客曾經執行過ID改號，將交由資料管家處理]</v>
      </c>
      <c r="P187" s="35" t="s">
        <v>1522</v>
      </c>
      <c r="Q187" s="7" t="s">
        <v>162</v>
      </c>
      <c r="R187" s="7"/>
      <c r="S187" s="16" t="s">
        <v>299</v>
      </c>
      <c r="T187" s="4" t="s">
        <v>1517</v>
      </c>
      <c r="U187" s="4" t="s">
        <v>17</v>
      </c>
      <c r="V187" s="4" t="s">
        <v>18</v>
      </c>
      <c r="W187" s="4"/>
      <c r="X187" s="4" t="s">
        <v>1518</v>
      </c>
      <c r="Y187" s="4" t="s">
        <v>1519</v>
      </c>
      <c r="Z187" s="4"/>
      <c r="AA187" s="37" t="s">
        <v>1549</v>
      </c>
      <c r="AB187" s="4"/>
      <c r="AC187" s="4"/>
      <c r="AD187" s="4" t="s">
        <v>1520</v>
      </c>
      <c r="AE187" s="32" t="s">
        <v>1521</v>
      </c>
      <c r="AF187" s="4" t="s">
        <v>1463</v>
      </c>
    </row>
    <row r="188" spans="1:32" ht="49.5" x14ac:dyDescent="0.25">
      <c r="A188" s="4" t="str">
        <f t="shared" si="21"/>
        <v>'1625681794286219-0746804-17-01',</v>
      </c>
      <c r="B188" s="4" t="str">
        <f t="shared" si="22"/>
        <v>'1625681824516614-0755118-52-02',</v>
      </c>
      <c r="C188" s="15" t="s">
        <v>1571</v>
      </c>
      <c r="D188" s="5" t="s">
        <v>1563</v>
      </c>
      <c r="E188" s="5" t="s">
        <v>1571</v>
      </c>
      <c r="F188" s="36" t="s">
        <v>1581</v>
      </c>
      <c r="G188" s="29"/>
      <c r="H188" s="5"/>
      <c r="I188" s="22" t="s">
        <v>1572</v>
      </c>
      <c r="J188" s="16"/>
      <c r="K188" s="25" t="s">
        <v>1548</v>
      </c>
      <c r="L188" s="16" t="s">
        <v>289</v>
      </c>
      <c r="M188" s="16" t="str">
        <f t="shared" ref="M188:M253" si="27">IF($L188&lt;&gt;"",IF($L188="清除同步失敗註記","UPDATE CIFX.TB_SERVICE_EXECUTION_CONTROL SET EXECUTION_STATE = "&amp;"'"&amp;"EXECUTED"&amp;"'"&amp;", ap_server_EXECUTING = NULL WHERE SERVICE_EXECUTION_CONTROL_ID IN ("&amp;"'"&amp;$Y188&amp;"'"&amp;") and execution_type = "&amp;"'"&amp;"STAGE1_EXECUTION"&amp;"';"&amp;"",IF($L188="重送CIP電文","UPDATE CIFX.TB_SERVICE_EXECUTION_CONTROL SET EXECUTION_STATE = "&amp;"'"&amp;"TO_EXECUTE"&amp;"'"&amp;",RESULT_CODE = NULL,EXECUTING_TIMESTAMP = null,EXECUTED_TIMESTAMP = null,ap_server_EXECUTING = NULL WHERE SERVICE_EXECUTION_CONTROL_ID IN ("&amp;"'"&amp;$Y188&amp;"'"&amp;") AND EXECUTION_TYPE = "&amp;"'"&amp;"STAGE1_EXECUTION"&amp;"'"&amp;";","沒有對應")),"")</f>
        <v>UPDATE CIFX.TB_SERVICE_EXECUTION_CONTROL SET EXECUTION_STATE = 'EXECUTED', ap_server_EXECUTING = NULL WHERE SERVICE_EXECUTION_CONTROL_ID IN ('1625681794388327-0746804-28-01') and execution_type = 'STAGE1_EXECUTION';</v>
      </c>
      <c r="N188" s="16" t="str">
        <f t="shared" si="26"/>
        <v>SELECT EXECUTION_TYPE,SERVICE_INTERCHANGE_ID,CIRCI_KEY,EXECUTION_STATE FROM CIFX.TB_SERVICE_EXECUTION_CONTROL WHERE SERVICE_EXECUTION_CONTROL_ID IN ('1625681794388327-0746804-28-01') AND EXECUTION_TYPE = 'STAGE1_EXECUTION';</v>
      </c>
      <c r="O188" s="7" t="str">
        <f t="shared" si="24"/>
        <v>發送異動通知電文，未回傳resultCode!!,回傳代碼描述:,錯誤訊息:[]</v>
      </c>
      <c r="P188" s="7" t="s">
        <v>1543</v>
      </c>
      <c r="Q188" s="7" t="s">
        <v>162</v>
      </c>
      <c r="R188" s="7"/>
      <c r="S188" s="16" t="s">
        <v>1547</v>
      </c>
      <c r="T188" s="4" t="s">
        <v>1562</v>
      </c>
      <c r="U188" s="4" t="s">
        <v>17</v>
      </c>
      <c r="V188" s="4" t="s">
        <v>900</v>
      </c>
      <c r="W188" s="4"/>
      <c r="X188" s="4" t="s">
        <v>1541</v>
      </c>
      <c r="Y188" s="4" t="s">
        <v>1573</v>
      </c>
      <c r="Z188" s="4" t="s">
        <v>1545</v>
      </c>
      <c r="AA188" s="37" t="s">
        <v>1542</v>
      </c>
      <c r="AB188" s="32"/>
      <c r="AC188" s="32"/>
      <c r="AD188" s="32"/>
      <c r="AE188" s="4" t="s">
        <v>1463</v>
      </c>
      <c r="AF188" s="4" t="s">
        <v>1546</v>
      </c>
    </row>
    <row r="189" spans="1:32" ht="82.5" x14ac:dyDescent="0.25">
      <c r="A189" s="4" t="str">
        <f t="shared" si="21"/>
        <v>'1625761166681199-0926392-99-01',</v>
      </c>
      <c r="B189" s="4" t="str">
        <f t="shared" si="22"/>
        <v>'1625761167090975-0936695-32-02',</v>
      </c>
      <c r="C189" s="15" t="s">
        <v>1588</v>
      </c>
      <c r="D189" s="5" t="s">
        <v>1564</v>
      </c>
      <c r="E189" s="5" t="s">
        <v>1571</v>
      </c>
      <c r="F189" s="36" t="s">
        <v>1587</v>
      </c>
      <c r="G189" s="29"/>
      <c r="H189" s="5"/>
      <c r="I189" s="22" t="s">
        <v>1572</v>
      </c>
      <c r="J189" s="16"/>
      <c r="K189" s="34" t="s">
        <v>1583</v>
      </c>
      <c r="L189" s="16" t="s">
        <v>289</v>
      </c>
      <c r="M189" s="16" t="str">
        <f t="shared" si="27"/>
        <v>UPDATE CIFX.TB_SERVICE_EXECUTION_CONTROL SET EXECUTION_STATE = 'EXECUTED', ap_server_EXECUTING = NULL WHERE SERVICE_EXECUTION_CONTROL_ID IN ('1625761166686861-0926392-05-01') and execution_type = 'STAGE1_EXECUTION';</v>
      </c>
      <c r="N189" s="16" t="str">
        <f t="shared" si="26"/>
        <v>SELECT EXECUTION_TYPE,SERVICE_INTERCHANGE_ID,CIRCI_KEY,EXECUTION_STATE FROM CIFX.TB_SERVICE_EXECUTION_CONTROL WHERE SERVICE_EXECUTION_CONTROL_ID IN ('1625761166686861-0926392-05-01') AND EXECUTION_TYPE = 'STAGE1_EXECUTION';</v>
      </c>
      <c r="O189" s="7" t="str">
        <f t="shared" si="24"/>
        <v>發送ID改號電文給CIP回傳錯誤碼:UP0090_00_R101,錯誤碼訊息:存在驗證錯誤,錯誤訊息:[檢查有誤，顧客曾經執行過ID改號，將交由資料管家處理]</v>
      </c>
      <c r="P189" s="35" t="s">
        <v>1626</v>
      </c>
      <c r="Q189" s="7" t="s">
        <v>162</v>
      </c>
      <c r="R189" s="7"/>
      <c r="S189" s="16" t="s">
        <v>299</v>
      </c>
      <c r="T189" s="4" t="s">
        <v>1551</v>
      </c>
      <c r="U189" s="4" t="s">
        <v>17</v>
      </c>
      <c r="V189" s="4" t="s">
        <v>18</v>
      </c>
      <c r="W189" s="4"/>
      <c r="X189" s="4" t="s">
        <v>1552</v>
      </c>
      <c r="Y189" s="4" t="s">
        <v>1584</v>
      </c>
      <c r="Z189" s="4" t="s">
        <v>1554</v>
      </c>
      <c r="AA189" s="37" t="s">
        <v>1585</v>
      </c>
      <c r="AB189" s="4"/>
      <c r="AC189" s="4"/>
      <c r="AD189" s="4" t="s">
        <v>1553</v>
      </c>
      <c r="AE189" s="32" t="s">
        <v>1555</v>
      </c>
      <c r="AF189" s="4" t="s">
        <v>1556</v>
      </c>
    </row>
    <row r="190" spans="1:32" x14ac:dyDescent="0.25">
      <c r="A190" s="4" t="str">
        <f t="shared" si="21"/>
        <v>'1626102105673528-1659641-28-02',</v>
      </c>
      <c r="B190" s="4" t="str">
        <f t="shared" si="22"/>
        <v>'1626102135937368-1665835-39-01',</v>
      </c>
      <c r="C190" s="15" t="s">
        <v>1571</v>
      </c>
      <c r="D190" s="5" t="s">
        <v>1578</v>
      </c>
      <c r="E190" s="5" t="s">
        <v>1572</v>
      </c>
      <c r="F190" s="5" t="s">
        <v>1582</v>
      </c>
      <c r="G190" s="29"/>
      <c r="H190" s="5"/>
      <c r="I190" s="22" t="s">
        <v>1571</v>
      </c>
      <c r="J190" s="16"/>
      <c r="K190" s="25" t="s">
        <v>1580</v>
      </c>
      <c r="L190" s="16" t="s">
        <v>809</v>
      </c>
      <c r="M190" s="16" t="str">
        <f t="shared" si="27"/>
        <v>UPDATE CIFX.TB_SERVICE_EXECUTION_CONTROL SET EXECUTION_STATE = 'TO_EXECUTE',RESULT_CODE = NULL,EXECUTING_TIMESTAMP = null,EXECUTED_TIMESTAMP = null,ap_server_EXECUTING = NULL WHERE SERVICE_EXECUTION_CONTROL_ID IN ('1626102105818399-1659641-47-02') AND EXECUTION_TYPE = 'STAGE1_EXECUTION';</v>
      </c>
      <c r="N190" s="16" t="str">
        <f t="shared" si="26"/>
        <v>SELECT EXECUTION_TYPE,SERVICE_INTERCHANGE_ID,CIRCI_KEY,EXECUTION_STATE FROM CIFX.TB_SERVICE_EXECUTION_CONTROL WHERE SERVICE_EXECUTION_CONTROL_ID IN ('1626102105818399-1659641-47-02') AND EXECUTION_TYPE = 'STAGE1_EXECUTION';</v>
      </c>
      <c r="O190" s="7" t="str">
        <f t="shared" si="24"/>
        <v>發送異動通知電文，未回傳resultCode!!,回傳代碼描述:,錯誤訊息:[]</v>
      </c>
      <c r="P190" s="7" t="str">
        <f t="shared" si="25"/>
        <v>請協助處理</v>
      </c>
      <c r="Q190" s="7"/>
      <c r="R190" s="7"/>
      <c r="S190" s="16"/>
      <c r="T190" s="4" t="s">
        <v>1574</v>
      </c>
      <c r="U190" s="4" t="s">
        <v>17</v>
      </c>
      <c r="V190" s="4" t="s">
        <v>900</v>
      </c>
      <c r="W190" s="4"/>
      <c r="X190" s="4" t="s">
        <v>1577</v>
      </c>
      <c r="Y190" s="4" t="s">
        <v>1579</v>
      </c>
      <c r="Z190" s="4" t="s">
        <v>1575</v>
      </c>
      <c r="AA190" s="37" t="s">
        <v>1576</v>
      </c>
      <c r="AB190" s="4"/>
      <c r="AC190" s="4"/>
      <c r="AD190" s="4"/>
      <c r="AE190" s="4"/>
      <c r="AF190" s="4"/>
    </row>
    <row r="191" spans="1:32" ht="33" x14ac:dyDescent="0.25">
      <c r="A191" s="4" t="str">
        <f t="shared" si="21"/>
        <v>'1626712323022559-3004088-18-01',</v>
      </c>
      <c r="B191" s="4" t="str">
        <f t="shared" si="22"/>
        <v>'1626712323393142-3001285-36-02',</v>
      </c>
      <c r="C191" s="15" t="s">
        <v>1648</v>
      </c>
      <c r="D191" s="5" t="s">
        <v>1598</v>
      </c>
      <c r="E191" s="5" t="s">
        <v>1644</v>
      </c>
      <c r="F191" s="5" t="s">
        <v>1619</v>
      </c>
      <c r="G191" s="29"/>
      <c r="H191" s="5"/>
      <c r="I191" s="22" t="s">
        <v>1644</v>
      </c>
      <c r="J191" s="16"/>
      <c r="K191" s="25"/>
      <c r="L191" s="16" t="s">
        <v>289</v>
      </c>
      <c r="M191" s="16" t="str">
        <f t="shared" si="27"/>
        <v>UPDATE CIFX.TB_SERVICE_EXECUTION_CONTROL SET EXECUTION_STATE = 'EXECUTED', ap_server_EXECUTING = NULL WHERE SERVICE_EXECUTION_CONTROL_ID IN ('1626712323084208-3004132-23-01') and execution_type = 'STAGE1_EXECUTION';</v>
      </c>
      <c r="N191" s="16" t="str">
        <f t="shared" si="26"/>
        <v>SELECT EXECUTION_TYPE,SERVICE_INTERCHANGE_ID,CIRCI_KEY,EXECUTION_STATE FROM CIFX.TB_SERVICE_EXECUTION_CONTROL WHERE SERVICE_EXECUTION_CONTROL_ID IN ('1626712323084208-3004132-23-01') AND EXECUTION_TYPE = 'STAGE1_EXECUTION';</v>
      </c>
      <c r="O191" s="7" t="str">
        <f t="shared" si="24"/>
        <v>發送異動通知電文給CIP回傳錯誤碼:UP0090_00_V201,錯誤碼訊息:必要性檢核錯誤,錯誤訊息:[檢查有誤，顧客ID已停用]</v>
      </c>
      <c r="P191" s="7" t="str">
        <f t="shared" si="25"/>
        <v>請協助處理</v>
      </c>
      <c r="Q191" s="7" t="s">
        <v>162</v>
      </c>
      <c r="R191" s="7"/>
      <c r="S191" s="16" t="s">
        <v>299</v>
      </c>
      <c r="T191" s="4" t="s">
        <v>1592</v>
      </c>
      <c r="U191" s="4" t="s">
        <v>17</v>
      </c>
      <c r="V191" s="4" t="s">
        <v>1</v>
      </c>
      <c r="W191" s="4"/>
      <c r="X191" s="4" t="s">
        <v>1593</v>
      </c>
      <c r="Y191" s="4" t="s">
        <v>1594</v>
      </c>
      <c r="Z191" s="4" t="s">
        <v>1595</v>
      </c>
      <c r="AA191" s="37" t="s">
        <v>1597</v>
      </c>
      <c r="AB191" s="4"/>
      <c r="AC191" s="4"/>
      <c r="AD191" s="4" t="s">
        <v>1627</v>
      </c>
      <c r="AE191" s="32" t="s">
        <v>1623</v>
      </c>
      <c r="AF191" s="4" t="s">
        <v>1596</v>
      </c>
    </row>
    <row r="192" spans="1:32" x14ac:dyDescent="0.25">
      <c r="A192" s="4" t="str">
        <f t="shared" si="21"/>
        <v>'1626773842487555-3137762-97-02',</v>
      </c>
      <c r="B192" s="4" t="str">
        <f t="shared" si="22"/>
        <v>'1626773842723424-3137834-64-02',</v>
      </c>
      <c r="C192" s="15" t="s">
        <v>1611</v>
      </c>
      <c r="D192" s="5" t="s">
        <v>1599</v>
      </c>
      <c r="E192" s="5" t="s">
        <v>1610</v>
      </c>
      <c r="F192" s="5" t="s">
        <v>1609</v>
      </c>
      <c r="G192" s="29"/>
      <c r="H192" s="5"/>
      <c r="I192" s="22" t="s">
        <v>1612</v>
      </c>
      <c r="J192" s="16"/>
      <c r="K192" s="25"/>
      <c r="L192" s="16" t="s">
        <v>809</v>
      </c>
      <c r="M192" s="16" t="str">
        <f t="shared" si="27"/>
        <v>UPDATE CIFX.TB_SERVICE_EXECUTION_CONTROL SET EXECUTION_STATE = 'TO_EXECUTE',RESULT_CODE = NULL,EXECUTING_TIMESTAMP = null,EXECUTED_TIMESTAMP = null,ap_server_EXECUTING = NULL WHERE SERVICE_EXECUTION_CONTROL_ID IN ('1626773842526388-3137762-56-02') AND EXECUTION_TYPE = 'STAGE1_EXECUTION';</v>
      </c>
      <c r="N192" s="16" t="str">
        <f t="shared" si="26"/>
        <v>SELECT EXECUTION_TYPE,SERVICE_INTERCHANGE_ID,CIRCI_KEY,EXECUTION_STATE FROM CIFX.TB_SERVICE_EXECUTION_CONTROL WHERE SERVICE_EXECUTION_CONTROL_ID IN ('1626773842526388-3137762-56-02') AND EXECUTION_TYPE = 'STAGE1_EXECUTION';</v>
      </c>
      <c r="O192" s="7" t="str">
        <f t="shared" si="24"/>
        <v>發送異動通知電文給CIP回傳錯誤碼:UP0090_00_V201,錯誤碼訊息:必要性檢核錯誤,錯誤訊息:[DEL00000000000000912 顧客 TS0116_00 已刪除，但全行未刪除，無法進行異動建檔]</v>
      </c>
      <c r="P192" s="7" t="str">
        <f t="shared" si="25"/>
        <v>請協助處理</v>
      </c>
      <c r="Q192" s="7" t="s">
        <v>162</v>
      </c>
      <c r="R192" s="7"/>
      <c r="S192" s="16" t="s">
        <v>299</v>
      </c>
      <c r="T192" s="4" t="s">
        <v>1607</v>
      </c>
      <c r="U192" s="4" t="s">
        <v>17</v>
      </c>
      <c r="V192" s="4" t="s">
        <v>1600</v>
      </c>
      <c r="W192" s="4"/>
      <c r="X192" s="4" t="s">
        <v>1606</v>
      </c>
      <c r="Y192" s="4" t="s">
        <v>1608</v>
      </c>
      <c r="Z192" s="4" t="s">
        <v>1601</v>
      </c>
      <c r="AA192" s="37" t="s">
        <v>1605</v>
      </c>
      <c r="AB192" s="4"/>
      <c r="AC192" s="4"/>
      <c r="AD192" s="4" t="s">
        <v>1602</v>
      </c>
      <c r="AE192" s="4" t="s">
        <v>1604</v>
      </c>
      <c r="AF192" s="4" t="s">
        <v>1603</v>
      </c>
    </row>
    <row r="193" spans="1:32" ht="33" x14ac:dyDescent="0.25">
      <c r="A193" s="4" t="str">
        <f t="shared" si="21"/>
        <v>'1626942294643827-3513630-67-02',</v>
      </c>
      <c r="B193" s="4" t="str">
        <f t="shared" si="22"/>
        <v>'1626942295015871-3509343-78-01',</v>
      </c>
      <c r="C193" s="15" t="s">
        <v>1828</v>
      </c>
      <c r="D193" s="5" t="s">
        <v>1823</v>
      </c>
      <c r="E193" s="5" t="s">
        <v>1827</v>
      </c>
      <c r="F193" s="5" t="s">
        <v>1829</v>
      </c>
      <c r="G193" s="29"/>
      <c r="H193" s="5"/>
      <c r="I193" s="22" t="s">
        <v>1828</v>
      </c>
      <c r="J193" s="16"/>
      <c r="K193" s="25" t="s">
        <v>1819</v>
      </c>
      <c r="L193" s="16" t="s">
        <v>289</v>
      </c>
      <c r="M193" s="16" t="str">
        <f t="shared" si="27"/>
        <v>UPDATE CIFX.TB_SERVICE_EXECUTION_CONTROL SET EXECUTION_STATE = 'EXECUTED', ap_server_EXECUTING = NULL WHERE SERVICE_EXECUTION_CONTROL_ID IN ('1626942294786669-3509294-74-01') and execution_type = 'STAGE1_EXECUTION';</v>
      </c>
      <c r="N193" s="16" t="str">
        <f t="shared" si="26"/>
        <v>SELECT EXECUTION_TYPE,SERVICE_INTERCHANGE_ID,CIRCI_KEY,EXECUTION_STATE FROM CIFX.TB_SERVICE_EXECUTION_CONTROL WHERE SERVICE_EXECUTION_CONTROL_ID IN ('1626942294786669-3509294-74-01') AND EXECUTION_TYPE = 'STAGE1_EXECUTION';</v>
      </c>
      <c r="O193" s="7" t="str">
        <f t="shared" si="24"/>
        <v>發送異動通知電文給CIP回傳錯誤碼:UP0090_00_V201,錯誤碼訊息:必要性檢核錯誤,錯誤訊息:[檢查有誤，顧客ID已停用]</v>
      </c>
      <c r="P193" s="35" t="s">
        <v>1618</v>
      </c>
      <c r="Q193" s="7" t="s">
        <v>162</v>
      </c>
      <c r="R193" s="7"/>
      <c r="S193" s="16" t="s">
        <v>299</v>
      </c>
      <c r="T193" s="4" t="s">
        <v>1613</v>
      </c>
      <c r="U193" s="4" t="s">
        <v>17</v>
      </c>
      <c r="V193" s="4" t="s">
        <v>1</v>
      </c>
      <c r="W193" s="4"/>
      <c r="X193" s="4" t="s">
        <v>1614</v>
      </c>
      <c r="Y193" s="4" t="s">
        <v>1824</v>
      </c>
      <c r="Z193" s="4" t="s">
        <v>1615</v>
      </c>
      <c r="AA193" s="37" t="s">
        <v>1765</v>
      </c>
      <c r="AB193" s="4"/>
      <c r="AC193" s="4"/>
      <c r="AD193" s="4" t="s">
        <v>1616</v>
      </c>
      <c r="AE193" s="32" t="s">
        <v>1617</v>
      </c>
      <c r="AF193" s="4"/>
    </row>
    <row r="194" spans="1:32" ht="49.5" x14ac:dyDescent="0.25">
      <c r="A194" s="4" t="str">
        <f t="shared" si="21"/>
        <v>'1626947479647101-3525003-50-01',</v>
      </c>
      <c r="B194" s="4" t="str">
        <f t="shared" si="22"/>
        <v>'1626981400254109-3597622-29-02',</v>
      </c>
      <c r="C194" s="15" t="s">
        <v>1647</v>
      </c>
      <c r="D194" s="5" t="s">
        <v>1630</v>
      </c>
      <c r="E194" s="5" t="s">
        <v>1644</v>
      </c>
      <c r="F194" s="5" t="s">
        <v>1646</v>
      </c>
      <c r="G194" s="29"/>
      <c r="H194" s="5"/>
      <c r="I194" s="22" t="s">
        <v>1655</v>
      </c>
      <c r="J194" s="16"/>
      <c r="K194" s="25" t="s">
        <v>1645</v>
      </c>
      <c r="L194" s="16" t="s">
        <v>289</v>
      </c>
      <c r="M194" s="16" t="str">
        <f t="shared" si="27"/>
        <v>UPDATE CIFX.TB_SERVICE_EXECUTION_CONTROL SET EXECUTION_STATE = 'EXECUTED', ap_server_EXECUTING = NULL WHERE SERVICE_EXECUTION_CONTROL_ID IN ('1626947479673467-3525003-73-01') and execution_type = 'STAGE1_EXECUTION';</v>
      </c>
      <c r="N194" s="16" t="str">
        <f t="shared" si="26"/>
        <v>SELECT EXECUTION_TYPE,SERVICE_INTERCHANGE_ID,CIRCI_KEY,EXECUTION_STATE FROM CIFX.TB_SERVICE_EXECUTION_CONTROL WHERE SERVICE_EXECUTION_CONTROL_ID IN ('1626947479673467-3525003-73-01') AND EXECUTION_TYPE = 'STAGE1_EXECUTION';</v>
      </c>
      <c r="O194" s="7" t="str">
        <f t="shared" si="24"/>
        <v>發送異動通知電文給CIP回傳錯誤碼:UP0090_00_V201,錯誤碼訊息:必要性檢核錯誤,錯誤訊息:[檢查有誤，顧客ID已停用]</v>
      </c>
      <c r="P194" s="35" t="s">
        <v>1628</v>
      </c>
      <c r="Q194" s="7" t="s">
        <v>162</v>
      </c>
      <c r="R194" s="7"/>
      <c r="S194" s="16" t="s">
        <v>299</v>
      </c>
      <c r="T194" s="4" t="s">
        <v>1629</v>
      </c>
      <c r="U194" s="4" t="s">
        <v>17</v>
      </c>
      <c r="V194" s="4" t="s">
        <v>1</v>
      </c>
      <c r="W194" s="4"/>
      <c r="X194" s="4" t="s">
        <v>1631</v>
      </c>
      <c r="Y194" s="4" t="s">
        <v>1620</v>
      </c>
      <c r="Z194" s="4" t="s">
        <v>1621</v>
      </c>
      <c r="AA194" s="37" t="s">
        <v>1632</v>
      </c>
      <c r="AB194" s="4"/>
      <c r="AC194" s="4"/>
      <c r="AD194" s="4" t="s">
        <v>1622</v>
      </c>
      <c r="AE194" s="32" t="s">
        <v>1625</v>
      </c>
      <c r="AF194" s="4" t="s">
        <v>1624</v>
      </c>
    </row>
    <row r="195" spans="1:32" x14ac:dyDescent="0.25">
      <c r="A195" s="4" t="str">
        <f t="shared" si="21"/>
        <v>'1626954233070487-3543016-80-01',</v>
      </c>
      <c r="B195" s="4" t="str">
        <f t="shared" si="22"/>
        <v>'1626954243268081-3543027-91-01',</v>
      </c>
      <c r="C195" s="15"/>
      <c r="D195" s="5"/>
      <c r="E195" s="5"/>
      <c r="F195" s="5"/>
      <c r="G195" s="29"/>
      <c r="H195" s="5"/>
      <c r="I195" s="22" t="s">
        <v>1638</v>
      </c>
      <c r="J195" s="16"/>
      <c r="K195" s="25" t="s">
        <v>1637</v>
      </c>
      <c r="L195" s="16"/>
      <c r="M195" s="16" t="str">
        <f t="shared" si="27"/>
        <v/>
      </c>
      <c r="N195" s="16" t="str">
        <f t="shared" si="26"/>
        <v/>
      </c>
      <c r="O195" s="7" t="str">
        <f t="shared" si="24"/>
        <v>發送異動通知電文，未回傳resultCode!!,回傳代碼描述:,錯誤訊息:[]</v>
      </c>
      <c r="P195" s="7" t="str">
        <f t="shared" si="25"/>
        <v>請協助處理</v>
      </c>
      <c r="Q195" s="7"/>
      <c r="R195" s="7"/>
      <c r="S195" s="16"/>
      <c r="T195" s="4" t="s">
        <v>1634</v>
      </c>
      <c r="U195" s="4" t="s">
        <v>17</v>
      </c>
      <c r="V195" s="4" t="s">
        <v>900</v>
      </c>
      <c r="W195" s="4"/>
      <c r="X195" s="4" t="s">
        <v>1671</v>
      </c>
      <c r="Y195" s="4" t="s">
        <v>1636</v>
      </c>
      <c r="Z195" s="4" t="s">
        <v>1635</v>
      </c>
      <c r="AA195" s="37" t="s">
        <v>1633</v>
      </c>
      <c r="AB195" s="4"/>
      <c r="AC195" s="4"/>
      <c r="AD195" s="4"/>
      <c r="AE195" s="4"/>
      <c r="AF195" s="4"/>
    </row>
    <row r="196" spans="1:32" x14ac:dyDescent="0.25">
      <c r="A196" s="4" t="str">
        <f t="shared" si="21"/>
        <v>'1627294211928579-4267374-10-01',</v>
      </c>
      <c r="B196" s="4" t="str">
        <f t="shared" si="22"/>
        <v>'1627294214586130-4258544-86-02',</v>
      </c>
      <c r="C196" s="15" t="s">
        <v>1845</v>
      </c>
      <c r="D196" s="5" t="s">
        <v>1825</v>
      </c>
      <c r="E196" s="5" t="s">
        <v>1846</v>
      </c>
      <c r="F196" s="5" t="s">
        <v>1854</v>
      </c>
      <c r="G196" s="29"/>
      <c r="H196" s="5"/>
      <c r="I196" s="22" t="s">
        <v>1849</v>
      </c>
      <c r="J196" s="16"/>
      <c r="K196" s="25" t="s">
        <v>1819</v>
      </c>
      <c r="L196" s="16" t="s">
        <v>289</v>
      </c>
      <c r="M196" s="16" t="str">
        <f t="shared" si="27"/>
        <v>UPDATE CIFX.TB_SERVICE_EXECUTION_CONTROL SET EXECUTION_STATE = 'EXECUTED', ap_server_EXECUTING = NULL WHERE SERVICE_EXECUTION_CONTROL_ID IN ('1627294211934319-4267374-13-01') and execution_type = 'STAGE1_EXECUTION';</v>
      </c>
      <c r="N196" s="16" t="str">
        <f t="shared" si="26"/>
        <v>SELECT EXECUTION_TYPE,SERVICE_INTERCHANGE_ID,CIRCI_KEY,EXECUTION_STATE FROM CIFX.TB_SERVICE_EXECUTION_CONTROL WHERE SERVICE_EXECUTION_CONTROL_ID IN ('1627294211934319-4267374-13-01') AND EXECUTION_TYPE = 'STAGE1_EXECUTION';</v>
      </c>
      <c r="O196" s="7" t="str">
        <f t="shared" si="24"/>
        <v>發送異動通知電文給CIP回傳錯誤碼:UP0090_00_V201,錯誤碼訊息:必要性檢核錯誤,錯誤訊息:[檢查有誤，顧客ID已停用]</v>
      </c>
      <c r="P196" s="7" t="s">
        <v>1643</v>
      </c>
      <c r="Q196" s="7" t="s">
        <v>162</v>
      </c>
      <c r="R196" s="7"/>
      <c r="S196" s="16" t="s">
        <v>299</v>
      </c>
      <c r="T196" s="4" t="s">
        <v>1639</v>
      </c>
      <c r="U196" s="4" t="s">
        <v>17</v>
      </c>
      <c r="V196" s="4" t="s">
        <v>1</v>
      </c>
      <c r="W196" s="4"/>
      <c r="X196" s="4" t="s">
        <v>1640</v>
      </c>
      <c r="Y196" s="4" t="s">
        <v>1826</v>
      </c>
      <c r="Z196" s="4" t="s">
        <v>1641</v>
      </c>
      <c r="AA196" s="37" t="s">
        <v>1766</v>
      </c>
      <c r="AB196" s="4"/>
      <c r="AC196" s="4"/>
      <c r="AD196" s="4" t="s">
        <v>1681</v>
      </c>
      <c r="AE196" s="4" t="s">
        <v>1642</v>
      </c>
      <c r="AF196" s="4" t="s">
        <v>1642</v>
      </c>
    </row>
    <row r="197" spans="1:32" ht="66" x14ac:dyDescent="0.25">
      <c r="A197" s="4" t="str">
        <f t="shared" si="21"/>
        <v>'1627299051026301-4284179-52-02',</v>
      </c>
      <c r="B197" s="4" t="str">
        <f t="shared" si="22"/>
        <v>'1627299051329244-4274466-44-01',</v>
      </c>
      <c r="C197" s="15" t="s">
        <v>1732</v>
      </c>
      <c r="D197" s="5" t="s">
        <v>1663</v>
      </c>
      <c r="E197" s="5" t="s">
        <v>1731</v>
      </c>
      <c r="F197" s="5" t="s">
        <v>1730</v>
      </c>
      <c r="G197" s="29"/>
      <c r="H197" s="5"/>
      <c r="I197" s="22" t="s">
        <v>1731</v>
      </c>
      <c r="J197" s="16"/>
      <c r="K197" s="34" t="s">
        <v>1727</v>
      </c>
      <c r="L197" s="16" t="s">
        <v>289</v>
      </c>
      <c r="M197" s="16" t="str">
        <f t="shared" si="27"/>
        <v>UPDATE CIFX.TB_SERVICE_EXECUTION_CONTROL SET EXECUTION_STATE = 'EXECUTED', ap_server_EXECUTING = NULL WHERE SERVICE_EXECUTION_CONTROL_ID IN ('1627299051058038-4284179-12-02') and execution_type = 'STAGE1_EXECUTION';</v>
      </c>
      <c r="N197" s="16" t="str">
        <f t="shared" si="26"/>
        <v>SELECT EXECUTION_TYPE,SERVICE_INTERCHANGE_ID,CIRCI_KEY,EXECUTION_STATE FROM CIFX.TB_SERVICE_EXECUTION_CONTROL WHERE SERVICE_EXECUTION_CONTROL_ID IN ('1627299051058038-4284179-12-02') AND EXECUTION_TYPE = 'STAGE1_EXECUTION';</v>
      </c>
      <c r="O197" s="7" t="str">
        <f t="shared" si="24"/>
        <v>發送異動通知電文給CIP回傳錯誤碼:UP0090_00_V201,錯誤碼訊息:必要性檢核錯誤,錯誤訊息:[DEL00000000000000917 顧客 TS0116_00 已刪除，但全行未刪除，無法進行異動建檔]</v>
      </c>
      <c r="P197" s="7" t="str">
        <f t="shared" si="25"/>
        <v>請協助處理</v>
      </c>
      <c r="Q197" s="7" t="s">
        <v>162</v>
      </c>
      <c r="R197" s="7"/>
      <c r="S197" s="16" t="s">
        <v>299</v>
      </c>
      <c r="T197" s="4" t="s">
        <v>1729</v>
      </c>
      <c r="U197" s="4" t="s">
        <v>17</v>
      </c>
      <c r="V197" s="4" t="s">
        <v>1728</v>
      </c>
      <c r="W197" s="4"/>
      <c r="X197" s="4" t="s">
        <v>1649</v>
      </c>
      <c r="Y197" s="4" t="s">
        <v>1650</v>
      </c>
      <c r="Z197" s="4" t="s">
        <v>1651</v>
      </c>
      <c r="AA197" s="37" t="s">
        <v>1679</v>
      </c>
      <c r="AB197" s="4"/>
      <c r="AC197" s="4"/>
      <c r="AD197" s="4" t="s">
        <v>1652</v>
      </c>
      <c r="AE197" s="4" t="s">
        <v>1653</v>
      </c>
      <c r="AF197" s="4" t="s">
        <v>1654</v>
      </c>
    </row>
    <row r="198" spans="1:32" x14ac:dyDescent="0.25">
      <c r="A198" s="4" t="str">
        <f t="shared" si="21"/>
        <v>'1627455266907531-4626708-30-02',</v>
      </c>
      <c r="B198" s="4" t="str">
        <f t="shared" si="22"/>
        <v>'1627455268019786-4626289-87-02',</v>
      </c>
      <c r="C198" s="15" t="s">
        <v>1668</v>
      </c>
      <c r="D198" s="5" t="s">
        <v>1664</v>
      </c>
      <c r="E198" s="5" t="s">
        <v>1666</v>
      </c>
      <c r="F198" s="5" t="s">
        <v>1667</v>
      </c>
      <c r="G198" s="29"/>
      <c r="H198" s="5"/>
      <c r="I198" s="22" t="s">
        <v>1678</v>
      </c>
      <c r="J198" s="16"/>
      <c r="K198" s="25" t="s">
        <v>1662</v>
      </c>
      <c r="L198" s="16" t="s">
        <v>289</v>
      </c>
      <c r="M198" s="16" t="str">
        <f t="shared" si="27"/>
        <v>UPDATE CIFX.TB_SERVICE_EXECUTION_CONTROL SET EXECUTION_STATE = 'EXECUTED', ap_server_EXECUTING = NULL WHERE SERVICE_EXECUTION_CONTROL_ID IN ('1627455267527544-4617857-61-01') and execution_type = 'STAGE1_EXECUTION';</v>
      </c>
      <c r="N198" s="16" t="str">
        <f t="shared" si="26"/>
        <v>SELECT EXECUTION_TYPE,SERVICE_INTERCHANGE_ID,CIRCI_KEY,EXECUTION_STATE FROM CIFX.TB_SERVICE_EXECUTION_CONTROL WHERE SERVICE_EXECUTION_CONTROL_ID IN ('1627455267527544-4617857-61-01') AND EXECUTION_TYPE = 'STAGE1_EXECUTION';</v>
      </c>
      <c r="O198" s="7" t="str">
        <f t="shared" si="24"/>
        <v>發送異動通知電文給CIP回傳錯誤碼:UP0090_00_E301,錯誤碼訊息:服務執行期錯誤,錯誤訊息:[顧客識別寫入CI發生錯誤。ChangeRequest:ChangeRequest [serviceInterchange=ServiceInterchange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funcId=01, custName=null, companyEstablishDate=null, circiKey=S120368965, creditCardKey=null, certNo=S120368965, certDate=Fri Mar 07 00:00:00 GMT+08:00 1969,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goldenRecordItemContent=[C6, F3, F6]]], custType=null, relationRemoval=false]；CustCipIdentity:CustCipIdentity [custId=7554501, custType=P, certTypeCode=00, partyKind=P, oldRestart=false, customerTag=CustomerTag [custId=7554501, custType=P, removalPredicate=null, removalSystemCode=null, refToCustId=0, refDatetime=null, disabledDatetime=null, identityCertTypeCode=00, disabled=null, disabledSystemCode=null], idChangeState=null, creditCardKey=S120368965, circiKey=S120368965, birthDay=1969-03-07 00:00:00.0]；ServiceInterchange:ServiceInterchange [serviceInterchangeId=1627455267831622822, serviceInterchangeTime=Wed Jul 28 06:54:27 GMT+08:00 2021, msgNo=TS0116_00_20210728065427_0792, serviceName=CATEGORY_002, operationName=writeCustomerInfo, txnCode=01, txnTime=Wed Jul 28 06:54:26 GMT+08:00 2021, senderCode=TS0116_00, receiverCode=UP0090_00, operatorCode=ZZ, unitCode=9004, authorizerCode=null, serviceResponse=null, queryResponseLineitems=[]], Exception : ]</v>
      </c>
      <c r="P198" s="7" t="str">
        <f t="shared" si="25"/>
        <v>請協助處理</v>
      </c>
      <c r="Q198" s="7"/>
      <c r="R198" s="7"/>
      <c r="S198" s="16"/>
      <c r="T198" s="4" t="s">
        <v>1657</v>
      </c>
      <c r="U198" s="4" t="s">
        <v>17</v>
      </c>
      <c r="V198" s="4" t="s">
        <v>1656</v>
      </c>
      <c r="W198" s="4"/>
      <c r="X198" s="4" t="s">
        <v>1660</v>
      </c>
      <c r="Y198" s="4" t="s">
        <v>1665</v>
      </c>
      <c r="Z198" s="4" t="s">
        <v>1658</v>
      </c>
      <c r="AA198" s="37" t="s">
        <v>1661</v>
      </c>
      <c r="AB198" s="4"/>
      <c r="AC198" s="4"/>
      <c r="AD198" s="4" t="s">
        <v>1659</v>
      </c>
      <c r="AE198" s="4"/>
      <c r="AF198" s="4"/>
    </row>
    <row r="199" spans="1:32" ht="66" x14ac:dyDescent="0.25">
      <c r="A199" s="4" t="str">
        <f t="shared" si="21"/>
        <v>'1627643249148783-5037679-15-01',</v>
      </c>
      <c r="B199" s="4" t="str">
        <f t="shared" si="22"/>
        <v>'1627643279318796-5037692-66-01',</v>
      </c>
      <c r="C199" s="15" t="s">
        <v>1731</v>
      </c>
      <c r="D199" s="5" t="s">
        <v>1675</v>
      </c>
      <c r="E199" s="5" t="s">
        <v>1709</v>
      </c>
      <c r="F199" s="5" t="s">
        <v>1711</v>
      </c>
      <c r="G199" s="29"/>
      <c r="H199" s="5"/>
      <c r="I199" s="22" t="s">
        <v>1710</v>
      </c>
      <c r="J199" s="16"/>
      <c r="K199" s="34" t="s">
        <v>1676</v>
      </c>
      <c r="L199" s="16" t="s">
        <v>809</v>
      </c>
      <c r="M199" s="16" t="str">
        <f t="shared" si="27"/>
        <v>UPDATE CIFX.TB_SERVICE_EXECUTION_CONTROL SET EXECUTION_STATE = 'TO_EXECUTE',RESULT_CODE = NULL,EXECUTING_TIMESTAMP = null,EXECUTED_TIMESTAMP = null,ap_server_EXECUTING = NULL WHERE SERVICE_EXECUTION_CONTROL_ID IN ('1627643249182744-5037692-19-01') AND EXECUTION_TYPE = 'STAGE1_EXECUTION';</v>
      </c>
      <c r="N199" s="16" t="str">
        <f t="shared" si="26"/>
        <v>SELECT EXECUTION_TYPE,SERVICE_INTERCHANGE_ID,CIRCI_KEY,EXECUTION_STATE FROM CIFX.TB_SERVICE_EXECUTION_CONTROL WHERE SERVICE_EXECUTION_CONTROL_ID IN ('1627643249182744-5037692-19-01') AND EXECUTION_TYPE = 'STAGE1_EXECUTION';</v>
      </c>
      <c r="O199" s="7" t="str">
        <f t="shared" si="24"/>
        <v>發送異動通知電文，未回傳resultCode!!,回傳代碼描述:,錯誤訊息:[]</v>
      </c>
      <c r="P199" s="7" t="str">
        <f t="shared" si="25"/>
        <v>請協助處理</v>
      </c>
      <c r="Q199" s="7" t="s">
        <v>162</v>
      </c>
      <c r="R199" s="7"/>
      <c r="S199" s="16" t="s">
        <v>299</v>
      </c>
      <c r="T199" s="4" t="s">
        <v>1669</v>
      </c>
      <c r="U199" s="4" t="s">
        <v>17</v>
      </c>
      <c r="V199" s="4" t="s">
        <v>1746</v>
      </c>
      <c r="W199" s="4"/>
      <c r="X199" s="4" t="s">
        <v>1674</v>
      </c>
      <c r="Y199" s="4" t="s">
        <v>1670</v>
      </c>
      <c r="Z199" s="4" t="s">
        <v>1677</v>
      </c>
      <c r="AA199" s="37" t="s">
        <v>1680</v>
      </c>
      <c r="AB199" s="4"/>
      <c r="AC199" s="4"/>
      <c r="AD199" s="4"/>
      <c r="AE199" s="4" t="s">
        <v>1672</v>
      </c>
      <c r="AF199" s="4" t="s">
        <v>1673</v>
      </c>
    </row>
    <row r="200" spans="1:32" ht="33" x14ac:dyDescent="0.25">
      <c r="A200" s="4" t="str">
        <f t="shared" si="21"/>
        <v>'1627933999472694-5659682-21-01',</v>
      </c>
      <c r="B200" s="4" t="str">
        <f t="shared" si="22"/>
        <v>'1627933999936801-5659700-43-01',</v>
      </c>
      <c r="C200" s="15" t="s">
        <v>1846</v>
      </c>
      <c r="D200" s="5" t="s">
        <v>1812</v>
      </c>
      <c r="E200" s="5" t="s">
        <v>1845</v>
      </c>
      <c r="F200" s="5" t="s">
        <v>1844</v>
      </c>
      <c r="G200" s="29"/>
      <c r="H200" s="5"/>
      <c r="I200" s="22" t="s">
        <v>1845</v>
      </c>
      <c r="J200" s="16"/>
      <c r="K200" s="25" t="s">
        <v>1819</v>
      </c>
      <c r="L200" s="16" t="s">
        <v>289</v>
      </c>
      <c r="M200" s="16" t="str">
        <f t="shared" si="27"/>
        <v>UPDATE CIFX.TB_SERVICE_EXECUTION_CONTROL SET EXECUTION_STATE = 'EXECUTED', ap_server_EXECUTING = NULL WHERE SERVICE_EXECUTION_CONTROL_ID IN ('1627933999773799-5659694-41-01') and execution_type = 'STAGE1_EXECUTION';</v>
      </c>
      <c r="N200" s="16" t="str">
        <f t="shared" si="26"/>
        <v>SELECT EXECUTION_TYPE,SERVICE_INTERCHANGE_ID,CIRCI_KEY,EXECUTION_STATE FROM CIFX.TB_SERVICE_EXECUTION_CONTROL WHERE SERVICE_EXECUTION_CONTROL_ID IN ('1627933999773799-5659694-41-01') AND EXECUTION_TYPE = 'STAGE1_EXECUTION';</v>
      </c>
      <c r="O200" s="7" t="str">
        <f t="shared" si="24"/>
        <v>發送異動通知電文給CIP回傳錯誤碼:UP0090_00_V201,錯誤碼訊息:必要性檢核錯誤,錯誤訊息:[檢查有誤，顧客ID已停用]</v>
      </c>
      <c r="P200" s="7" t="str">
        <f t="shared" si="25"/>
        <v>請協助處理</v>
      </c>
      <c r="Q200" s="7" t="s">
        <v>162</v>
      </c>
      <c r="R200" s="7"/>
      <c r="S200" s="16" t="s">
        <v>299</v>
      </c>
      <c r="T200" s="4" t="s">
        <v>1682</v>
      </c>
      <c r="U200" s="4" t="s">
        <v>17</v>
      </c>
      <c r="V200" s="4" t="s">
        <v>1</v>
      </c>
      <c r="W200" s="4"/>
      <c r="X200" s="4" t="s">
        <v>1683</v>
      </c>
      <c r="Y200" s="4" t="s">
        <v>1684</v>
      </c>
      <c r="Z200" s="4" t="s">
        <v>1685</v>
      </c>
      <c r="AA200" s="37" t="s">
        <v>1813</v>
      </c>
      <c r="AB200" s="4"/>
      <c r="AC200" s="4"/>
      <c r="AD200" s="4" t="s">
        <v>1686</v>
      </c>
      <c r="AE200" s="32" t="s">
        <v>1687</v>
      </c>
      <c r="AF200" s="4" t="s">
        <v>1688</v>
      </c>
    </row>
    <row r="201" spans="1:32" ht="33" x14ac:dyDescent="0.25">
      <c r="A201" s="4" t="str">
        <f t="shared" si="21"/>
        <v>'1627933950941096-5652084-63-02',</v>
      </c>
      <c r="B201" s="4" t="str">
        <f t="shared" si="22"/>
        <v>'1627933951343531-5652187-77-02',</v>
      </c>
      <c r="C201" s="15" t="s">
        <v>1845</v>
      </c>
      <c r="D201" s="5" t="s">
        <v>1708</v>
      </c>
      <c r="E201" s="5" t="s">
        <v>1845</v>
      </c>
      <c r="F201" s="5" t="s">
        <v>1848</v>
      </c>
      <c r="G201" s="29"/>
      <c r="H201" s="5"/>
      <c r="I201" s="22" t="s">
        <v>1845</v>
      </c>
      <c r="J201" s="16"/>
      <c r="K201" s="25" t="s">
        <v>1819</v>
      </c>
      <c r="L201" s="16" t="s">
        <v>289</v>
      </c>
      <c r="M201" s="16" t="str">
        <f t="shared" si="27"/>
        <v>UPDATE CIFX.TB_SERVICE_EXECUTION_CONTROL SET EXECUTION_STATE = 'EXECUTED', ap_server_EXECUTING = NULL WHERE SERVICE_EXECUTION_CONTROL_ID IN ('1627933951198874-5652088-75-02') and execution_type = 'STAGE1_EXECUTION';</v>
      </c>
      <c r="N201" s="16" t="str">
        <f t="shared" si="26"/>
        <v>SELECT EXECUTION_TYPE,SERVICE_INTERCHANGE_ID,CIRCI_KEY,EXECUTION_STATE FROM CIFX.TB_SERVICE_EXECUTION_CONTROL WHERE SERVICE_EXECUTION_CONTROL_ID IN ('1627933951198874-5652088-75-02') AND EXECUTION_TYPE = 'STAGE1_EXECUTION';</v>
      </c>
      <c r="O201" s="7" t="str">
        <f t="shared" si="24"/>
        <v>發送異動通知電文給CIP回傳錯誤碼:UP0090_00_V201,錯誤碼訊息:必要性檢核錯誤,錯誤訊息:[檢查有誤，顧客ID已停用]</v>
      </c>
      <c r="P201" s="7" t="str">
        <f t="shared" si="25"/>
        <v>請協助處理</v>
      </c>
      <c r="Q201" s="7" t="s">
        <v>162</v>
      </c>
      <c r="R201" s="7"/>
      <c r="S201" s="16" t="s">
        <v>299</v>
      </c>
      <c r="T201" s="4" t="s">
        <v>1689</v>
      </c>
      <c r="U201" s="4" t="s">
        <v>17</v>
      </c>
      <c r="V201" s="4" t="s">
        <v>1</v>
      </c>
      <c r="W201" s="4"/>
      <c r="X201" s="4" t="s">
        <v>1690</v>
      </c>
      <c r="Y201" s="4" t="s">
        <v>1691</v>
      </c>
      <c r="Z201" s="4" t="s">
        <v>1692</v>
      </c>
      <c r="AA201" s="37" t="s">
        <v>1814</v>
      </c>
      <c r="AB201" s="4"/>
      <c r="AC201" s="4"/>
      <c r="AD201" s="4" t="s">
        <v>1693</v>
      </c>
      <c r="AE201" s="32" t="s">
        <v>1694</v>
      </c>
      <c r="AF201" s="4" t="s">
        <v>1695</v>
      </c>
    </row>
    <row r="202" spans="1:32" ht="33" x14ac:dyDescent="0.25">
      <c r="A202" s="4" t="str">
        <f t="shared" si="21"/>
        <v>'1627933861982208-5659744-47-01',</v>
      </c>
      <c r="B202" s="4" t="str">
        <f t="shared" si="22"/>
        <v>'1627933862466211-5652171-80-02',</v>
      </c>
      <c r="C202" s="15" t="s">
        <v>1845</v>
      </c>
      <c r="D202" s="5" t="s">
        <v>1708</v>
      </c>
      <c r="E202" s="5" t="s">
        <v>1846</v>
      </c>
      <c r="F202" s="5" t="s">
        <v>1820</v>
      </c>
      <c r="G202" s="29"/>
      <c r="H202" s="5"/>
      <c r="I202" s="22" t="s">
        <v>1846</v>
      </c>
      <c r="J202" s="16"/>
      <c r="K202" s="25" t="s">
        <v>1819</v>
      </c>
      <c r="L202" s="16" t="s">
        <v>289</v>
      </c>
      <c r="M202" s="16" t="str">
        <f t="shared" si="27"/>
        <v>UPDATE CIFX.TB_SERVICE_EXECUTION_CONTROL SET EXECUTION_STATE = 'EXECUTED', ap_server_EXECUTING = NULL WHERE SERVICE_EXECUTION_CONTROL_ID IN ('1627933862257776-5652108-66-02') and execution_type = 'STAGE1_EXECUTION';</v>
      </c>
      <c r="N202" s="16" t="str">
        <f t="shared" si="26"/>
        <v>SELECT EXECUTION_TYPE,SERVICE_INTERCHANGE_ID,CIRCI_KEY,EXECUTION_STATE FROM CIFX.TB_SERVICE_EXECUTION_CONTROL WHERE SERVICE_EXECUTION_CONTROL_ID IN ('1627933862257776-5652108-66-02') AND EXECUTION_TYPE = 'STAGE1_EXECUTION';</v>
      </c>
      <c r="O202" s="7" t="str">
        <f t="shared" si="24"/>
        <v>發送異動通知電文給CIP回傳錯誤碼:UP0090_00_V201,錯誤碼訊息:必要性檢核錯誤,錯誤訊息:[檢查有誤，顧客ID已停用]</v>
      </c>
      <c r="P202" s="7" t="str">
        <f t="shared" si="25"/>
        <v>請協助處理</v>
      </c>
      <c r="Q202" s="7" t="s">
        <v>162</v>
      </c>
      <c r="R202" s="7"/>
      <c r="S202" s="16" t="s">
        <v>299</v>
      </c>
      <c r="T202" s="4" t="s">
        <v>1696</v>
      </c>
      <c r="U202" s="4" t="s">
        <v>17</v>
      </c>
      <c r="V202" s="4" t="s">
        <v>1</v>
      </c>
      <c r="W202" s="4"/>
      <c r="X202" s="4" t="s">
        <v>1697</v>
      </c>
      <c r="Y202" s="4" t="s">
        <v>1698</v>
      </c>
      <c r="Z202" s="4" t="s">
        <v>1699</v>
      </c>
      <c r="AA202" s="37" t="s">
        <v>1815</v>
      </c>
      <c r="AB202" s="4"/>
      <c r="AC202" s="4"/>
      <c r="AD202" s="4" t="s">
        <v>1700</v>
      </c>
      <c r="AE202" s="32" t="s">
        <v>1701</v>
      </c>
      <c r="AF202" s="4" t="s">
        <v>1695</v>
      </c>
    </row>
    <row r="203" spans="1:32" ht="33" x14ac:dyDescent="0.25">
      <c r="A203" s="4" t="str">
        <f t="shared" si="21"/>
        <v>'1627933724341583-5659436-44-01',</v>
      </c>
      <c r="B203" s="4" t="str">
        <f t="shared" si="22"/>
        <v>'1627933724915229-5651974-66-02',</v>
      </c>
      <c r="C203" s="15" t="s">
        <v>1845</v>
      </c>
      <c r="D203" s="5" t="s">
        <v>1708</v>
      </c>
      <c r="E203" s="5" t="s">
        <v>1846</v>
      </c>
      <c r="F203" s="5" t="s">
        <v>1820</v>
      </c>
      <c r="G203" s="29"/>
      <c r="H203" s="5"/>
      <c r="I203" s="22" t="s">
        <v>1847</v>
      </c>
      <c r="J203" s="16"/>
      <c r="K203" s="25" t="s">
        <v>1819</v>
      </c>
      <c r="L203" s="16" t="s">
        <v>289</v>
      </c>
      <c r="M203" s="16" t="str">
        <f t="shared" si="27"/>
        <v>UPDATE CIFX.TB_SERVICE_EXECUTION_CONTROL SET EXECUTION_STATE = 'EXECUTED', ap_server_EXECUTING = NULL WHERE SERVICE_EXECUTION_CONTROL_ID IN ('1627933724674159-5659472-52-01') and execution_type = 'STAGE1_EXECUTION';</v>
      </c>
      <c r="N203" s="16" t="str">
        <f t="shared" si="26"/>
        <v>SELECT EXECUTION_TYPE,SERVICE_INTERCHANGE_ID,CIRCI_KEY,EXECUTION_STATE FROM CIFX.TB_SERVICE_EXECUTION_CONTROL WHERE SERVICE_EXECUTION_CONTROL_ID IN ('1627933724674159-5659472-52-01') AND EXECUTION_TYPE = 'STAGE1_EXECUTION';</v>
      </c>
      <c r="O203" s="7" t="str">
        <f t="shared" si="24"/>
        <v>發送異動通知電文給CIP回傳錯誤碼:UP0090_00_V201,錯誤碼訊息:必要性檢核錯誤,錯誤訊息:[檢查有誤，顧客ID已停用]</v>
      </c>
      <c r="P203" s="7" t="str">
        <f t="shared" si="25"/>
        <v>請協助處理</v>
      </c>
      <c r="Q203" s="7" t="s">
        <v>162</v>
      </c>
      <c r="R203" s="7"/>
      <c r="S203" s="16" t="s">
        <v>299</v>
      </c>
      <c r="T203" s="4" t="s">
        <v>1702</v>
      </c>
      <c r="U203" s="4" t="s">
        <v>17</v>
      </c>
      <c r="V203" s="4" t="s">
        <v>1</v>
      </c>
      <c r="W203" s="4"/>
      <c r="X203" s="4" t="s">
        <v>1703</v>
      </c>
      <c r="Y203" s="4" t="s">
        <v>1704</v>
      </c>
      <c r="Z203" s="4" t="s">
        <v>1705</v>
      </c>
      <c r="AA203" s="37" t="s">
        <v>1816</v>
      </c>
      <c r="AB203" s="4"/>
      <c r="AC203" s="4"/>
      <c r="AD203" s="4" t="s">
        <v>1706</v>
      </c>
      <c r="AE203" s="32" t="s">
        <v>1707</v>
      </c>
      <c r="AF203" s="4" t="s">
        <v>1688</v>
      </c>
    </row>
    <row r="204" spans="1:32" ht="33" x14ac:dyDescent="0.25">
      <c r="A204" s="4" t="str">
        <f t="shared" si="21"/>
        <v>'1627982817717308-5765761-29-02',</v>
      </c>
      <c r="B204" s="4" t="str">
        <f t="shared" si="22"/>
        <v>'1627982818193645-5765794-69-02',</v>
      </c>
      <c r="C204" s="15" t="s">
        <v>1849</v>
      </c>
      <c r="D204" s="5" t="s">
        <v>1821</v>
      </c>
      <c r="E204" s="5" t="s">
        <v>1849</v>
      </c>
      <c r="F204" s="5" t="s">
        <v>1850</v>
      </c>
      <c r="G204" s="29"/>
      <c r="H204" s="5"/>
      <c r="I204" s="22" t="s">
        <v>1845</v>
      </c>
      <c r="J204" s="16"/>
      <c r="K204" s="25" t="s">
        <v>1819</v>
      </c>
      <c r="L204" s="16" t="s">
        <v>289</v>
      </c>
      <c r="M204" s="16" t="str">
        <f t="shared" si="27"/>
        <v>UPDATE CIFX.TB_SERVICE_EXECUTION_CONTROL SET EXECUTION_STATE = 'EXECUTED', ap_server_EXECUTING = NULL WHERE SERVICE_EXECUTION_CONTROL_ID IN ('1627982818054246-5765737-51-02') and execution_type = 'STAGE1_EXECUTION';</v>
      </c>
      <c r="N204" s="16" t="str">
        <f t="shared" si="26"/>
        <v>SELECT EXECUTION_TYPE,SERVICE_INTERCHANGE_ID,CIRCI_KEY,EXECUTION_STATE FROM CIFX.TB_SERVICE_EXECUTION_CONTROL WHERE SERVICE_EXECUTION_CONTROL_ID IN ('1627982818054246-5765737-51-02') AND EXECUTION_TYPE = 'STAGE1_EXECUTION';</v>
      </c>
      <c r="O204" s="7" t="str">
        <f t="shared" si="24"/>
        <v>發送異動通知電文給CIP回傳錯誤碼:UP0090_00_V201,錯誤碼訊息:必要性檢核錯誤,錯誤訊息:[檢查有誤，顧客ID已停用]</v>
      </c>
      <c r="P204" s="7" t="str">
        <f t="shared" si="25"/>
        <v>請協助處理</v>
      </c>
      <c r="Q204" s="7" t="s">
        <v>162</v>
      </c>
      <c r="R204" s="7"/>
      <c r="S204" s="16" t="s">
        <v>299</v>
      </c>
      <c r="T204" s="4" t="s">
        <v>1712</v>
      </c>
      <c r="U204" s="4" t="s">
        <v>17</v>
      </c>
      <c r="V204" s="4" t="s">
        <v>1</v>
      </c>
      <c r="W204" s="4"/>
      <c r="X204" s="4" t="s">
        <v>1713</v>
      </c>
      <c r="Y204" s="4" t="s">
        <v>1714</v>
      </c>
      <c r="Z204" s="4" t="s">
        <v>1715</v>
      </c>
      <c r="AA204" s="37" t="s">
        <v>1817</v>
      </c>
      <c r="AB204" s="4"/>
      <c r="AC204" s="4"/>
      <c r="AD204" s="4" t="s">
        <v>1716</v>
      </c>
      <c r="AE204" s="32" t="s">
        <v>1717</v>
      </c>
      <c r="AF204" s="4" t="s">
        <v>1718</v>
      </c>
    </row>
    <row r="205" spans="1:32" x14ac:dyDescent="0.25">
      <c r="A205" s="4" t="str">
        <f t="shared" si="21"/>
        <v>'1627997006617753-5791814-88-02',</v>
      </c>
      <c r="B205" s="4" t="str">
        <f t="shared" si="22"/>
        <v>'1627997006854523-5799135-69-01',</v>
      </c>
      <c r="C205" s="15" t="s">
        <v>1849</v>
      </c>
      <c r="D205" s="5" t="s">
        <v>1822</v>
      </c>
      <c r="E205" s="5" t="s">
        <v>1849</v>
      </c>
      <c r="F205" s="5" t="s">
        <v>1851</v>
      </c>
      <c r="G205" s="29"/>
      <c r="H205" s="5"/>
      <c r="I205" s="22" t="s">
        <v>1845</v>
      </c>
      <c r="J205" s="16"/>
      <c r="K205" s="25" t="s">
        <v>1819</v>
      </c>
      <c r="L205" s="16" t="s">
        <v>289</v>
      </c>
      <c r="M205" s="16" t="str">
        <f t="shared" si="27"/>
        <v>UPDATE CIFX.TB_SERVICE_EXECUTION_CONTROL SET EXECUTION_STATE = 'EXECUTED', ap_server_EXECUTING = NULL WHERE SERVICE_EXECUTION_CONTROL_ID IN ('1627997006652199-5791814-44-02') and execution_type = 'STAGE1_EXECUTION';</v>
      </c>
      <c r="N205" s="16" t="str">
        <f t="shared" si="26"/>
        <v>SELECT EXECUTION_TYPE,SERVICE_INTERCHANGE_ID,CIRCI_KEY,EXECUTION_STATE FROM CIFX.TB_SERVICE_EXECUTION_CONTROL WHERE SERVICE_EXECUTION_CONTROL_ID IN ('1627997006652199-5791814-44-02') AND EXECUTION_TYPE = 'STAGE1_EXECUTION';</v>
      </c>
      <c r="O205" s="7" t="str">
        <f t="shared" si="24"/>
        <v>發送異動通知電文給CIP回傳錯誤碼:UP0090_00_V201,錯誤碼訊息:必要性檢核錯誤,錯誤訊息:[DEL00000000000000927 顧客 TS0116_00 已刪除，但全行未刪除，無法進行異動建檔]</v>
      </c>
      <c r="P205" s="7" t="str">
        <f t="shared" si="25"/>
        <v>請協助處理</v>
      </c>
      <c r="Q205" s="7" t="s">
        <v>162</v>
      </c>
      <c r="R205" s="7"/>
      <c r="S205" s="16" t="s">
        <v>299</v>
      </c>
      <c r="T205" s="4" t="s">
        <v>1720</v>
      </c>
      <c r="U205" s="4" t="s">
        <v>17</v>
      </c>
      <c r="V205" s="4" t="s">
        <v>1719</v>
      </c>
      <c r="W205" s="4"/>
      <c r="X205" s="4" t="s">
        <v>1721</v>
      </c>
      <c r="Y205" s="4" t="s">
        <v>1722</v>
      </c>
      <c r="Z205" s="4" t="s">
        <v>1723</v>
      </c>
      <c r="AA205" s="37" t="s">
        <v>1818</v>
      </c>
      <c r="AB205" s="4"/>
      <c r="AC205" s="4"/>
      <c r="AD205" s="4" t="s">
        <v>1724</v>
      </c>
      <c r="AE205" s="4" t="s">
        <v>1726</v>
      </c>
      <c r="AF205" s="4" t="s">
        <v>1725</v>
      </c>
    </row>
    <row r="206" spans="1:32" x14ac:dyDescent="0.25">
      <c r="A206" s="4" t="str">
        <f t="shared" si="21"/>
        <v>'1628246787911995-6355435-87-02',</v>
      </c>
      <c r="B206" s="4" t="str">
        <f t="shared" si="22"/>
        <v>'1628246818070787-6355721-74-02',</v>
      </c>
      <c r="C206" s="15" t="s">
        <v>1791</v>
      </c>
      <c r="D206" s="5" t="s">
        <v>1789</v>
      </c>
      <c r="E206" s="5" t="s">
        <v>1739</v>
      </c>
      <c r="F206" s="5" t="s">
        <v>1740</v>
      </c>
      <c r="G206" s="29"/>
      <c r="H206" s="5"/>
      <c r="I206" s="22" t="s">
        <v>1741</v>
      </c>
      <c r="J206" s="16"/>
      <c r="K206" s="25" t="s">
        <v>1738</v>
      </c>
      <c r="L206" s="16" t="s">
        <v>809</v>
      </c>
      <c r="M206" s="16" t="str">
        <f t="shared" si="27"/>
        <v>UPDATE CIFX.TB_SERVICE_EXECUTION_CONTROL SET EXECUTION_STATE = 'TO_EXECUTE',RESULT_CODE = NULL,EXECUTING_TIMESTAMP = null,EXECUTED_TIMESTAMP = null,ap_server_EXECUTING = NULL WHERE SERVICE_EXECUTION_CONTROL_ID IN ('1628246787961917-6355516-94-02') AND EXECUTION_TYPE = 'STAGE1_EXECUTION';</v>
      </c>
      <c r="N206" s="16" t="str">
        <f t="shared" si="26"/>
        <v>SELECT EXECUTION_TYPE,SERVICE_INTERCHANGE_ID,CIRCI_KEY,EXECUTION_STATE FROM CIFX.TB_SERVICE_EXECUTION_CONTROL WHERE SERVICE_EXECUTION_CONTROL_ID IN ('1628246787961917-6355516-94-02') AND EXECUTION_TYPE = 'STAGE1_EXECUTION';</v>
      </c>
      <c r="O206" s="7" t="str">
        <f t="shared" si="24"/>
        <v>發送異動通知電文，未回傳resultCode!!</v>
      </c>
      <c r="P206" s="7" t="str">
        <f t="shared" si="25"/>
        <v>請協助處理</v>
      </c>
      <c r="Q206" s="7" t="s">
        <v>162</v>
      </c>
      <c r="R206" s="7"/>
      <c r="S206" s="16" t="s">
        <v>299</v>
      </c>
      <c r="T206" s="4" t="s">
        <v>1736</v>
      </c>
      <c r="U206" s="4" t="s">
        <v>17</v>
      </c>
      <c r="V206" s="4" t="s">
        <v>1733</v>
      </c>
      <c r="W206" s="4"/>
      <c r="X206" s="37" t="s">
        <v>1747</v>
      </c>
      <c r="Y206" s="4" t="s">
        <v>1734</v>
      </c>
      <c r="Z206" s="4" t="s">
        <v>1737</v>
      </c>
      <c r="AA206" s="37" t="s">
        <v>1735</v>
      </c>
      <c r="AB206" s="4"/>
      <c r="AC206" s="4"/>
      <c r="AD206" s="4"/>
      <c r="AE206" s="4"/>
      <c r="AF206" s="4"/>
    </row>
    <row r="207" spans="1:32" ht="66" x14ac:dyDescent="0.25">
      <c r="A207" s="4" t="str">
        <f t="shared" si="21"/>
        <v>'1628788214143009-7520926-23-02',</v>
      </c>
      <c r="B207" s="4" t="str">
        <f t="shared" si="22"/>
        <v>'1628788218765707-7529395-34-01',</v>
      </c>
      <c r="C207" s="15" t="s">
        <v>1793</v>
      </c>
      <c r="D207" s="5" t="s">
        <v>1770</v>
      </c>
      <c r="E207" s="5" t="s">
        <v>1791</v>
      </c>
      <c r="F207" s="38" t="s">
        <v>1790</v>
      </c>
      <c r="G207" s="29"/>
      <c r="H207" s="5"/>
      <c r="I207" s="22" t="s">
        <v>1793</v>
      </c>
      <c r="J207" s="16"/>
      <c r="K207" s="34" t="s">
        <v>1769</v>
      </c>
      <c r="L207" s="16" t="s">
        <v>289</v>
      </c>
      <c r="M207" s="16" t="str">
        <f t="shared" si="27"/>
        <v>UPDATE CIFX.TB_SERVICE_EXECUTION_CONTROL SET EXECUTION_STATE = 'EXECUTED', ap_server_EXECUTING = NULL WHERE SERVICE_EXECUTION_CONTROL_ID IN ('1628788214144775-7520926-26-02') and execution_type = 'STAGE1_EXECUTION';</v>
      </c>
      <c r="N207" s="16" t="str">
        <f t="shared" si="26"/>
        <v>SELECT EXECUTION_TYPE,SERVICE_INTERCHANGE_ID,CIRCI_KEY,EXECUTION_STATE FROM CIFX.TB_SERVICE_EXECUTION_CONTROL WHERE SERVICE_EXECUTION_CONTROL_ID IN ('1628788214144775-7520926-26-02') AND EXECUTION_TYPE = 'STAGE1_EXECUTION';</v>
      </c>
      <c r="O207" s="7" t="str">
        <f t="shared" si="24"/>
        <v>發送異動通知電文給CIP回傳錯誤碼:UP0090_00_V201</v>
      </c>
      <c r="P207" s="7" t="str">
        <f t="shared" si="25"/>
        <v>請協助處理</v>
      </c>
      <c r="Q207" s="7" t="s">
        <v>162</v>
      </c>
      <c r="R207" s="7"/>
      <c r="S207" s="16" t="s">
        <v>299</v>
      </c>
      <c r="T207" s="4" t="s">
        <v>1749</v>
      </c>
      <c r="U207" s="4" t="s">
        <v>17</v>
      </c>
      <c r="V207" s="4" t="s">
        <v>1785</v>
      </c>
      <c r="W207" s="4"/>
      <c r="X207" s="4" t="s">
        <v>1751</v>
      </c>
      <c r="Y207" s="4" t="s">
        <v>1752</v>
      </c>
      <c r="Z207" s="4" t="s">
        <v>1753</v>
      </c>
      <c r="AA207" s="37" t="s">
        <v>1756</v>
      </c>
      <c r="AB207" s="4"/>
      <c r="AC207" s="4"/>
      <c r="AD207" s="4" t="s">
        <v>1754</v>
      </c>
      <c r="AE207" s="32" t="s">
        <v>1755</v>
      </c>
      <c r="AF207" s="4" t="s">
        <v>1757</v>
      </c>
    </row>
    <row r="208" spans="1:32" ht="66" x14ac:dyDescent="0.25">
      <c r="A208" s="4" t="str">
        <f t="shared" si="21"/>
        <v>'1628784920523624-7516574-34-02',</v>
      </c>
      <c r="B208" s="4" t="str">
        <f t="shared" si="22"/>
        <v>'1628784920771187-7525705-54-01',</v>
      </c>
      <c r="C208" s="15" t="s">
        <v>1794</v>
      </c>
      <c r="D208" s="5" t="s">
        <v>1750</v>
      </c>
      <c r="E208" s="5" t="s">
        <v>1792</v>
      </c>
      <c r="F208" s="38" t="s">
        <v>1771</v>
      </c>
      <c r="G208" s="29"/>
      <c r="H208" s="5"/>
      <c r="I208" s="22" t="s">
        <v>1793</v>
      </c>
      <c r="J208" s="16"/>
      <c r="K208" s="34" t="s">
        <v>1769</v>
      </c>
      <c r="L208" s="16" t="s">
        <v>289</v>
      </c>
      <c r="M208" s="16" t="str">
        <f t="shared" si="27"/>
        <v>UPDATE CIFX.TB_SERVICE_EXECUTION_CONTROL SET EXECUTION_STATE = 'EXECUTED', ap_server_EXECUTING = NULL WHERE SERVICE_EXECUTION_CONTROL_ID IN ('1628784920606089-7525528-39-01') and execution_type = 'STAGE1_EXECUTION';</v>
      </c>
      <c r="N208" s="16" t="str">
        <f t="shared" si="26"/>
        <v>SELECT EXECUTION_TYPE,SERVICE_INTERCHANGE_ID,CIRCI_KEY,EXECUTION_STATE FROM CIFX.TB_SERVICE_EXECUTION_CONTROL WHERE SERVICE_EXECUTION_CONTROL_ID IN ('1628784920606089-7525528-39-01') AND EXECUTION_TYPE = 'STAGE1_EXECUTION';</v>
      </c>
      <c r="O208" s="7" t="str">
        <f t="shared" si="24"/>
        <v>發送異動通知電文給CIP回傳錯誤碼:UP0090_00_V201</v>
      </c>
      <c r="P208" s="7" t="str">
        <f t="shared" si="25"/>
        <v>請協助處理</v>
      </c>
      <c r="Q208" s="7" t="s">
        <v>162</v>
      </c>
      <c r="R208" s="7"/>
      <c r="S208" s="16" t="s">
        <v>299</v>
      </c>
      <c r="T208" s="4" t="s">
        <v>1758</v>
      </c>
      <c r="U208" s="4" t="s">
        <v>17</v>
      </c>
      <c r="V208" s="4" t="s">
        <v>1786</v>
      </c>
      <c r="W208" s="4"/>
      <c r="X208" s="4" t="s">
        <v>1759</v>
      </c>
      <c r="Y208" s="4" t="s">
        <v>1760</v>
      </c>
      <c r="Z208" s="4" t="s">
        <v>1761</v>
      </c>
      <c r="AA208" s="37" t="s">
        <v>1763</v>
      </c>
      <c r="AB208" s="4"/>
      <c r="AC208" s="4"/>
      <c r="AD208" s="4" t="s">
        <v>1762</v>
      </c>
      <c r="AE208" s="32" t="s">
        <v>1764</v>
      </c>
      <c r="AF208" s="4" t="s">
        <v>1757</v>
      </c>
    </row>
    <row r="209" spans="1:56" ht="264" x14ac:dyDescent="0.25">
      <c r="A209" s="4" t="str">
        <f t="shared" si="21"/>
        <v>'1629128460363266-8261410-07-02',</v>
      </c>
      <c r="B209" s="4" t="str">
        <f t="shared" si="22"/>
        <v>'1629128460612018-8262941-34-01',</v>
      </c>
      <c r="C209" s="15" t="s">
        <v>1807</v>
      </c>
      <c r="D209" s="5" t="s">
        <v>1798</v>
      </c>
      <c r="E209" s="5" t="s">
        <v>1807</v>
      </c>
      <c r="F209" s="5" t="s">
        <v>1808</v>
      </c>
      <c r="G209" s="29"/>
      <c r="H209" s="5"/>
      <c r="I209" s="22" t="s">
        <v>1807</v>
      </c>
      <c r="J209" s="16"/>
      <c r="K209" s="34" t="s">
        <v>1796</v>
      </c>
      <c r="L209" s="16" t="s">
        <v>289</v>
      </c>
      <c r="M209" s="16" t="str">
        <f t="shared" si="27"/>
        <v>UPDATE CIFX.TB_SERVICE_EXECUTION_CONTROL SET EXECUTION_STATE = 'EXECUTED', ap_server_EXECUTING = NULL WHERE SERVICE_EXECUTION_CONTROL_ID IN ('1629128460386220-8261410-24-02') and execution_type = 'STAGE1_EXECUTION';</v>
      </c>
      <c r="N209" s="16" t="str">
        <f t="shared" si="26"/>
        <v>SELECT EXECUTION_TYPE,SERVICE_INTERCHANGE_ID,CIRCI_KEY,EXECUTION_STATE FROM CIFX.TB_SERVICE_EXECUTION_CONTROL WHERE SERVICE_EXECUTION_CONTROL_ID IN ('1629128460386220-8261410-24-02') AND EXECUTION_TYPE = 'STAGE1_EXECUTION';</v>
      </c>
      <c r="O209" s="7" t="str">
        <f t="shared" si="24"/>
        <v>發送異動通知電文給CIP回傳錯誤碼:UP0090_00_V201</v>
      </c>
      <c r="P209" s="7" t="str">
        <f t="shared" si="25"/>
        <v>請協助處理</v>
      </c>
      <c r="Q209" s="7" t="s">
        <v>162</v>
      </c>
      <c r="R209" s="7"/>
      <c r="S209" s="16" t="s">
        <v>299</v>
      </c>
      <c r="T209" s="4" t="s">
        <v>1772</v>
      </c>
      <c r="U209" s="4" t="s">
        <v>17</v>
      </c>
      <c r="V209" s="4" t="s">
        <v>1786</v>
      </c>
      <c r="W209" s="4"/>
      <c r="X209" s="4" t="s">
        <v>1805</v>
      </c>
      <c r="Y209" s="4" t="s">
        <v>1797</v>
      </c>
      <c r="Z209" s="4" t="s">
        <v>1773</v>
      </c>
      <c r="AA209" s="37" t="s">
        <v>1810</v>
      </c>
      <c r="AB209" s="4"/>
      <c r="AC209" s="4"/>
      <c r="AD209" s="4" t="s">
        <v>1780</v>
      </c>
      <c r="AE209" s="4" t="s">
        <v>1781</v>
      </c>
      <c r="AF209" s="4" t="s">
        <v>1782</v>
      </c>
      <c r="AY209" t="s">
        <v>1774</v>
      </c>
      <c r="AZ209" t="s">
        <v>1775</v>
      </c>
      <c r="BA209" t="s">
        <v>1776</v>
      </c>
      <c r="BB209" t="s">
        <v>1777</v>
      </c>
      <c r="BC209" t="s">
        <v>1778</v>
      </c>
      <c r="BD209" t="s">
        <v>1779</v>
      </c>
    </row>
    <row r="210" spans="1:56" x14ac:dyDescent="0.25">
      <c r="A210" s="4" t="str">
        <f t="shared" si="21"/>
        <v>'1629143978582070-8302694-23-02',</v>
      </c>
      <c r="B210" s="4" t="str">
        <f t="shared" si="22"/>
        <v>'1629143978818332-8290314-35-01',</v>
      </c>
      <c r="C210" s="15" t="s">
        <v>1845</v>
      </c>
      <c r="D210" s="5" t="s">
        <v>1799</v>
      </c>
      <c r="E210" s="5" t="s">
        <v>1845</v>
      </c>
      <c r="F210" s="5" t="s">
        <v>1852</v>
      </c>
      <c r="G210" s="29"/>
      <c r="H210" s="5"/>
      <c r="I210" s="22" t="s">
        <v>1845</v>
      </c>
      <c r="J210" s="16"/>
      <c r="K210" s="25" t="s">
        <v>1788</v>
      </c>
      <c r="L210" s="16" t="s">
        <v>809</v>
      </c>
      <c r="M210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('1629143978703229-8302698-33-02') AND EXECUTION_TYPE = 'STAGE1_EXECUTION';</v>
      </c>
      <c r="N210" s="16" t="str">
        <f t="shared" si="26"/>
        <v>SELECT EXECUTION_TYPE,SERVICE_INTERCHANGE_ID,CIRCI_KEY,EXECUTION_STATE FROM CIFX.TB_SERVICE_EXECUTION_CONTROL WHERE SERVICE_EXECUTION_CONTROL_ID IN ('1629143978703229-8302698-33-02') AND EXECUTION_TYPE = 'STAGE1_EXECUTION';</v>
      </c>
      <c r="O210" s="7" t="str">
        <f t="shared" si="24"/>
        <v>發送異動通知電文，未回傳resultCode!!</v>
      </c>
      <c r="P210" s="7" t="str">
        <f>IF(O210="","","請協助處理確認是否有收到同步電文")</f>
        <v>請協助處理確認是否有收到同步電文</v>
      </c>
      <c r="Q210" s="7" t="s">
        <v>162</v>
      </c>
      <c r="R210" s="7"/>
      <c r="S210" s="16" t="s">
        <v>299</v>
      </c>
      <c r="T210" s="4" t="s">
        <v>1795</v>
      </c>
      <c r="U210" s="4" t="s">
        <v>17</v>
      </c>
      <c r="V210" s="4" t="s">
        <v>1787</v>
      </c>
      <c r="W210" s="4"/>
      <c r="X210" s="4" t="s">
        <v>1906</v>
      </c>
      <c r="Y210" s="4" t="s">
        <v>1800</v>
      </c>
      <c r="Z210" s="4" t="s">
        <v>1783</v>
      </c>
      <c r="AA210" s="37" t="s">
        <v>1784</v>
      </c>
      <c r="AB210" s="4"/>
      <c r="AC210" s="4"/>
      <c r="AD210" s="4"/>
      <c r="AE210" s="4"/>
      <c r="AF210" s="4"/>
    </row>
    <row r="211" spans="1:56" ht="49.5" x14ac:dyDescent="0.25">
      <c r="A211" s="4" t="str">
        <f t="shared" ref="A211:A273" si="28">"'"&amp;X211&amp;"',"</f>
        <v>'1629130467499970-8265323-33-01',</v>
      </c>
      <c r="B211" s="4" t="str">
        <f t="shared" ref="B211:B273" si="29">"'"&amp;T211&amp;"',"</f>
        <v>'1629191977427727-8404507-88-02',</v>
      </c>
      <c r="C211" s="15" t="s">
        <v>1897</v>
      </c>
      <c r="D211" s="5" t="s">
        <v>1858</v>
      </c>
      <c r="E211" s="5" t="s">
        <v>1899</v>
      </c>
      <c r="F211" s="38" t="s">
        <v>1900</v>
      </c>
      <c r="G211" s="29"/>
      <c r="H211" s="5"/>
      <c r="I211" s="22" t="s">
        <v>1897</v>
      </c>
      <c r="J211" s="16"/>
      <c r="K211" s="25" t="s">
        <v>1811</v>
      </c>
      <c r="L211" s="16" t="s">
        <v>289</v>
      </c>
      <c r="M211" s="16" t="str">
        <f t="shared" si="27"/>
        <v>UPDATE CIFX.TB_SERVICE_EXECUTION_CONTROL SET EXECUTION_STATE = 'EXECUTED', ap_server_EXECUTING = NULL WHERE SERVICE_EXECUTION_CONTROL_ID IN ('1629130467632471-8265323-09-01') and execution_type = 'STAGE1_EXECUTION';</v>
      </c>
      <c r="N211" s="16" t="str">
        <f t="shared" si="26"/>
        <v>SELECT EXECUTION_TYPE,SERVICE_INTERCHANGE_ID,CIRCI_KEY,EXECUTION_STATE FROM CIFX.TB_SERVICE_EXECUTION_CONTROL WHERE SERVICE_EXECUTION_CONTROL_ID IN ('1629130467632471-8265323-09-01') AND EXECUTION_TYPE = 'STAGE1_EXECUTION';</v>
      </c>
      <c r="O211" s="7" t="str">
        <f t="shared" si="24"/>
        <v>發送顧客刪除電文給CIP回傳錯誤碼:UP0090_00_V401</v>
      </c>
      <c r="P211" s="7" t="str">
        <f>IF(O211="","","請協助處理")</f>
        <v>請協助處理</v>
      </c>
      <c r="Q211" s="7" t="s">
        <v>162</v>
      </c>
      <c r="R211" s="7"/>
      <c r="S211" s="16" t="s">
        <v>299</v>
      </c>
      <c r="T211" s="4" t="s">
        <v>1802</v>
      </c>
      <c r="U211" s="4" t="s">
        <v>17</v>
      </c>
      <c r="V211" s="4" t="s">
        <v>1801</v>
      </c>
      <c r="W211" s="4"/>
      <c r="X211" s="4" t="s">
        <v>1806</v>
      </c>
      <c r="Y211" s="4" t="s">
        <v>1803</v>
      </c>
      <c r="Z211" s="4" t="s">
        <v>1804</v>
      </c>
      <c r="AA211" s="37" t="s">
        <v>1809</v>
      </c>
      <c r="AB211" s="4"/>
      <c r="AC211" s="4"/>
      <c r="AD211" s="4" t="s">
        <v>1855</v>
      </c>
      <c r="AE211" s="4"/>
      <c r="AF211" s="4"/>
    </row>
    <row r="212" spans="1:56" x14ac:dyDescent="0.25">
      <c r="A212" s="4" t="str">
        <f t="shared" si="28"/>
        <v>'1629292716919185-8635103-93-01',</v>
      </c>
      <c r="B212" s="4" t="str">
        <f t="shared" si="29"/>
        <v>'1629292747105001-8635129-39-01',</v>
      </c>
      <c r="C212" s="15" t="s">
        <v>1845</v>
      </c>
      <c r="D212" s="5" t="s">
        <v>1834</v>
      </c>
      <c r="E212" s="5" t="s">
        <v>1845</v>
      </c>
      <c r="F212" s="5" t="s">
        <v>1853</v>
      </c>
      <c r="G212" s="29"/>
      <c r="H212" s="5"/>
      <c r="I212" s="22" t="s">
        <v>1847</v>
      </c>
      <c r="J212" s="16"/>
      <c r="K212" s="25"/>
      <c r="L212" s="16" t="s">
        <v>809</v>
      </c>
      <c r="M212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('1629292717002379-8626045-07-02') AND EXECUTION_TYPE = 'STAGE1_EXECUTION';</v>
      </c>
      <c r="N212" s="16" t="str">
        <f t="shared" si="26"/>
        <v>SELECT EXECUTION_TYPE,SERVICE_INTERCHANGE_ID,CIRCI_KEY,EXECUTION_STATE FROM CIFX.TB_SERVICE_EXECUTION_CONTROL WHERE SERVICE_EXECUTION_CONTROL_ID IN ('1629292717002379-8626045-07-02') AND EXECUTION_TYPE = 'STAGE1_EXECUTION';</v>
      </c>
      <c r="O212" s="7" t="str">
        <f t="shared" si="24"/>
        <v>發送異動通知電文，未回傳resultCode!!</v>
      </c>
      <c r="P212" s="7" t="str">
        <f>IF(O212="","","請協助處理確認是否有收到同步電文")</f>
        <v>請協助處理確認是否有收到同步電文</v>
      </c>
      <c r="Q212" s="7" t="s">
        <v>162</v>
      </c>
      <c r="R212" s="7"/>
      <c r="S212" s="16" t="s">
        <v>299</v>
      </c>
      <c r="T212" s="4" t="s">
        <v>1830</v>
      </c>
      <c r="U212" s="4" t="s">
        <v>17</v>
      </c>
      <c r="V212" s="4" t="s">
        <v>1733</v>
      </c>
      <c r="W212" s="4"/>
      <c r="X212" s="4" t="s">
        <v>1833</v>
      </c>
      <c r="Y212" s="4" t="s">
        <v>1835</v>
      </c>
      <c r="Z212" s="4" t="s">
        <v>1831</v>
      </c>
      <c r="AA212" s="37" t="s">
        <v>1832</v>
      </c>
      <c r="AB212" s="4"/>
      <c r="AC212" s="4"/>
      <c r="AD212" s="4"/>
      <c r="AE212" s="4"/>
      <c r="AF212" s="4"/>
    </row>
    <row r="213" spans="1:56" ht="231" x14ac:dyDescent="0.25">
      <c r="A213" s="4" t="str">
        <f t="shared" si="28"/>
        <v>'1629309777323555-8665118-96-02',</v>
      </c>
      <c r="B213" s="4" t="str">
        <f t="shared" si="29"/>
        <v>'1629309777720241-8674384-29-01',</v>
      </c>
      <c r="C213" s="15" t="s">
        <v>1898</v>
      </c>
      <c r="D213" s="5" t="s">
        <v>1860</v>
      </c>
      <c r="E213" s="5" t="s">
        <v>1897</v>
      </c>
      <c r="F213" s="5" t="s">
        <v>1861</v>
      </c>
      <c r="G213" s="29"/>
      <c r="H213" s="5"/>
      <c r="I213" s="22" t="s">
        <v>1898</v>
      </c>
      <c r="J213" s="16"/>
      <c r="K213" s="34" t="s">
        <v>1859</v>
      </c>
      <c r="L213" s="16" t="s">
        <v>289</v>
      </c>
      <c r="M213" s="16" t="str">
        <f t="shared" si="27"/>
        <v>UPDATE CIFX.TB_SERVICE_EXECUTION_CONTROL SET EXECUTION_STATE = 'EXECUTED', ap_server_EXECUTING = NULL WHERE SERVICE_EXECUTION_CONTROL_ID IN ('1629309777455819-8674455-15-01') and execution_type = 'STAGE1_EXECUTION';</v>
      </c>
      <c r="N213" s="16" t="str">
        <f t="shared" si="26"/>
        <v>SELECT EXECUTION_TYPE,SERVICE_INTERCHANGE_ID,CIRCI_KEY,EXECUTION_STATE FROM CIFX.TB_SERVICE_EXECUTION_CONTROL WHERE SERVICE_EXECUTION_CONTROL_ID IN ('1629309777455819-8674455-15-01') AND EXECUTION_TYPE = 'STAGE1_EXECUTION';</v>
      </c>
      <c r="O213" s="7" t="str">
        <f t="shared" si="24"/>
        <v>發送異動通知電文給CIP回傳錯誤碼:UP0090_00_V201</v>
      </c>
      <c r="P213" s="7" t="str">
        <f t="shared" si="25"/>
        <v>請協助處理</v>
      </c>
      <c r="Q213" s="7" t="s">
        <v>162</v>
      </c>
      <c r="R213" s="7"/>
      <c r="S213" s="16" t="s">
        <v>299</v>
      </c>
      <c r="T213" s="4" t="s">
        <v>1836</v>
      </c>
      <c r="U213" s="4" t="s">
        <v>17</v>
      </c>
      <c r="V213" s="4" t="s">
        <v>1748</v>
      </c>
      <c r="W213" s="4"/>
      <c r="X213" s="4" t="s">
        <v>1837</v>
      </c>
      <c r="Y213" s="4" t="s">
        <v>1838</v>
      </c>
      <c r="Z213" s="4" t="s">
        <v>1839</v>
      </c>
      <c r="AA213" s="37" t="s">
        <v>1840</v>
      </c>
      <c r="AB213" s="4"/>
      <c r="AC213" s="4"/>
      <c r="AD213" s="4" t="s">
        <v>1841</v>
      </c>
      <c r="AE213" s="32" t="s">
        <v>1842</v>
      </c>
      <c r="AF213" s="4" t="s">
        <v>1843</v>
      </c>
    </row>
    <row r="214" spans="1:56" ht="33" x14ac:dyDescent="0.25">
      <c r="A214" s="4" t="str">
        <f t="shared" si="28"/>
        <v>'1629394495335414-8849015-62-02',</v>
      </c>
      <c r="B214" s="4" t="str">
        <f t="shared" si="29"/>
        <v>'1629394495646300-8858372-95-01',</v>
      </c>
      <c r="C214" s="15" t="s">
        <v>1937</v>
      </c>
      <c r="D214" s="5" t="s">
        <v>1902</v>
      </c>
      <c r="E214" s="5" t="s">
        <v>1937</v>
      </c>
      <c r="F214" s="5" t="s">
        <v>1936</v>
      </c>
      <c r="G214" s="29"/>
      <c r="H214" s="5"/>
      <c r="I214" s="22" t="s">
        <v>1938</v>
      </c>
      <c r="J214" s="16"/>
      <c r="K214" s="25" t="s">
        <v>1901</v>
      </c>
      <c r="L214" s="16" t="s">
        <v>289</v>
      </c>
      <c r="M214" s="16" t="str">
        <f t="shared" si="27"/>
        <v>UPDATE CIFX.TB_SERVICE_EXECUTION_CONTROL SET EXECUTION_STATE = 'EXECUTED', ap_server_EXECUTING = NULL WHERE SERVICE_EXECUTION_CONTROL_ID IN ('1629394495427708-8858291-81-01') and execution_type = 'STAGE1_EXECUTION';</v>
      </c>
      <c r="N214" s="16" t="str">
        <f t="shared" si="26"/>
        <v>SELECT EXECUTION_TYPE,SERVICE_INTERCHANGE_ID,CIRCI_KEY,EXECUTION_STATE FROM CIFX.TB_SERVICE_EXECUTION_CONTROL WHERE SERVICE_EXECUTION_CONTROL_ID IN ('1629394495427708-8858291-81-01') AND EXECUTION_TYPE = 'STAGE1_EXECUTION';</v>
      </c>
      <c r="O214" s="7" t="str">
        <f t="shared" si="24"/>
        <v>發送異動通知電文給CIP回傳錯誤碼:UP0090_00_V201,錯誤碼訊息:必要性檢核錯誤,錯誤訊息:[檢查有誤，顧客ID已停用]</v>
      </c>
      <c r="P214" s="7" t="str">
        <f t="shared" si="25"/>
        <v>請協助處理</v>
      </c>
      <c r="Q214" s="7" t="s">
        <v>162</v>
      </c>
      <c r="R214" s="7"/>
      <c r="S214" s="16" t="s">
        <v>299</v>
      </c>
      <c r="T214" s="4" t="s">
        <v>1862</v>
      </c>
      <c r="U214" s="4" t="s">
        <v>17</v>
      </c>
      <c r="V214" s="4" t="s">
        <v>1</v>
      </c>
      <c r="W214" s="4"/>
      <c r="X214" s="4" t="s">
        <v>1863</v>
      </c>
      <c r="Y214" s="4" t="s">
        <v>1864</v>
      </c>
      <c r="Z214" s="4" t="s">
        <v>1865</v>
      </c>
      <c r="AA214" s="37" t="s">
        <v>1887</v>
      </c>
      <c r="AB214" s="4"/>
      <c r="AC214" s="4"/>
      <c r="AD214" s="4" t="s">
        <v>1866</v>
      </c>
      <c r="AE214" s="32" t="s">
        <v>1888</v>
      </c>
      <c r="AF214" s="4" t="s">
        <v>1364</v>
      </c>
    </row>
    <row r="215" spans="1:56" ht="33" x14ac:dyDescent="0.25">
      <c r="A215" s="4" t="str">
        <f t="shared" si="28"/>
        <v>'1629394408396704-8849015-22-02',</v>
      </c>
      <c r="B215" s="4" t="str">
        <f t="shared" si="29"/>
        <v>'1629394408758046-8849067-55-02',</v>
      </c>
      <c r="C215" s="15" t="s">
        <v>1937</v>
      </c>
      <c r="D215" s="5" t="s">
        <v>1902</v>
      </c>
      <c r="E215" s="5" t="s">
        <v>1938</v>
      </c>
      <c r="F215" s="5" t="s">
        <v>1936</v>
      </c>
      <c r="G215" s="29"/>
      <c r="H215" s="5"/>
      <c r="I215" s="22" t="s">
        <v>1937</v>
      </c>
      <c r="J215" s="16"/>
      <c r="K215" s="25" t="s">
        <v>1901</v>
      </c>
      <c r="L215" s="16" t="s">
        <v>289</v>
      </c>
      <c r="M215" s="16" t="str">
        <f t="shared" si="27"/>
        <v>UPDATE CIFX.TB_SERVICE_EXECUTION_CONTROL SET EXECUTION_STATE = 'EXECUTED', ap_server_EXECUTING = NULL WHERE SERVICE_EXECUTION_CONTROL_ID IN ('1629394408504307-8858269-39-01') and execution_type = 'STAGE1_EXECUTION';</v>
      </c>
      <c r="N215" s="16" t="str">
        <f t="shared" si="26"/>
        <v>SELECT EXECUTION_TYPE,SERVICE_INTERCHANGE_ID,CIRCI_KEY,EXECUTION_STATE FROM CIFX.TB_SERVICE_EXECUTION_CONTROL WHERE SERVICE_EXECUTION_CONTROL_ID IN ('1629394408504307-8858269-39-01') AND EXECUTION_TYPE = 'STAGE1_EXECUTION';</v>
      </c>
      <c r="O215" s="7" t="str">
        <f t="shared" si="24"/>
        <v>發送異動通知電文給CIP回傳錯誤碼:UP0090_00_V201,錯誤碼訊息:必要性檢核錯誤,錯誤訊息:[檢查有誤，顧客ID已停用]</v>
      </c>
      <c r="P215" s="7" t="str">
        <f t="shared" si="25"/>
        <v>請協助處理</v>
      </c>
      <c r="Q215" s="7" t="s">
        <v>162</v>
      </c>
      <c r="R215" s="7"/>
      <c r="S215" s="16" t="s">
        <v>299</v>
      </c>
      <c r="T215" s="4" t="s">
        <v>1867</v>
      </c>
      <c r="U215" s="4" t="s">
        <v>17</v>
      </c>
      <c r="V215" s="4" t="s">
        <v>1</v>
      </c>
      <c r="W215" s="4"/>
      <c r="X215" s="4" t="s">
        <v>1868</v>
      </c>
      <c r="Y215" s="4" t="s">
        <v>1869</v>
      </c>
      <c r="Z215" s="4" t="s">
        <v>1870</v>
      </c>
      <c r="AA215" s="37" t="s">
        <v>1889</v>
      </c>
      <c r="AB215" s="4"/>
      <c r="AC215" s="4"/>
      <c r="AD215" s="4" t="s">
        <v>1871</v>
      </c>
      <c r="AE215" s="32" t="s">
        <v>1890</v>
      </c>
      <c r="AF215" s="4" t="s">
        <v>1364</v>
      </c>
    </row>
    <row r="216" spans="1:56" ht="33" x14ac:dyDescent="0.25">
      <c r="A216" s="4" t="str">
        <f t="shared" si="28"/>
        <v>'1629394303736301-8848996-35-02',</v>
      </c>
      <c r="B216" s="4" t="str">
        <f t="shared" si="29"/>
        <v>'1629394304112674-8858292-71-01',</v>
      </c>
      <c r="C216" s="15" t="s">
        <v>1939</v>
      </c>
      <c r="D216" s="5" t="s">
        <v>1902</v>
      </c>
      <c r="E216" s="5" t="s">
        <v>1937</v>
      </c>
      <c r="F216" s="5" t="s">
        <v>1905</v>
      </c>
      <c r="G216" s="29"/>
      <c r="H216" s="5"/>
      <c r="I216" s="22" t="s">
        <v>1938</v>
      </c>
      <c r="J216" s="16"/>
      <c r="K216" s="25" t="s">
        <v>1901</v>
      </c>
      <c r="L216" s="16" t="s">
        <v>289</v>
      </c>
      <c r="M216" s="16" t="str">
        <f t="shared" si="27"/>
        <v>UPDATE CIFX.TB_SERVICE_EXECUTION_CONTROL SET EXECUTION_STATE = 'EXECUTED', ap_server_EXECUTING = NULL WHERE SERVICE_EXECUTION_CONTROL_ID IN ('1629394303819602-8858291-55-01') and execution_type = 'STAGE1_EXECUTION';</v>
      </c>
      <c r="N216" s="16" t="str">
        <f t="shared" si="26"/>
        <v>SELECT EXECUTION_TYPE,SERVICE_INTERCHANGE_ID,CIRCI_KEY,EXECUTION_STATE FROM CIFX.TB_SERVICE_EXECUTION_CONTROL WHERE SERVICE_EXECUTION_CONTROL_ID IN ('1629394303819602-8858291-55-01') AND EXECUTION_TYPE = 'STAGE1_EXECUTION';</v>
      </c>
      <c r="O216" s="7" t="str">
        <f t="shared" si="24"/>
        <v>發送異動通知電文給CIP回傳錯誤碼:UP0090_00_V201,錯誤碼訊息:必要性檢核錯誤,錯誤訊息:[檢查有誤，顧客ID已停用]</v>
      </c>
      <c r="P216" s="7" t="str">
        <f t="shared" si="25"/>
        <v>請協助處理</v>
      </c>
      <c r="Q216" s="7" t="s">
        <v>162</v>
      </c>
      <c r="R216" s="7"/>
      <c r="S216" s="16" t="s">
        <v>299</v>
      </c>
      <c r="T216" s="4" t="s">
        <v>1872</v>
      </c>
      <c r="U216" s="4" t="s">
        <v>17</v>
      </c>
      <c r="V216" s="4" t="s">
        <v>1</v>
      </c>
      <c r="W216" s="4"/>
      <c r="X216" s="4" t="s">
        <v>1873</v>
      </c>
      <c r="Y216" s="4" t="s">
        <v>1874</v>
      </c>
      <c r="Z216" s="4" t="s">
        <v>1875</v>
      </c>
      <c r="AA216" s="37" t="s">
        <v>1894</v>
      </c>
      <c r="AB216" s="4"/>
      <c r="AC216" s="4"/>
      <c r="AD216" s="4" t="s">
        <v>1876</v>
      </c>
      <c r="AE216" s="32" t="s">
        <v>1891</v>
      </c>
      <c r="AF216" s="4" t="s">
        <v>1364</v>
      </c>
    </row>
    <row r="217" spans="1:56" ht="33" x14ac:dyDescent="0.25">
      <c r="A217" s="4" t="str">
        <f t="shared" si="28"/>
        <v>'1629394275149450-8849003-88-02',</v>
      </c>
      <c r="B217" s="4" t="str">
        <f t="shared" si="29"/>
        <v>'1629394275616452-8858372-33-01',</v>
      </c>
      <c r="C217" s="15" t="s">
        <v>1940</v>
      </c>
      <c r="D217" s="5" t="s">
        <v>1902</v>
      </c>
      <c r="E217" s="5" t="s">
        <v>1937</v>
      </c>
      <c r="F217" s="5" t="s">
        <v>1903</v>
      </c>
      <c r="G217" s="29"/>
      <c r="H217" s="5"/>
      <c r="I217" s="22" t="s">
        <v>1937</v>
      </c>
      <c r="J217" s="16"/>
      <c r="K217" s="25" t="s">
        <v>1901</v>
      </c>
      <c r="L217" s="16" t="s">
        <v>289</v>
      </c>
      <c r="M217" s="16" t="str">
        <f t="shared" si="27"/>
        <v>UPDATE CIFX.TB_SERVICE_EXECUTION_CONTROL SET EXECUTION_STATE = 'EXECUTED', ap_server_EXECUTING = NULL WHERE SERVICE_EXECUTION_CONTROL_ID IN ('1629394275250041-8858291-07-01') and execution_type = 'STAGE1_EXECUTION';</v>
      </c>
      <c r="N217" s="16" t="str">
        <f t="shared" si="26"/>
        <v>SELECT EXECUTION_TYPE,SERVICE_INTERCHANGE_ID,CIRCI_KEY,EXECUTION_STATE FROM CIFX.TB_SERVICE_EXECUTION_CONTROL WHERE SERVICE_EXECUTION_CONTROL_ID IN ('1629394275250041-8858291-07-01') AND EXECUTION_TYPE = 'STAGE1_EXECUTION';</v>
      </c>
      <c r="O217" s="7" t="str">
        <f t="shared" ref="O217:O279" si="30">IF(V217&lt;&gt;"",V217,"")</f>
        <v>發送異動通知電文給CIP回傳錯誤碼:UP0090_00_V201,錯誤碼訊息:必要性檢核錯誤,錯誤訊息:[檢查有誤，顧客ID已停用]</v>
      </c>
      <c r="P217" s="7" t="str">
        <f t="shared" ref="P217:P279" si="31">IF(O217="","","請協助處理")</f>
        <v>請協助處理</v>
      </c>
      <c r="Q217" s="7" t="s">
        <v>162</v>
      </c>
      <c r="R217" s="7"/>
      <c r="S217" s="16" t="s">
        <v>299</v>
      </c>
      <c r="T217" s="4" t="s">
        <v>1877</v>
      </c>
      <c r="U217" s="4" t="s">
        <v>17</v>
      </c>
      <c r="V217" s="4" t="s">
        <v>1</v>
      </c>
      <c r="W217" s="4"/>
      <c r="X217" s="4" t="s">
        <v>1878</v>
      </c>
      <c r="Y217" s="4" t="s">
        <v>1879</v>
      </c>
      <c r="Z217" s="4" t="s">
        <v>1880</v>
      </c>
      <c r="AA217" s="37" t="s">
        <v>1895</v>
      </c>
      <c r="AB217" s="40"/>
      <c r="AC217" s="40"/>
      <c r="AD217" s="4" t="s">
        <v>1881</v>
      </c>
      <c r="AE217" s="39" t="s">
        <v>1892</v>
      </c>
      <c r="AF217" s="4" t="s">
        <v>1364</v>
      </c>
    </row>
    <row r="218" spans="1:56" ht="33" x14ac:dyDescent="0.25">
      <c r="A218" s="4" t="str">
        <f t="shared" si="28"/>
        <v>'1629394230147719-8848996-52-02',</v>
      </c>
      <c r="B218" s="4" t="str">
        <f t="shared" si="29"/>
        <v>'1629394230759923-8858291-90-01',</v>
      </c>
      <c r="C218" s="15" t="s">
        <v>1937</v>
      </c>
      <c r="D218" s="5" t="s">
        <v>1902</v>
      </c>
      <c r="E218" s="5" t="s">
        <v>1938</v>
      </c>
      <c r="F218" s="5" t="s">
        <v>1904</v>
      </c>
      <c r="G218" s="29"/>
      <c r="H218" s="5"/>
      <c r="I218" s="22" t="s">
        <v>1937</v>
      </c>
      <c r="J218" s="16"/>
      <c r="K218" s="25" t="s">
        <v>1901</v>
      </c>
      <c r="L218" s="16" t="s">
        <v>289</v>
      </c>
      <c r="M218" s="16" t="str">
        <f t="shared" si="27"/>
        <v>UPDATE CIFX.TB_SERVICE_EXECUTION_CONTROL SET EXECUTION_STATE = 'EXECUTED', ap_server_EXECUTING = NULL WHERE SERVICE_EXECUTION_CONTROL_ID IN ('1629394230246896-8858269-66-01') and execution_type = 'STAGE1_EXECUTION';</v>
      </c>
      <c r="N218" s="16" t="str">
        <f t="shared" si="26"/>
        <v>SELECT EXECUTION_TYPE,SERVICE_INTERCHANGE_ID,CIRCI_KEY,EXECUTION_STATE FROM CIFX.TB_SERVICE_EXECUTION_CONTROL WHERE SERVICE_EXECUTION_CONTROL_ID IN ('1629394230246896-8858269-66-01') AND EXECUTION_TYPE = 'STAGE1_EXECUTION';</v>
      </c>
      <c r="O218" s="7" t="str">
        <f t="shared" si="30"/>
        <v>發送異動通知電文給CIP回傳錯誤碼:UP0090_00_V201,錯誤碼訊息:必要性檢核錯誤,錯誤訊息:[檢查有誤，顧客ID已停用]</v>
      </c>
      <c r="P218" s="7" t="str">
        <f t="shared" si="31"/>
        <v>請協助處理</v>
      </c>
      <c r="Q218" s="7" t="s">
        <v>162</v>
      </c>
      <c r="R218" s="7"/>
      <c r="S218" s="16" t="s">
        <v>299</v>
      </c>
      <c r="T218" s="4" t="s">
        <v>1882</v>
      </c>
      <c r="U218" s="4" t="s">
        <v>17</v>
      </c>
      <c r="V218" s="4" t="s">
        <v>1</v>
      </c>
      <c r="W218" s="4"/>
      <c r="X218" s="4" t="s">
        <v>1883</v>
      </c>
      <c r="Y218" s="4" t="s">
        <v>1884</v>
      </c>
      <c r="Z218" s="4" t="s">
        <v>1885</v>
      </c>
      <c r="AA218" s="37" t="s">
        <v>1896</v>
      </c>
      <c r="AB218" s="4"/>
      <c r="AC218" s="4"/>
      <c r="AD218" s="4" t="s">
        <v>1886</v>
      </c>
      <c r="AE218" s="32" t="s">
        <v>1893</v>
      </c>
      <c r="AF218" s="4" t="s">
        <v>1364</v>
      </c>
    </row>
    <row r="219" spans="1:56" x14ac:dyDescent="0.25">
      <c r="A219" s="4" t="str">
        <f t="shared" si="28"/>
        <v>'1629627012791062-9366259-78-02',</v>
      </c>
      <c r="B219" s="4" t="str">
        <f>"'"&amp;T219&amp;"',"</f>
        <v>'1629627020723841-9367304-86-02',</v>
      </c>
      <c r="C219" s="15" t="s">
        <v>2133</v>
      </c>
      <c r="D219" s="5" t="s">
        <v>1927</v>
      </c>
      <c r="E219" s="5" t="s">
        <v>2131</v>
      </c>
      <c r="F219" s="5" t="s">
        <v>2132</v>
      </c>
      <c r="G219" s="29"/>
      <c r="H219" s="5"/>
      <c r="I219" s="22" t="s">
        <v>2130</v>
      </c>
      <c r="J219" s="16"/>
      <c r="K219" s="25" t="s">
        <v>1926</v>
      </c>
      <c r="L219" s="16" t="s">
        <v>289</v>
      </c>
      <c r="M219" s="16" t="str">
        <f t="shared" si="27"/>
        <v>UPDATE CIFX.TB_SERVICE_EXECUTION_CONTROL SET EXECUTION_STATE = 'EXECUTED', ap_server_EXECUTING = NULL WHERE SERVICE_EXECUTION_CONTROL_ID IN ('1629627012793107-9366259-81-02') and execution_type = 'STAGE1_EXECUTION';</v>
      </c>
      <c r="N219" s="16" t="str">
        <f t="shared" si="26"/>
        <v>SELECT EXECUTION_TYPE,SERVICE_INTERCHANGE_ID,CIRCI_KEY,EXECUTION_STATE FROM CIFX.TB_SERVICE_EXECUTION_CONTROL WHERE SERVICE_EXECUTION_CONTROL_ID IN ('1629627012793107-9366259-81-02') AND EXECUTION_TYPE = 'STAGE1_EXECUTION';</v>
      </c>
      <c r="O219" s="7" t="str">
        <f t="shared" si="30"/>
        <v>發送異動通知電文給CIP回傳錯誤碼:UP0090_00_V201,錯誤碼訊息:必要性檢核錯誤,錯誤訊息:[檢查有誤，顧客ID已停用]</v>
      </c>
      <c r="P219" s="7" t="str">
        <f t="shared" si="31"/>
        <v>請協助處理</v>
      </c>
      <c r="Q219" s="7"/>
      <c r="R219" s="7"/>
      <c r="S219" s="16"/>
      <c r="T219" s="4" t="s">
        <v>1919</v>
      </c>
      <c r="U219" s="4" t="s">
        <v>17</v>
      </c>
      <c r="V219" s="4" t="s">
        <v>1</v>
      </c>
      <c r="W219" s="4"/>
      <c r="X219" s="4" t="s">
        <v>1920</v>
      </c>
      <c r="Y219" s="4" t="s">
        <v>1921</v>
      </c>
      <c r="Z219" s="4" t="s">
        <v>1922</v>
      </c>
      <c r="AA219" s="37" t="s">
        <v>1923</v>
      </c>
      <c r="AB219" s="4"/>
      <c r="AC219" s="4"/>
      <c r="AD219" s="4" t="s">
        <v>1924</v>
      </c>
      <c r="AE219" s="4"/>
      <c r="AF219" s="4"/>
    </row>
    <row r="220" spans="1:56" x14ac:dyDescent="0.25">
      <c r="A220" s="4" t="str">
        <f t="shared" si="28"/>
        <v>'1629480642261374-9054172-30-01',</v>
      </c>
      <c r="B220" s="4" t="str">
        <f t="shared" si="29"/>
        <v>'1629480642835225-9054290-54-01',</v>
      </c>
      <c r="C220" s="15" t="s">
        <v>2130</v>
      </c>
      <c r="D220" s="5" t="s">
        <v>1934</v>
      </c>
      <c r="E220" s="5" t="s">
        <v>2133</v>
      </c>
      <c r="F220" s="5" t="s">
        <v>1935</v>
      </c>
      <c r="G220" s="29"/>
      <c r="H220" s="5"/>
      <c r="I220" s="22" t="s">
        <v>2130</v>
      </c>
      <c r="J220" s="16"/>
      <c r="K220" s="25" t="s">
        <v>1925</v>
      </c>
      <c r="L220" s="16" t="s">
        <v>289</v>
      </c>
      <c r="M220" s="16" t="str">
        <f t="shared" si="27"/>
        <v>UPDATE CIFX.TB_SERVICE_EXECUTION_CONTROL SET EXECUTION_STATE = 'EXECUTED', ap_server_EXECUTING = NULL WHERE SERVICE_EXECUTION_CONTROL_ID IN ('1629480642407278-9054123-34-01') and execution_type = 'STAGE1_EXECUTION';</v>
      </c>
      <c r="N220" s="16" t="str">
        <f t="shared" si="26"/>
        <v>SELECT EXECUTION_TYPE,SERVICE_INTERCHANGE_ID,CIRCI_KEY,EXECUTION_STATE FROM CIFX.TB_SERVICE_EXECUTION_CONTROL WHERE SERVICE_EXECUTION_CONTROL_ID IN ('1629480642407278-9054123-34-01') AND EXECUTION_TYPE = 'STAGE1_EXECUTION';</v>
      </c>
      <c r="O220" s="7" t="str">
        <f t="shared" si="30"/>
        <v>發送異動通知電文給CIP回傳錯誤碼:UP0090_00_V201,錯誤碼訊息:必要性檢核錯誤,錯誤訊息:[檢查有誤，顧客ID已停用]</v>
      </c>
      <c r="P220" s="7" t="str">
        <f t="shared" si="31"/>
        <v>請協助處理</v>
      </c>
      <c r="Q220" s="7"/>
      <c r="R220" s="7"/>
      <c r="S220" s="16"/>
      <c r="T220" s="4" t="s">
        <v>1907</v>
      </c>
      <c r="U220" s="4" t="s">
        <v>17</v>
      </c>
      <c r="V220" s="4" t="s">
        <v>1</v>
      </c>
      <c r="W220" s="4"/>
      <c r="X220" s="4" t="s">
        <v>1908</v>
      </c>
      <c r="Y220" s="4" t="s">
        <v>1909</v>
      </c>
      <c r="Z220" s="4" t="s">
        <v>1910</v>
      </c>
      <c r="AA220" s="37" t="s">
        <v>1911</v>
      </c>
      <c r="AB220" s="4"/>
      <c r="AC220" s="4"/>
      <c r="AD220" s="4" t="s">
        <v>1912</v>
      </c>
      <c r="AE220" s="4"/>
      <c r="AF220" s="4"/>
    </row>
    <row r="221" spans="1:56" x14ac:dyDescent="0.25">
      <c r="A221" s="4" t="str">
        <f t="shared" si="28"/>
        <v>'1629480613925777-9054172-66-01',</v>
      </c>
      <c r="B221" s="4" t="str">
        <f t="shared" si="29"/>
        <v>'1629480614249597-9054123-97-01',</v>
      </c>
      <c r="C221" s="15" t="s">
        <v>2130</v>
      </c>
      <c r="D221" s="5" t="s">
        <v>1928</v>
      </c>
      <c r="E221" s="5" t="s">
        <v>2131</v>
      </c>
      <c r="F221" s="5" t="s">
        <v>2134</v>
      </c>
      <c r="G221" s="29"/>
      <c r="H221" s="5"/>
      <c r="I221" s="22" t="s">
        <v>2130</v>
      </c>
      <c r="J221" s="16"/>
      <c r="K221" s="25" t="s">
        <v>1925</v>
      </c>
      <c r="L221" s="16" t="s">
        <v>289</v>
      </c>
      <c r="M221" s="16" t="str">
        <f t="shared" si="27"/>
        <v>UPDATE CIFX.TB_SERVICE_EXECUTION_CONTROL SET EXECUTION_STATE = 'EXECUTED', ap_server_EXECUTING = NULL WHERE SERVICE_EXECUTION_CONTROL_ID IN ('1629480614024560-9054067-81-01') and execution_type = 'STAGE1_EXECUTION';</v>
      </c>
      <c r="N221" s="16" t="str">
        <f t="shared" si="26"/>
        <v>SELECT EXECUTION_TYPE,SERVICE_INTERCHANGE_ID,CIRCI_KEY,EXECUTION_STATE FROM CIFX.TB_SERVICE_EXECUTION_CONTROL WHERE SERVICE_EXECUTION_CONTROL_ID IN ('1629480614024560-9054067-81-01') AND EXECUTION_TYPE = 'STAGE1_EXECUTION';</v>
      </c>
      <c r="O221" s="7" t="str">
        <f t="shared" si="30"/>
        <v>發送異動通知電文給CIP回傳錯誤碼:UP0090_00_V201,錯誤碼訊息:必要性檢核錯誤,錯誤訊息:[檢查有誤，顧客ID已停用]</v>
      </c>
      <c r="P221" s="7" t="str">
        <f t="shared" si="31"/>
        <v>請協助處理</v>
      </c>
      <c r="Q221" s="7"/>
      <c r="R221" s="7"/>
      <c r="S221" s="16"/>
      <c r="T221" s="4" t="s">
        <v>1913</v>
      </c>
      <c r="U221" s="4" t="s">
        <v>17</v>
      </c>
      <c r="V221" s="4" t="s">
        <v>1</v>
      </c>
      <c r="W221" s="4"/>
      <c r="X221" s="4" t="s">
        <v>1914</v>
      </c>
      <c r="Y221" s="4" t="s">
        <v>1915</v>
      </c>
      <c r="Z221" s="4" t="s">
        <v>1916</v>
      </c>
      <c r="AA221" s="37" t="s">
        <v>1917</v>
      </c>
      <c r="AB221" s="4"/>
      <c r="AC221" s="4"/>
      <c r="AD221" s="4" t="s">
        <v>1918</v>
      </c>
      <c r="AE221" s="4"/>
      <c r="AF221" s="4"/>
    </row>
    <row r="222" spans="1:56" ht="33" x14ac:dyDescent="0.25">
      <c r="A222" s="45" t="str">
        <f t="shared" si="28"/>
        <v>'1629714645674484-9548628-72-02',</v>
      </c>
      <c r="B222" s="4" t="str">
        <f t="shared" si="29"/>
        <v>'1629714645935589-9548628-06-02',</v>
      </c>
      <c r="C222" s="15" t="s">
        <v>2711</v>
      </c>
      <c r="D222" s="5" t="s">
        <v>2358</v>
      </c>
      <c r="E222" s="5" t="s">
        <v>2712</v>
      </c>
      <c r="F222" s="5" t="s">
        <v>2360</v>
      </c>
      <c r="G222" s="29"/>
      <c r="H222" s="5"/>
      <c r="I222" s="22" t="s">
        <v>2711</v>
      </c>
      <c r="J222" s="16"/>
      <c r="K222" s="25" t="s">
        <v>2357</v>
      </c>
      <c r="L222" s="16" t="s">
        <v>289</v>
      </c>
      <c r="M222" s="16" t="str">
        <f t="shared" si="27"/>
        <v>UPDATE CIFX.TB_SERVICE_EXECUTION_CONTROL SET EXECUTION_STATE = 'EXECUTED', ap_server_EXECUTING = NULL WHERE SERVICE_EXECUTION_CONTROL_ID IN ('1629714645766135-9548566-87-02') and execution_type = 'STAGE1_EXECUTION';</v>
      </c>
      <c r="N222" s="16" t="str">
        <f t="shared" si="26"/>
        <v>SELECT EXECUTION_TYPE,SERVICE_INTERCHANGE_ID,CIRCI_KEY,EXECUTION_STATE FROM CIFX.TB_SERVICE_EXECUTION_CONTROL WHERE SERVICE_EXECUTION_CONTROL_ID IN ('1629714645766135-9548566-87-02') AND EXECUTION_TYPE = 'STAGE1_EXECUTION';</v>
      </c>
      <c r="O222" s="7" t="str">
        <f t="shared" si="30"/>
        <v>發送異動通知電文給CIP回傳錯誤碼:UP0090_00_V201,錯誤碼訊息:必要性檢核錯誤,錯誤訊息:[檢查有誤，顧客ID已停用]</v>
      </c>
      <c r="P222" s="7" t="str">
        <f t="shared" si="31"/>
        <v>請協助處理</v>
      </c>
      <c r="Q222" s="7" t="s">
        <v>162</v>
      </c>
      <c r="R222" s="7"/>
      <c r="S222" s="16" t="s">
        <v>299</v>
      </c>
      <c r="T222" s="4" t="s">
        <v>2334</v>
      </c>
      <c r="U222" s="4" t="s">
        <v>17</v>
      </c>
      <c r="V222" s="4" t="s">
        <v>1</v>
      </c>
      <c r="W222" s="4"/>
      <c r="X222" s="4" t="s">
        <v>1929</v>
      </c>
      <c r="Y222" s="4" t="s">
        <v>2359</v>
      </c>
      <c r="Z222" s="4" t="s">
        <v>1930</v>
      </c>
      <c r="AA222" s="37" t="s">
        <v>2336</v>
      </c>
      <c r="AB222" s="4" t="s">
        <v>2335</v>
      </c>
      <c r="AC222" s="4" t="s">
        <v>2315</v>
      </c>
      <c r="AD222" s="4" t="s">
        <v>1931</v>
      </c>
      <c r="AE222" s="32" t="s">
        <v>1932</v>
      </c>
      <c r="AF222" s="4" t="s">
        <v>1933</v>
      </c>
    </row>
    <row r="223" spans="1:56" x14ac:dyDescent="0.25">
      <c r="A223" s="4" t="str">
        <f t="shared" si="28"/>
        <v>'1629729090413057-9577099-02-01',</v>
      </c>
      <c r="B223" s="4" t="str">
        <f t="shared" si="29"/>
        <v>'1629729100734455-9585139-30-02',</v>
      </c>
      <c r="C223" s="15" t="s">
        <v>2130</v>
      </c>
      <c r="D223" s="5" t="s">
        <v>2002</v>
      </c>
      <c r="E223" s="5" t="s">
        <v>2131</v>
      </c>
      <c r="F223" s="38" t="s">
        <v>2333</v>
      </c>
      <c r="G223" s="29"/>
      <c r="H223" s="5"/>
      <c r="I223" s="22" t="s">
        <v>2130</v>
      </c>
      <c r="J223" s="16"/>
      <c r="K223" s="25"/>
      <c r="L223" s="16" t="s">
        <v>809</v>
      </c>
      <c r="M223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('1629729090435096-9577099-53-01') AND EXECUTION_TYPE = 'STAGE1_EXECUTION';</v>
      </c>
      <c r="N223" s="16" t="str">
        <f t="shared" si="26"/>
        <v>SELECT EXECUTION_TYPE,SERVICE_INTERCHANGE_ID,CIRCI_KEY,EXECUTION_STATE FROM CIFX.TB_SERVICE_EXECUTION_CONTROL WHERE SERVICE_EXECUTION_CONTROL_ID IN ('1629729090435096-9577099-53-01') AND EXECUTION_TYPE = 'STAGE1_EXECUTION';</v>
      </c>
      <c r="O223" s="7" t="str">
        <f t="shared" si="30"/>
        <v>發送異動通知電文，未回傳resultCode!!,回傳代碼描述:,錯誤訊息:[]</v>
      </c>
      <c r="P223" s="7" t="str">
        <f>IF(O223="","","請協助確認是否有收到此電文")</f>
        <v>請協助確認是否有收到此電文</v>
      </c>
      <c r="Q223" s="7" t="s">
        <v>162</v>
      </c>
      <c r="R223" s="7"/>
      <c r="S223" s="16" t="s">
        <v>299</v>
      </c>
      <c r="T223" s="4" t="s">
        <v>2124</v>
      </c>
      <c r="U223" s="4" t="s">
        <v>17</v>
      </c>
      <c r="V223" s="4" t="s">
        <v>900</v>
      </c>
      <c r="W223" s="4"/>
      <c r="X223" s="4" t="s">
        <v>2772</v>
      </c>
      <c r="Y223" s="4" t="s">
        <v>1941</v>
      </c>
      <c r="Z223" s="4" t="s">
        <v>1942</v>
      </c>
      <c r="AA223" s="37" t="s">
        <v>1943</v>
      </c>
      <c r="AB223" s="3" t="s">
        <v>1973</v>
      </c>
      <c r="AC223" s="3"/>
      <c r="AD223" s="4"/>
      <c r="AE223" s="4"/>
      <c r="AF223" s="4"/>
      <c r="AG223" s="41" t="s">
        <v>2003</v>
      </c>
    </row>
    <row r="224" spans="1:56" x14ac:dyDescent="0.25">
      <c r="A224" s="4" t="str">
        <f t="shared" si="28"/>
        <v>'1629729365890888-9585124-02-02',</v>
      </c>
      <c r="B224" s="4" t="str">
        <f t="shared" si="29"/>
        <v>'1629729376093333-9579007-75-01',</v>
      </c>
      <c r="C224" s="15" t="s">
        <v>2130</v>
      </c>
      <c r="D224" s="5" t="s">
        <v>1972</v>
      </c>
      <c r="E224" s="5" t="s">
        <v>2131</v>
      </c>
      <c r="F224" s="5" t="s">
        <v>2128</v>
      </c>
      <c r="G224" s="29"/>
      <c r="H224" s="5"/>
      <c r="I224" s="22" t="s">
        <v>2130</v>
      </c>
      <c r="J224" s="16"/>
      <c r="K224" s="25"/>
      <c r="L224" s="16" t="s">
        <v>809</v>
      </c>
      <c r="M224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('1629729365955769-9584993-06-02') AND EXECUTION_TYPE = 'STAGE1_EXECUTION';</v>
      </c>
      <c r="N224" s="16" t="str">
        <f t="shared" si="26"/>
        <v>SELECT EXECUTION_TYPE,SERVICE_INTERCHANGE_ID,CIRCI_KEY,EXECUTION_STATE FROM CIFX.TB_SERVICE_EXECUTION_CONTROL WHERE SERVICE_EXECUTION_CONTROL_ID IN ('1629729365955769-9584993-06-02') AND EXECUTION_TYPE = 'STAGE1_EXECUTION';</v>
      </c>
      <c r="O224" s="7" t="str">
        <f t="shared" si="30"/>
        <v>發送異動通知電文，未回傳resultCode!!,回傳代碼描述:,錯誤訊息:[]</v>
      </c>
      <c r="P224" s="7" t="str">
        <f t="shared" si="31"/>
        <v>請協助處理</v>
      </c>
      <c r="Q224" s="7" t="s">
        <v>162</v>
      </c>
      <c r="R224" s="7"/>
      <c r="S224" s="16" t="s">
        <v>299</v>
      </c>
      <c r="T224" s="4" t="s">
        <v>1975</v>
      </c>
      <c r="U224" s="4" t="s">
        <v>17</v>
      </c>
      <c r="V224" s="4" t="s">
        <v>900</v>
      </c>
      <c r="W224" s="4"/>
      <c r="X224" s="4" t="s">
        <v>2125</v>
      </c>
      <c r="Y224" s="4" t="s">
        <v>1944</v>
      </c>
      <c r="Z224" s="4" t="s">
        <v>1945</v>
      </c>
      <c r="AA224" s="37" t="s">
        <v>1946</v>
      </c>
      <c r="AB224" s="4" t="s">
        <v>1976</v>
      </c>
      <c r="AC224" s="4"/>
      <c r="AD224" s="4"/>
      <c r="AE224" s="4"/>
      <c r="AF224" s="4"/>
      <c r="AG224" s="41" t="s">
        <v>2019</v>
      </c>
    </row>
    <row r="225" spans="1:37" x14ac:dyDescent="0.25">
      <c r="A225" s="4" t="str">
        <f t="shared" si="28"/>
        <v>'1629729343610817-9578324-45-01',</v>
      </c>
      <c r="B225" s="4" t="str">
        <f t="shared" si="29"/>
        <v>'1629729353931223-9578663-40-01',</v>
      </c>
      <c r="C225" s="15" t="s">
        <v>2130</v>
      </c>
      <c r="D225" s="5" t="s">
        <v>1972</v>
      </c>
      <c r="E225" s="5" t="s">
        <v>2131</v>
      </c>
      <c r="F225" s="5" t="s">
        <v>2129</v>
      </c>
      <c r="G225" s="29"/>
      <c r="H225" s="5"/>
      <c r="I225" s="22" t="s">
        <v>2130</v>
      </c>
      <c r="J225" s="16"/>
      <c r="K225" s="25"/>
      <c r="L225" s="16" t="s">
        <v>809</v>
      </c>
      <c r="M225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('1629729343646071-9585062-51-02') AND EXECUTION_TYPE = 'STAGE1_EXECUTION';</v>
      </c>
      <c r="N225" s="16" t="str">
        <f t="shared" si="26"/>
        <v>SELECT EXECUTION_TYPE,SERVICE_INTERCHANGE_ID,CIRCI_KEY,EXECUTION_STATE FROM CIFX.TB_SERVICE_EXECUTION_CONTROL WHERE SERVICE_EXECUTION_CONTROL_ID IN ('1629729343646071-9585062-51-02') AND EXECUTION_TYPE = 'STAGE1_EXECUTION';</v>
      </c>
      <c r="O225" s="7" t="str">
        <f t="shared" si="30"/>
        <v>發送異動通知電文，未回傳resultCode!!,回傳代碼描述:,錯誤訊息:[]</v>
      </c>
      <c r="P225" s="7" t="str">
        <f t="shared" si="31"/>
        <v>請協助處理</v>
      </c>
      <c r="Q225" s="7" t="s">
        <v>162</v>
      </c>
      <c r="R225" s="7"/>
      <c r="S225" s="16" t="s">
        <v>1951</v>
      </c>
      <c r="T225" s="4" t="s">
        <v>1947</v>
      </c>
      <c r="U225" s="4" t="s">
        <v>17</v>
      </c>
      <c r="V225" s="4" t="s">
        <v>900</v>
      </c>
      <c r="W225" s="4"/>
      <c r="X225" s="4" t="s">
        <v>2020</v>
      </c>
      <c r="Y225" s="4" t="s">
        <v>1948</v>
      </c>
      <c r="Z225" s="4" t="s">
        <v>1949</v>
      </c>
      <c r="AA225" s="37" t="s">
        <v>1950</v>
      </c>
      <c r="AB225" s="4" t="s">
        <v>1976</v>
      </c>
      <c r="AC225" s="4"/>
      <c r="AD225" s="4"/>
      <c r="AE225" s="4"/>
      <c r="AF225" s="4"/>
      <c r="AG225" s="41" t="s">
        <v>2019</v>
      </c>
    </row>
    <row r="226" spans="1:37" x14ac:dyDescent="0.25">
      <c r="A226" s="4" t="str">
        <f t="shared" si="28"/>
        <v>'1629730568715597-9578570-05-01',</v>
      </c>
      <c r="B226" s="4" t="str">
        <f t="shared" si="29"/>
        <v>'1629730579002851-9579772-76-01',</v>
      </c>
      <c r="C226" s="15" t="s">
        <v>2130</v>
      </c>
      <c r="D226" s="5" t="s">
        <v>1972</v>
      </c>
      <c r="E226" s="5" t="s">
        <v>2131</v>
      </c>
      <c r="F226" s="5" t="s">
        <v>2127</v>
      </c>
      <c r="G226" s="29"/>
      <c r="H226" s="5"/>
      <c r="I226" s="22" t="s">
        <v>2130</v>
      </c>
      <c r="J226" s="16"/>
      <c r="K226" s="25"/>
      <c r="L226" s="16" t="s">
        <v>809</v>
      </c>
      <c r="M226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('1629730568718376-9578570-07-01') AND EXECUTION_TYPE = 'STAGE1_EXECUTION';</v>
      </c>
      <c r="N226" s="16" t="str">
        <f t="shared" si="26"/>
        <v>SELECT EXECUTION_TYPE,SERVICE_INTERCHANGE_ID,CIRCI_KEY,EXECUTION_STATE FROM CIFX.TB_SERVICE_EXECUTION_CONTROL WHERE SERVICE_EXECUTION_CONTROL_ID IN ('1629730568718376-9578570-07-01') AND EXECUTION_TYPE = 'STAGE1_EXECUTION';</v>
      </c>
      <c r="O226" s="7" t="str">
        <f t="shared" si="30"/>
        <v>發送異動通知電文，未回傳resultCode!!,回傳代碼描述:,錯誤訊息:[]</v>
      </c>
      <c r="P226" s="7" t="str">
        <f t="shared" si="31"/>
        <v>請協助處理</v>
      </c>
      <c r="Q226" s="7" t="s">
        <v>162</v>
      </c>
      <c r="R226" s="7"/>
      <c r="S226" s="16" t="s">
        <v>299</v>
      </c>
      <c r="T226" s="4" t="s">
        <v>1956</v>
      </c>
      <c r="U226" s="4" t="s">
        <v>17</v>
      </c>
      <c r="V226" s="4" t="s">
        <v>900</v>
      </c>
      <c r="W226" s="4"/>
      <c r="X226" s="4" t="s">
        <v>1957</v>
      </c>
      <c r="Y226" s="4" t="s">
        <v>1958</v>
      </c>
      <c r="Z226" s="4" t="s">
        <v>1959</v>
      </c>
      <c r="AA226" s="37" t="s">
        <v>1960</v>
      </c>
      <c r="AB226" s="3" t="s">
        <v>1977</v>
      </c>
      <c r="AC226" s="3"/>
      <c r="AD226" s="4"/>
      <c r="AE226" s="4"/>
      <c r="AF226" s="4"/>
      <c r="AG226" s="4"/>
    </row>
    <row r="227" spans="1:37" x14ac:dyDescent="0.25">
      <c r="A227" s="4" t="str">
        <f t="shared" si="28"/>
        <v>'1629730515426527-9586199-41-02',</v>
      </c>
      <c r="B227" s="4" t="str">
        <f t="shared" si="29"/>
        <v>'1629730525749191-9586207-86-02',</v>
      </c>
      <c r="C227" s="15" t="s">
        <v>2130</v>
      </c>
      <c r="D227" s="5" t="s">
        <v>1972</v>
      </c>
      <c r="E227" s="5" t="s">
        <v>2131</v>
      </c>
      <c r="F227" s="5" t="s">
        <v>2128</v>
      </c>
      <c r="G227" s="29"/>
      <c r="H227" s="5"/>
      <c r="I227" s="22" t="s">
        <v>2130</v>
      </c>
      <c r="J227" s="16"/>
      <c r="K227" s="25"/>
      <c r="L227" s="16" t="s">
        <v>809</v>
      </c>
      <c r="M227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('1629730515510166-9579721-45-01') AND EXECUTION_TYPE = 'STAGE1_EXECUTION';</v>
      </c>
      <c r="N227" s="16" t="str">
        <f t="shared" si="26"/>
        <v>SELECT EXECUTION_TYPE,SERVICE_INTERCHANGE_ID,CIRCI_KEY,EXECUTION_STATE FROM CIFX.TB_SERVICE_EXECUTION_CONTROL WHERE SERVICE_EXECUTION_CONTROL_ID IN ('1629730515510166-9579721-45-01') AND EXECUTION_TYPE = 'STAGE1_EXECUTION';</v>
      </c>
      <c r="O227" s="7" t="str">
        <f t="shared" si="30"/>
        <v>發送異動通知電文，未回傳resultCode!!,回傳代碼描述:,錯誤訊息:[]</v>
      </c>
      <c r="P227" s="7" t="str">
        <f t="shared" si="31"/>
        <v>請協助處理</v>
      </c>
      <c r="Q227" s="7" t="s">
        <v>162</v>
      </c>
      <c r="R227" s="7"/>
      <c r="S227" s="16" t="s">
        <v>299</v>
      </c>
      <c r="T227" s="4" t="s">
        <v>1961</v>
      </c>
      <c r="U227" s="4" t="s">
        <v>17</v>
      </c>
      <c r="V227" s="4" t="s">
        <v>900</v>
      </c>
      <c r="W227" s="4"/>
      <c r="X227" s="4" t="s">
        <v>1962</v>
      </c>
      <c r="Y227" s="4" t="s">
        <v>1963</v>
      </c>
      <c r="Z227" s="4" t="s">
        <v>1964</v>
      </c>
      <c r="AA227" s="37" t="s">
        <v>1965</v>
      </c>
      <c r="AB227" s="4" t="s">
        <v>1976</v>
      </c>
      <c r="AC227" s="4"/>
      <c r="AD227" s="4"/>
      <c r="AE227" s="4"/>
      <c r="AF227" s="4"/>
      <c r="AG227" s="4"/>
    </row>
    <row r="228" spans="1:37" x14ac:dyDescent="0.25">
      <c r="A228" s="4" t="str">
        <f t="shared" si="28"/>
        <v>'1629730403667662-9579611-93-01',</v>
      </c>
      <c r="B228" s="4" t="str">
        <f t="shared" si="29"/>
        <v>'1629730413802862-9579632-83-01',</v>
      </c>
      <c r="C228" s="15" t="s">
        <v>2130</v>
      </c>
      <c r="D228" s="5" t="s">
        <v>1972</v>
      </c>
      <c r="E228" s="5" t="s">
        <v>2131</v>
      </c>
      <c r="F228" s="5" t="s">
        <v>2128</v>
      </c>
      <c r="G228" s="29"/>
      <c r="H228" s="5"/>
      <c r="I228" s="22" t="s">
        <v>2130</v>
      </c>
      <c r="J228" s="16"/>
      <c r="K228" s="25"/>
      <c r="L228" s="16" t="s">
        <v>809</v>
      </c>
      <c r="M228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('1629730403691310-9579611-07-01') AND EXECUTION_TYPE = 'STAGE1_EXECUTION';</v>
      </c>
      <c r="N228" s="16" t="str">
        <f t="shared" si="26"/>
        <v>SELECT EXECUTION_TYPE,SERVICE_INTERCHANGE_ID,CIRCI_KEY,EXECUTION_STATE FROM CIFX.TB_SERVICE_EXECUTION_CONTROL WHERE SERVICE_EXECUTION_CONTROL_ID IN ('1629730403691310-9579611-07-01') AND EXECUTION_TYPE = 'STAGE1_EXECUTION';</v>
      </c>
      <c r="O228" s="7" t="str">
        <f t="shared" si="30"/>
        <v>發送異動通知電文，未回傳resultCode!!,回傳代碼描述:,錯誤訊息:[]</v>
      </c>
      <c r="P228" s="7" t="str">
        <f t="shared" si="31"/>
        <v>請協助處理</v>
      </c>
      <c r="Q228" s="7" t="s">
        <v>162</v>
      </c>
      <c r="R228" s="7"/>
      <c r="S228" s="16" t="s">
        <v>299</v>
      </c>
      <c r="T228" s="4" t="s">
        <v>1978</v>
      </c>
      <c r="U228" s="4" t="s">
        <v>17</v>
      </c>
      <c r="V228" s="4" t="s">
        <v>900</v>
      </c>
      <c r="W228" s="4"/>
      <c r="X228" s="4" t="s">
        <v>1966</v>
      </c>
      <c r="Y228" s="4" t="s">
        <v>1967</v>
      </c>
      <c r="Z228" s="4" t="s">
        <v>1968</v>
      </c>
      <c r="AA228" s="37" t="s">
        <v>1969</v>
      </c>
      <c r="AB228" s="4" t="s">
        <v>1979</v>
      </c>
      <c r="AC228" s="4"/>
      <c r="AD228" s="4"/>
      <c r="AE228" s="4"/>
      <c r="AF228" s="4"/>
      <c r="AG228" s="4"/>
    </row>
    <row r="229" spans="1:37" x14ac:dyDescent="0.25">
      <c r="A229" s="4" t="str">
        <f t="shared" si="28"/>
        <v>'1629729980752722-9579496-18-01',</v>
      </c>
      <c r="B229" s="4" t="str">
        <f t="shared" si="29"/>
        <v>'1629730010933419-9586084-48-02',</v>
      </c>
      <c r="C229" s="15" t="s">
        <v>2130</v>
      </c>
      <c r="D229" s="5" t="s">
        <v>1972</v>
      </c>
      <c r="E229" s="5" t="s">
        <v>2131</v>
      </c>
      <c r="F229" s="5" t="s">
        <v>2127</v>
      </c>
      <c r="G229" s="29"/>
      <c r="H229" s="5"/>
      <c r="I229" s="22" t="s">
        <v>2130</v>
      </c>
      <c r="J229" s="16"/>
      <c r="K229" s="25"/>
      <c r="L229" s="16" t="s">
        <v>809</v>
      </c>
      <c r="M229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('1629729980823721-9586069-28-02') AND EXECUTION_TYPE = 'STAGE1_EXECUTION';</v>
      </c>
      <c r="N229" s="16" t="str">
        <f t="shared" si="26"/>
        <v>SELECT EXECUTION_TYPE,SERVICE_INTERCHANGE_ID,CIRCI_KEY,EXECUTION_STATE FROM CIFX.TB_SERVICE_EXECUTION_CONTROL WHERE SERVICE_EXECUTION_CONTROL_ID IN ('1629729980823721-9586069-28-02') AND EXECUTION_TYPE = 'STAGE1_EXECUTION';</v>
      </c>
      <c r="O229" s="7" t="str">
        <f t="shared" si="30"/>
        <v>發送異動通知電文，未回傳resultCode!!,回傳代碼描述:,錯誤訊息:[]</v>
      </c>
      <c r="P229" s="7" t="str">
        <f t="shared" si="31"/>
        <v>請協助處理</v>
      </c>
      <c r="Q229" s="7" t="s">
        <v>162</v>
      </c>
      <c r="R229" s="7"/>
      <c r="S229" s="16" t="s">
        <v>299</v>
      </c>
      <c r="T229" s="4" t="s">
        <v>1980</v>
      </c>
      <c r="U229" s="4" t="s">
        <v>17</v>
      </c>
      <c r="V229" s="4" t="s">
        <v>900</v>
      </c>
      <c r="W229" s="4"/>
      <c r="X229" s="3" t="s">
        <v>2135</v>
      </c>
      <c r="Y229" s="4" t="s">
        <v>1970</v>
      </c>
      <c r="Z229" s="4" t="s">
        <v>2136</v>
      </c>
      <c r="AA229" s="37" t="s">
        <v>1971</v>
      </c>
      <c r="AB229" s="3" t="s">
        <v>1981</v>
      </c>
      <c r="AC229" s="3"/>
      <c r="AD229" s="4"/>
      <c r="AE229" s="4"/>
      <c r="AF229" s="4"/>
      <c r="AG229" s="41" t="s">
        <v>2003</v>
      </c>
      <c r="AK229" s="44" t="s">
        <v>2126</v>
      </c>
    </row>
    <row r="230" spans="1:37" x14ac:dyDescent="0.25">
      <c r="A230" s="4" t="str">
        <f t="shared" si="28"/>
        <v>'1629731411811629-9580987-03-01',</v>
      </c>
      <c r="B230" s="4" t="str">
        <f t="shared" si="29"/>
        <v>'1629731421984359-9587409-62-02',</v>
      </c>
      <c r="C230" s="15" t="s">
        <v>2130</v>
      </c>
      <c r="D230" s="5" t="s">
        <v>2121</v>
      </c>
      <c r="E230" s="5" t="s">
        <v>2131</v>
      </c>
      <c r="F230" s="5" t="s">
        <v>2332</v>
      </c>
      <c r="G230" s="29"/>
      <c r="H230" s="5"/>
      <c r="I230" s="22" t="s">
        <v>2130</v>
      </c>
      <c r="J230" s="16"/>
      <c r="K230" s="25"/>
      <c r="L230" s="16" t="s">
        <v>809</v>
      </c>
      <c r="M230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('1629731411842782-9580950-13-01') AND EXECUTION_TYPE = 'STAGE1_EXECUTION';</v>
      </c>
      <c r="N230" s="16" t="str">
        <f t="shared" si="26"/>
        <v>SELECT EXECUTION_TYPE,SERVICE_INTERCHANGE_ID,CIRCI_KEY,EXECUTION_STATE FROM CIFX.TB_SERVICE_EXECUTION_CONTROL WHERE SERVICE_EXECUTION_CONTROL_ID IN ('1629731411842782-9580950-13-01') AND EXECUTION_TYPE = 'STAGE1_EXECUTION';</v>
      </c>
      <c r="O230" s="43" t="str">
        <f t="shared" si="30"/>
        <v>發送異動通知電文，未回傳resultCode!!,回傳代碼描述:,錯誤訊息:[]</v>
      </c>
      <c r="P230" s="7" t="str">
        <f t="shared" si="31"/>
        <v>請協助處理</v>
      </c>
      <c r="Q230" s="7" t="s">
        <v>162</v>
      </c>
      <c r="R230" s="7"/>
      <c r="S230" s="16" t="s">
        <v>299</v>
      </c>
      <c r="T230" s="4" t="s">
        <v>2122</v>
      </c>
      <c r="U230" s="4" t="s">
        <v>17</v>
      </c>
      <c r="V230" s="4" t="s">
        <v>900</v>
      </c>
      <c r="W230" s="4"/>
      <c r="X230" s="4" t="s">
        <v>1982</v>
      </c>
      <c r="Y230" s="4" t="s">
        <v>1983</v>
      </c>
      <c r="Z230" s="4" t="s">
        <v>1984</v>
      </c>
      <c r="AA230" s="37" t="s">
        <v>1985</v>
      </c>
      <c r="AB230" s="4" t="s">
        <v>1976</v>
      </c>
      <c r="AC230" s="4"/>
      <c r="AD230" s="4"/>
      <c r="AE230" s="4"/>
      <c r="AF230" s="4"/>
    </row>
    <row r="231" spans="1:37" x14ac:dyDescent="0.25">
      <c r="A231" s="4" t="str">
        <f t="shared" si="28"/>
        <v>'1629731384452492-9587725-94-02',</v>
      </c>
      <c r="B231" s="4" t="str">
        <f t="shared" si="29"/>
        <v>'1629731394617569-9587666-67-02',</v>
      </c>
      <c r="C231" s="15" t="s">
        <v>2130</v>
      </c>
      <c r="D231" s="5" t="s">
        <v>1972</v>
      </c>
      <c r="E231" s="5" t="s">
        <v>2131</v>
      </c>
      <c r="F231" s="5" t="s">
        <v>2128</v>
      </c>
      <c r="G231" s="29"/>
      <c r="H231" s="5"/>
      <c r="I231" s="22" t="s">
        <v>2130</v>
      </c>
      <c r="J231" s="16"/>
      <c r="K231" s="25"/>
      <c r="L231" s="16" t="s">
        <v>809</v>
      </c>
      <c r="M231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('1629731384511548-9587499-01-02') AND EXECUTION_TYPE = 'STAGE1_EXECUTION';</v>
      </c>
      <c r="N231" s="16" t="str">
        <f t="shared" si="26"/>
        <v>SELECT EXECUTION_TYPE,SERVICE_INTERCHANGE_ID,CIRCI_KEY,EXECUTION_STATE FROM CIFX.TB_SERVICE_EXECUTION_CONTROL WHERE SERVICE_EXECUTION_CONTROL_ID IN ('1629731384511548-9587499-01-02') AND EXECUTION_TYPE = 'STAGE1_EXECUTION';</v>
      </c>
      <c r="O231" s="43" t="str">
        <f t="shared" si="30"/>
        <v>發送異動通知電文，未回傳resultCode!!,回傳代碼描述:,錯誤訊息:[]</v>
      </c>
      <c r="P231" s="7" t="str">
        <f t="shared" si="31"/>
        <v>請協助處理</v>
      </c>
      <c r="Q231" s="7" t="s">
        <v>162</v>
      </c>
      <c r="R231" s="7"/>
      <c r="S231" s="16" t="s">
        <v>299</v>
      </c>
      <c r="T231" s="4" t="s">
        <v>1986</v>
      </c>
      <c r="U231" s="4" t="s">
        <v>17</v>
      </c>
      <c r="V231" s="4" t="s">
        <v>900</v>
      </c>
      <c r="W231" s="4"/>
      <c r="X231" s="4" t="s">
        <v>1987</v>
      </c>
      <c r="Y231" s="4" t="s">
        <v>1988</v>
      </c>
      <c r="Z231" s="4" t="s">
        <v>1989</v>
      </c>
      <c r="AA231" s="37" t="s">
        <v>1990</v>
      </c>
      <c r="AB231" s="4" t="s">
        <v>1976</v>
      </c>
      <c r="AC231" s="4"/>
      <c r="AD231" s="4"/>
      <c r="AE231" s="4"/>
      <c r="AF231" s="4"/>
    </row>
    <row r="232" spans="1:37" x14ac:dyDescent="0.25">
      <c r="A232" s="4" t="str">
        <f t="shared" si="28"/>
        <v>'1629731337554793-9586284-28-02',</v>
      </c>
      <c r="B232" s="4" t="str">
        <f t="shared" si="29"/>
        <v>'1629731347738018-9580950-43-01',</v>
      </c>
      <c r="C232" s="15" t="s">
        <v>2130</v>
      </c>
      <c r="D232" s="5" t="s">
        <v>1972</v>
      </c>
      <c r="E232" s="5" t="s">
        <v>2131</v>
      </c>
      <c r="F232" s="5" t="s">
        <v>2127</v>
      </c>
      <c r="G232" s="29"/>
      <c r="H232" s="5"/>
      <c r="I232" s="22" t="s">
        <v>2130</v>
      </c>
      <c r="J232" s="16"/>
      <c r="K232" s="25"/>
      <c r="L232" s="16" t="s">
        <v>809</v>
      </c>
      <c r="M232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('1629731337557586-9586284-30-02') AND EXECUTION_TYPE = 'STAGE1_EXECUTION';</v>
      </c>
      <c r="N232" s="16" t="str">
        <f t="shared" si="26"/>
        <v>SELECT EXECUTION_TYPE,SERVICE_INTERCHANGE_ID,CIRCI_KEY,EXECUTION_STATE FROM CIFX.TB_SERVICE_EXECUTION_CONTROL WHERE SERVICE_EXECUTION_CONTROL_ID IN ('1629731337557586-9586284-30-02') AND EXECUTION_TYPE = 'STAGE1_EXECUTION';</v>
      </c>
      <c r="O232" s="43" t="str">
        <f t="shared" si="30"/>
        <v>發送異動通知電文，未回傳resultCode!!,回傳代碼描述:,錯誤訊息:[]</v>
      </c>
      <c r="P232" s="7" t="str">
        <f t="shared" si="31"/>
        <v>請協助處理</v>
      </c>
      <c r="Q232" s="7" t="s">
        <v>162</v>
      </c>
      <c r="R232" s="7"/>
      <c r="S232" s="16" t="s">
        <v>299</v>
      </c>
      <c r="T232" s="4" t="s">
        <v>1991</v>
      </c>
      <c r="U232" s="4" t="s">
        <v>17</v>
      </c>
      <c r="V232" s="4" t="s">
        <v>900</v>
      </c>
      <c r="W232" s="4"/>
      <c r="X232" s="4" t="s">
        <v>1992</v>
      </c>
      <c r="Y232" s="4" t="s">
        <v>1993</v>
      </c>
      <c r="Z232" s="4" t="s">
        <v>1994</v>
      </c>
      <c r="AA232" s="37" t="s">
        <v>1995</v>
      </c>
      <c r="AB232" s="4" t="s">
        <v>1996</v>
      </c>
      <c r="AC232" s="4"/>
      <c r="AD232" s="4"/>
      <c r="AE232" s="4"/>
      <c r="AF232" s="4"/>
    </row>
    <row r="233" spans="1:37" x14ac:dyDescent="0.25">
      <c r="A233" s="4" t="str">
        <f t="shared" si="28"/>
        <v>'1629730813663232-9580345-26-01',</v>
      </c>
      <c r="B233" s="4" t="str">
        <f t="shared" si="29"/>
        <v>'1629730824010371-9586759-41-02',</v>
      </c>
      <c r="C233" s="15" t="s">
        <v>2130</v>
      </c>
      <c r="D233" s="5" t="s">
        <v>1972</v>
      </c>
      <c r="E233" s="5" t="s">
        <v>2131</v>
      </c>
      <c r="F233" s="5" t="s">
        <v>2127</v>
      </c>
      <c r="G233" s="29"/>
      <c r="H233" s="5"/>
      <c r="I233" s="22" t="s">
        <v>2130</v>
      </c>
      <c r="J233" s="16"/>
      <c r="K233" s="25"/>
      <c r="L233" s="16" t="s">
        <v>809</v>
      </c>
      <c r="M233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('1629730813901525-9580203-47-01') AND EXECUTION_TYPE = 'STAGE1_EXECUTION';</v>
      </c>
      <c r="N233" s="16" t="str">
        <f t="shared" si="26"/>
        <v>SELECT EXECUTION_TYPE,SERVICE_INTERCHANGE_ID,CIRCI_KEY,EXECUTION_STATE FROM CIFX.TB_SERVICE_EXECUTION_CONTROL WHERE SERVICE_EXECUTION_CONTROL_ID IN ('1629730813901525-9580203-47-01') AND EXECUTION_TYPE = 'STAGE1_EXECUTION';</v>
      </c>
      <c r="O233" s="43" t="str">
        <f t="shared" si="30"/>
        <v>發送異動通知電文，未回傳resultCode!!,回傳代碼描述:,錯誤訊息:[]</v>
      </c>
      <c r="P233" s="7" t="str">
        <f t="shared" si="31"/>
        <v>請協助處理</v>
      </c>
      <c r="Q233" s="7" t="s">
        <v>162</v>
      </c>
      <c r="R233" s="7"/>
      <c r="S233" s="16" t="s">
        <v>299</v>
      </c>
      <c r="T233" s="4" t="s">
        <v>1997</v>
      </c>
      <c r="U233" s="4" t="s">
        <v>17</v>
      </c>
      <c r="V233" s="4" t="s">
        <v>900</v>
      </c>
      <c r="W233" s="4"/>
      <c r="X233" s="4" t="s">
        <v>1998</v>
      </c>
      <c r="Y233" s="4" t="s">
        <v>1999</v>
      </c>
      <c r="Z233" s="4" t="s">
        <v>2000</v>
      </c>
      <c r="AA233" s="37" t="s">
        <v>2001</v>
      </c>
      <c r="AB233" s="4" t="s">
        <v>1976</v>
      </c>
      <c r="AC233" s="4"/>
      <c r="AD233" s="4"/>
      <c r="AE233" s="4"/>
      <c r="AF233" s="4"/>
    </row>
    <row r="234" spans="1:37" x14ac:dyDescent="0.25">
      <c r="A234" s="4" t="str">
        <f t="shared" si="28"/>
        <v>'1629732408571262-9588283-41-02',</v>
      </c>
      <c r="B234" s="4" t="str">
        <f t="shared" si="29"/>
        <v>'1629732421733538-9581995-44-01',</v>
      </c>
      <c r="C234" s="15" t="s">
        <v>2130</v>
      </c>
      <c r="D234" s="5" t="s">
        <v>1972</v>
      </c>
      <c r="E234" s="5" t="s">
        <v>2131</v>
      </c>
      <c r="F234" s="5" t="s">
        <v>2123</v>
      </c>
      <c r="G234" s="29"/>
      <c r="H234" s="5"/>
      <c r="I234" s="22" t="s">
        <v>2130</v>
      </c>
      <c r="J234" s="16"/>
      <c r="K234" s="25"/>
      <c r="L234" s="16" t="s">
        <v>809</v>
      </c>
      <c r="M234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('1629732408625386-9581950-48-01') AND EXECUTION_TYPE = 'STAGE1_EXECUTION';</v>
      </c>
      <c r="N234" s="16" t="str">
        <f t="shared" si="26"/>
        <v>SELECT EXECUTION_TYPE,SERVICE_INTERCHANGE_ID,CIRCI_KEY,EXECUTION_STATE FROM CIFX.TB_SERVICE_EXECUTION_CONTROL WHERE SERVICE_EXECUTION_CONTROL_ID IN ('1629732408625386-9581950-48-01') AND EXECUTION_TYPE = 'STAGE1_EXECUTION';</v>
      </c>
      <c r="O234" s="43" t="str">
        <f t="shared" si="30"/>
        <v>發送異動通知電文，未回傳resultCode!!,回傳代碼描述:,錯誤訊息:[]</v>
      </c>
      <c r="P234" s="7" t="str">
        <f t="shared" si="31"/>
        <v>請協助處理</v>
      </c>
      <c r="Q234" s="7"/>
      <c r="R234" s="7"/>
      <c r="S234" s="16"/>
      <c r="T234" s="4" t="s">
        <v>2004</v>
      </c>
      <c r="U234" s="4" t="s">
        <v>17</v>
      </c>
      <c r="V234" s="4" t="s">
        <v>900</v>
      </c>
      <c r="W234" s="4"/>
      <c r="X234" s="4" t="s">
        <v>2005</v>
      </c>
      <c r="Y234" s="4" t="s">
        <v>2006</v>
      </c>
      <c r="Z234" s="4" t="s">
        <v>2007</v>
      </c>
      <c r="AA234" s="37" t="s">
        <v>1960</v>
      </c>
      <c r="AB234" s="4" t="s">
        <v>1976</v>
      </c>
      <c r="AC234" s="4"/>
      <c r="AD234" s="4"/>
      <c r="AE234" s="4"/>
      <c r="AF234" s="4"/>
    </row>
    <row r="235" spans="1:37" x14ac:dyDescent="0.25">
      <c r="A235" s="4" t="str">
        <f t="shared" si="28"/>
        <v>'1629732405322172-9581829-26-01',</v>
      </c>
      <c r="B235" s="4" t="str">
        <f t="shared" si="29"/>
        <v>'1629732421512022-9581838-27-01',</v>
      </c>
      <c r="C235" s="15" t="s">
        <v>2130</v>
      </c>
      <c r="D235" s="5" t="s">
        <v>1972</v>
      </c>
      <c r="E235" s="5" t="s">
        <v>2131</v>
      </c>
      <c r="F235" s="5" t="s">
        <v>2123</v>
      </c>
      <c r="G235" s="29"/>
      <c r="H235" s="5"/>
      <c r="I235" s="22" t="s">
        <v>2130</v>
      </c>
      <c r="J235" s="16"/>
      <c r="K235" s="25"/>
      <c r="L235" s="16" t="s">
        <v>809</v>
      </c>
      <c r="M235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('1629732405405267-9581834-34-01') AND EXECUTION_TYPE = 'STAGE1_EXECUTION';</v>
      </c>
      <c r="N235" s="16" t="str">
        <f t="shared" si="26"/>
        <v>SELECT EXECUTION_TYPE,SERVICE_INTERCHANGE_ID,CIRCI_KEY,EXECUTION_STATE FROM CIFX.TB_SERVICE_EXECUTION_CONTROL WHERE SERVICE_EXECUTION_CONTROL_ID IN ('1629732405405267-9581834-34-01') AND EXECUTION_TYPE = 'STAGE1_EXECUTION';</v>
      </c>
      <c r="O235" s="43" t="str">
        <f t="shared" si="30"/>
        <v>發送異動通知電文，未回傳resultCode!!,回傳代碼描述:,錯誤訊息:[]</v>
      </c>
      <c r="P235" s="7" t="str">
        <f t="shared" si="31"/>
        <v>請協助處理</v>
      </c>
      <c r="Q235" s="7"/>
      <c r="R235" s="7"/>
      <c r="S235" s="16"/>
      <c r="T235" s="4" t="s">
        <v>2008</v>
      </c>
      <c r="U235" s="4" t="s">
        <v>17</v>
      </c>
      <c r="V235" s="4" t="s">
        <v>900</v>
      </c>
      <c r="W235" s="4"/>
      <c r="X235" s="4" t="s">
        <v>2009</v>
      </c>
      <c r="Y235" s="4" t="s">
        <v>2010</v>
      </c>
      <c r="Z235" s="4" t="s">
        <v>2011</v>
      </c>
      <c r="AA235" s="37" t="s">
        <v>2012</v>
      </c>
      <c r="AB235" s="4" t="s">
        <v>2013</v>
      </c>
      <c r="AC235" s="4"/>
      <c r="AD235" s="4"/>
      <c r="AE235" s="4"/>
      <c r="AF235" s="4"/>
    </row>
    <row r="236" spans="1:37" x14ac:dyDescent="0.25">
      <c r="A236" s="4" t="str">
        <f t="shared" si="28"/>
        <v>'1629731736555285-9587895-13-02',</v>
      </c>
      <c r="B236" s="4" t="str">
        <f t="shared" si="29"/>
        <v>'1629731746702525-9587895-97-02',</v>
      </c>
      <c r="C236" s="15" t="s">
        <v>2130</v>
      </c>
      <c r="D236" s="5" t="s">
        <v>1972</v>
      </c>
      <c r="E236" s="5" t="s">
        <v>2131</v>
      </c>
      <c r="F236" s="5" t="s">
        <v>2123</v>
      </c>
      <c r="G236" s="29"/>
      <c r="H236" s="5"/>
      <c r="I236" s="22" t="s">
        <v>2130</v>
      </c>
      <c r="J236" s="16"/>
      <c r="K236" s="25"/>
      <c r="L236" s="16" t="s">
        <v>809</v>
      </c>
      <c r="M236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('1629731736600735-9587863-26-02') AND EXECUTION_TYPE = 'STAGE1_EXECUTION';</v>
      </c>
      <c r="N236" s="16" t="str">
        <f t="shared" si="26"/>
        <v>SELECT EXECUTION_TYPE,SERVICE_INTERCHANGE_ID,CIRCI_KEY,EXECUTION_STATE FROM CIFX.TB_SERVICE_EXECUTION_CONTROL WHERE SERVICE_EXECUTION_CONTROL_ID IN ('1629731736600735-9587863-26-02') AND EXECUTION_TYPE = 'STAGE1_EXECUTION';</v>
      </c>
      <c r="O236" s="43" t="str">
        <f t="shared" si="30"/>
        <v>發送異動通知電文，未回傳resultCode!!,回傳代碼描述:,錯誤訊息:[]</v>
      </c>
      <c r="P236" s="7" t="str">
        <f t="shared" si="31"/>
        <v>請協助處理</v>
      </c>
      <c r="Q236" s="7"/>
      <c r="R236" s="7"/>
      <c r="S236" s="16"/>
      <c r="T236" s="4" t="s">
        <v>2014</v>
      </c>
      <c r="U236" s="4" t="s">
        <v>17</v>
      </c>
      <c r="V236" s="4" t="s">
        <v>900</v>
      </c>
      <c r="W236" s="4"/>
      <c r="X236" s="4" t="s">
        <v>2015</v>
      </c>
      <c r="Y236" s="4" t="s">
        <v>2016</v>
      </c>
      <c r="Z236" s="4" t="s">
        <v>2017</v>
      </c>
      <c r="AA236" s="37" t="s">
        <v>2018</v>
      </c>
      <c r="AB236" s="4" t="s">
        <v>1976</v>
      </c>
      <c r="AC236" s="4"/>
      <c r="AD236" s="4"/>
      <c r="AE236" s="4"/>
      <c r="AF236" s="4"/>
    </row>
    <row r="237" spans="1:37" x14ac:dyDescent="0.25">
      <c r="A237" s="4" t="str">
        <f t="shared" si="28"/>
        <v>'1629733255961073-9593037-14-01',</v>
      </c>
      <c r="B237" s="4" t="str">
        <f t="shared" si="29"/>
        <v>'1629733266123501-9593037-77-01',</v>
      </c>
      <c r="C237" s="15" t="s">
        <v>2130</v>
      </c>
      <c r="D237" s="5" t="s">
        <v>1972</v>
      </c>
      <c r="E237" s="5" t="s">
        <v>2131</v>
      </c>
      <c r="F237" s="5" t="s">
        <v>2123</v>
      </c>
      <c r="G237" s="29"/>
      <c r="H237" s="5"/>
      <c r="I237" s="22" t="s">
        <v>2130</v>
      </c>
      <c r="J237" s="16"/>
      <c r="K237" s="25"/>
      <c r="L237" s="16" t="s">
        <v>809</v>
      </c>
      <c r="M237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('1629733256021230-9593024-18-01') AND EXECUTION_TYPE = 'STAGE1_EXECUTION';</v>
      </c>
      <c r="N237" s="16" t="str">
        <f t="shared" si="26"/>
        <v>SELECT EXECUTION_TYPE,SERVICE_INTERCHANGE_ID,CIRCI_KEY,EXECUTION_STATE FROM CIFX.TB_SERVICE_EXECUTION_CONTROL WHERE SERVICE_EXECUTION_CONTROL_ID IN ('1629733256021230-9593024-18-01') AND EXECUTION_TYPE = 'STAGE1_EXECUTION';</v>
      </c>
      <c r="O237" s="43" t="str">
        <f t="shared" si="30"/>
        <v>發送異動通知電文，未回傳resultCode!!,回傳代碼描述:,錯誤訊息:[]</v>
      </c>
      <c r="P237" s="7" t="str">
        <f t="shared" si="31"/>
        <v>請協助處理</v>
      </c>
      <c r="Q237" s="7"/>
      <c r="R237" s="7"/>
      <c r="S237" s="16"/>
      <c r="T237" s="4" t="s">
        <v>2090</v>
      </c>
      <c r="U237" s="4" t="s">
        <v>17</v>
      </c>
      <c r="V237" s="4" t="s">
        <v>900</v>
      </c>
      <c r="W237" s="4"/>
      <c r="X237" s="4" t="s">
        <v>2091</v>
      </c>
      <c r="Y237" s="4" t="s">
        <v>2092</v>
      </c>
      <c r="Z237" s="4" t="s">
        <v>2093</v>
      </c>
      <c r="AA237" s="37" t="s">
        <v>2094</v>
      </c>
      <c r="AB237" s="4" t="s">
        <v>1976</v>
      </c>
      <c r="AC237" s="4"/>
      <c r="AD237" s="4"/>
      <c r="AE237" s="4"/>
      <c r="AF237" s="4"/>
    </row>
    <row r="238" spans="1:37" x14ac:dyDescent="0.25">
      <c r="A238" s="4" t="str">
        <f t="shared" si="28"/>
        <v>'1629733189032107-9581944-98-01',</v>
      </c>
      <c r="B238" s="4" t="str">
        <f t="shared" si="29"/>
        <v>'1629733199252201-9593263-40-01',</v>
      </c>
      <c r="C238" s="15" t="s">
        <v>2130</v>
      </c>
      <c r="D238" s="5" t="s">
        <v>1972</v>
      </c>
      <c r="E238" s="5" t="s">
        <v>2131</v>
      </c>
      <c r="F238" s="5" t="s">
        <v>2123</v>
      </c>
      <c r="G238" s="29"/>
      <c r="H238" s="5"/>
      <c r="I238" s="22" t="s">
        <v>2130</v>
      </c>
      <c r="J238" s="16"/>
      <c r="K238" s="25"/>
      <c r="L238" s="16" t="s">
        <v>809</v>
      </c>
      <c r="M238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('1629733189034299-9581944-01-01') AND EXECUTION_TYPE = 'STAGE1_EXECUTION';</v>
      </c>
      <c r="N238" s="16" t="str">
        <f t="shared" ref="N238:N288" si="32">IF($L238&lt;&gt;"","SELECT EXECUTION_TYPE,SERVICE_INTERCHANGE_ID,CIRCI_KEY,EXECUTION_STATE FROM CIFX.TB_SERVICE_EXECUTION_CONTROL WHERE SERVICE_EXECUTION_CONTROL_ID IN ("&amp;"'"&amp;$Y238&amp;"'"&amp;") AND EXECUTION_TYPE = "&amp;"'"&amp;"STAGE1_EXECUTION"&amp;"'"&amp;";","")</f>
        <v>SELECT EXECUTION_TYPE,SERVICE_INTERCHANGE_ID,CIRCI_KEY,EXECUTION_STATE FROM CIFX.TB_SERVICE_EXECUTION_CONTROL WHERE SERVICE_EXECUTION_CONTROL_ID IN ('1629733189034299-9581944-01-01') AND EXECUTION_TYPE = 'STAGE1_EXECUTION';</v>
      </c>
      <c r="O238" s="43" t="str">
        <f t="shared" si="30"/>
        <v>發送異動通知電文，未回傳resultCode!!,回傳代碼描述:,錯誤訊息:[]</v>
      </c>
      <c r="P238" s="7" t="str">
        <f t="shared" si="31"/>
        <v>請協助處理</v>
      </c>
      <c r="Q238" s="7"/>
      <c r="R238" s="7"/>
      <c r="S238" s="16"/>
      <c r="T238" s="4" t="s">
        <v>2095</v>
      </c>
      <c r="U238" s="4" t="s">
        <v>17</v>
      </c>
      <c r="V238" s="4" t="s">
        <v>900</v>
      </c>
      <c r="W238" s="4"/>
      <c r="X238" s="4" t="s">
        <v>2096</v>
      </c>
      <c r="Y238" s="4" t="s">
        <v>2097</v>
      </c>
      <c r="Z238" s="4" t="s">
        <v>2098</v>
      </c>
      <c r="AA238" s="37" t="s">
        <v>2099</v>
      </c>
      <c r="AB238" s="4" t="s">
        <v>1996</v>
      </c>
      <c r="AC238" s="4"/>
      <c r="AD238" s="4"/>
      <c r="AE238" s="4"/>
      <c r="AF238" s="4"/>
    </row>
    <row r="239" spans="1:37" x14ac:dyDescent="0.25">
      <c r="A239" s="4" t="str">
        <f t="shared" si="28"/>
        <v>'1629732929271616-9592629-41-01',</v>
      </c>
      <c r="B239" s="4" t="str">
        <f t="shared" si="29"/>
        <v>'1629732939458354-9592696-33-01',</v>
      </c>
      <c r="C239" s="15" t="s">
        <v>2130</v>
      </c>
      <c r="D239" s="5" t="s">
        <v>1972</v>
      </c>
      <c r="E239" s="5" t="s">
        <v>2131</v>
      </c>
      <c r="F239" s="5" t="s">
        <v>2123</v>
      </c>
      <c r="G239" s="29"/>
      <c r="H239" s="5"/>
      <c r="I239" s="22" t="s">
        <v>2130</v>
      </c>
      <c r="J239" s="16"/>
      <c r="K239" s="25"/>
      <c r="L239" s="16" t="s">
        <v>809</v>
      </c>
      <c r="M239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('1629732929339372-9588872-45-02') AND EXECUTION_TYPE = 'STAGE1_EXECUTION';</v>
      </c>
      <c r="N239" s="16" t="str">
        <f t="shared" si="32"/>
        <v>SELECT EXECUTION_TYPE,SERVICE_INTERCHANGE_ID,CIRCI_KEY,EXECUTION_STATE FROM CIFX.TB_SERVICE_EXECUTION_CONTROL WHERE SERVICE_EXECUTION_CONTROL_ID IN ('1629732929339372-9588872-45-02') AND EXECUTION_TYPE = 'STAGE1_EXECUTION';</v>
      </c>
      <c r="O239" s="43" t="str">
        <f t="shared" si="30"/>
        <v>發送異動通知電文，未回傳resultCode!!,回傳代碼描述:,錯誤訊息:[]</v>
      </c>
      <c r="P239" s="7" t="str">
        <f t="shared" si="31"/>
        <v>請協助處理</v>
      </c>
      <c r="Q239" s="7"/>
      <c r="R239" s="7"/>
      <c r="S239" s="16"/>
      <c r="T239" s="4" t="s">
        <v>2100</v>
      </c>
      <c r="U239" s="4" t="s">
        <v>17</v>
      </c>
      <c r="V239" s="4" t="s">
        <v>900</v>
      </c>
      <c r="W239" s="4"/>
      <c r="X239" s="4" t="s">
        <v>2101</v>
      </c>
      <c r="Y239" s="4" t="s">
        <v>2102</v>
      </c>
      <c r="Z239" s="4" t="s">
        <v>2103</v>
      </c>
      <c r="AA239" s="37" t="s">
        <v>2104</v>
      </c>
      <c r="AB239" s="4" t="s">
        <v>1976</v>
      </c>
      <c r="AC239" s="4"/>
      <c r="AD239" s="4"/>
      <c r="AE239" s="4"/>
      <c r="AF239" s="4"/>
    </row>
    <row r="240" spans="1:37" x14ac:dyDescent="0.25">
      <c r="A240" s="4" t="str">
        <f t="shared" si="28"/>
        <v>'1629732624528932-9588900-40-02',</v>
      </c>
      <c r="B240" s="4" t="str">
        <f t="shared" si="29"/>
        <v>'1629732637684789-9592667-48-01',</v>
      </c>
      <c r="C240" s="15" t="s">
        <v>2130</v>
      </c>
      <c r="D240" s="5" t="s">
        <v>1972</v>
      </c>
      <c r="E240" s="5" t="s">
        <v>2131</v>
      </c>
      <c r="F240" s="5" t="s">
        <v>2123</v>
      </c>
      <c r="G240" s="29"/>
      <c r="H240" s="5"/>
      <c r="I240" s="22" t="s">
        <v>2130</v>
      </c>
      <c r="J240" s="16"/>
      <c r="K240" s="25"/>
      <c r="L240" s="16" t="s">
        <v>809</v>
      </c>
      <c r="M240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('1629732624582418-9588989-46-02') AND EXECUTION_TYPE = 'STAGE1_EXECUTION';</v>
      </c>
      <c r="N240" s="16" t="str">
        <f t="shared" si="32"/>
        <v>SELECT EXECUTION_TYPE,SERVICE_INTERCHANGE_ID,CIRCI_KEY,EXECUTION_STATE FROM CIFX.TB_SERVICE_EXECUTION_CONTROL WHERE SERVICE_EXECUTION_CONTROL_ID IN ('1629732624582418-9588989-46-02') AND EXECUTION_TYPE = 'STAGE1_EXECUTION';</v>
      </c>
      <c r="O240" s="43" t="str">
        <f t="shared" si="30"/>
        <v>發送異動通知電文，未回傳resultCode!!,回傳代碼描述:,錯誤訊息:[]</v>
      </c>
      <c r="P240" s="7" t="str">
        <f t="shared" si="31"/>
        <v>請協助處理</v>
      </c>
      <c r="Q240" s="7"/>
      <c r="R240" s="7"/>
      <c r="S240" s="16"/>
      <c r="T240" s="4" t="s">
        <v>2105</v>
      </c>
      <c r="U240" s="4" t="s">
        <v>17</v>
      </c>
      <c r="V240" s="4" t="s">
        <v>900</v>
      </c>
      <c r="W240" s="4"/>
      <c r="X240" s="4" t="s">
        <v>2106</v>
      </c>
      <c r="Y240" s="4" t="s">
        <v>2107</v>
      </c>
      <c r="Z240" s="4" t="s">
        <v>2108</v>
      </c>
      <c r="AA240" s="37" t="s">
        <v>2109</v>
      </c>
      <c r="AB240" s="4" t="s">
        <v>1976</v>
      </c>
      <c r="AC240" s="4"/>
      <c r="AD240" s="4"/>
      <c r="AE240" s="4"/>
      <c r="AF240" s="4"/>
    </row>
    <row r="241" spans="1:32" x14ac:dyDescent="0.25">
      <c r="A241" s="4" t="str">
        <f t="shared" si="28"/>
        <v>'1629732623113270-9589562-69-02',</v>
      </c>
      <c r="B241" s="4" t="str">
        <f t="shared" si="29"/>
        <v>'1629732634053262-9588506-39-02',</v>
      </c>
      <c r="C241" s="15" t="s">
        <v>2130</v>
      </c>
      <c r="D241" s="5" t="s">
        <v>1972</v>
      </c>
      <c r="E241" s="5" t="s">
        <v>2131</v>
      </c>
      <c r="F241" s="5" t="s">
        <v>2123</v>
      </c>
      <c r="G241" s="29"/>
      <c r="H241" s="5"/>
      <c r="I241" s="22" t="s">
        <v>2130</v>
      </c>
      <c r="J241" s="16"/>
      <c r="K241" s="25"/>
      <c r="L241" s="16" t="s">
        <v>809</v>
      </c>
      <c r="M241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('1629732623116464-9589562-72-02') AND EXECUTION_TYPE = 'STAGE1_EXECUTION';</v>
      </c>
      <c r="N241" s="16" t="str">
        <f t="shared" si="32"/>
        <v>SELECT EXECUTION_TYPE,SERVICE_INTERCHANGE_ID,CIRCI_KEY,EXECUTION_STATE FROM CIFX.TB_SERVICE_EXECUTION_CONTROL WHERE SERVICE_EXECUTION_CONTROL_ID IN ('1629732623116464-9589562-72-02') AND EXECUTION_TYPE = 'STAGE1_EXECUTION';</v>
      </c>
      <c r="O241" s="43" t="str">
        <f t="shared" si="30"/>
        <v>發送異動通知電文，未回傳resultCode!!,回傳代碼描述:,錯誤訊息:[]</v>
      </c>
      <c r="P241" s="7" t="str">
        <f t="shared" si="31"/>
        <v>請協助處理</v>
      </c>
      <c r="Q241" s="7"/>
      <c r="R241" s="7"/>
      <c r="S241" s="16"/>
      <c r="T241" s="4" t="s">
        <v>2110</v>
      </c>
      <c r="U241" s="4" t="s">
        <v>17</v>
      </c>
      <c r="V241" s="4" t="s">
        <v>900</v>
      </c>
      <c r="W241" s="4"/>
      <c r="X241" s="4" t="s">
        <v>2111</v>
      </c>
      <c r="Y241" s="4" t="s">
        <v>2112</v>
      </c>
      <c r="Z241" s="4" t="s">
        <v>2113</v>
      </c>
      <c r="AA241" s="37" t="s">
        <v>2114</v>
      </c>
      <c r="AB241" s="4" t="s">
        <v>2115</v>
      </c>
      <c r="AC241" s="4"/>
      <c r="AD241" s="4"/>
      <c r="AE241" s="4"/>
      <c r="AF241" s="4"/>
    </row>
    <row r="242" spans="1:32" x14ac:dyDescent="0.25">
      <c r="A242" s="4" t="str">
        <f t="shared" si="28"/>
        <v>'1629732564807962-9581939-78-01',</v>
      </c>
      <c r="B242" s="4" t="str">
        <f t="shared" si="29"/>
        <v>'1629732581004416-9581950-96-01',</v>
      </c>
      <c r="C242" s="15" t="s">
        <v>2130</v>
      </c>
      <c r="D242" s="5" t="s">
        <v>1972</v>
      </c>
      <c r="E242" s="5" t="s">
        <v>2131</v>
      </c>
      <c r="F242" s="5" t="s">
        <v>2123</v>
      </c>
      <c r="G242" s="29"/>
      <c r="H242" s="5"/>
      <c r="I242" s="22" t="s">
        <v>2130</v>
      </c>
      <c r="J242" s="16"/>
      <c r="K242" s="25"/>
      <c r="L242" s="16" t="s">
        <v>809</v>
      </c>
      <c r="M242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('1629732564862151-9581912-84-01') AND EXECUTION_TYPE = 'STAGE1_EXECUTION';</v>
      </c>
      <c r="N242" s="16" t="str">
        <f t="shared" si="32"/>
        <v>SELECT EXECUTION_TYPE,SERVICE_INTERCHANGE_ID,CIRCI_KEY,EXECUTION_STATE FROM CIFX.TB_SERVICE_EXECUTION_CONTROL WHERE SERVICE_EXECUTION_CONTROL_ID IN ('1629732564862151-9581912-84-01') AND EXECUTION_TYPE = 'STAGE1_EXECUTION';</v>
      </c>
      <c r="O242" s="43" t="str">
        <f t="shared" si="30"/>
        <v>發送異動通知電文，未回傳resultCode!!,回傳代碼描述:,錯誤訊息:[]</v>
      </c>
      <c r="P242" s="7" t="str">
        <f t="shared" si="31"/>
        <v>請協助處理</v>
      </c>
      <c r="Q242" s="7"/>
      <c r="R242" s="7"/>
      <c r="S242" s="16"/>
      <c r="T242" s="4" t="s">
        <v>2116</v>
      </c>
      <c r="U242" s="4" t="s">
        <v>17</v>
      </c>
      <c r="V242" s="4" t="s">
        <v>900</v>
      </c>
      <c r="W242" s="4"/>
      <c r="X242" s="4" t="s">
        <v>2117</v>
      </c>
      <c r="Y242" s="4" t="s">
        <v>2118</v>
      </c>
      <c r="Z242" s="4" t="s">
        <v>2119</v>
      </c>
      <c r="AA242" s="37" t="s">
        <v>2120</v>
      </c>
      <c r="AB242" s="4" t="s">
        <v>1976</v>
      </c>
      <c r="AC242" s="4"/>
      <c r="AD242" s="4"/>
      <c r="AE242" s="4"/>
      <c r="AF242" s="4"/>
    </row>
    <row r="243" spans="1:32" ht="33" x14ac:dyDescent="0.25">
      <c r="A243" s="45" t="str">
        <f t="shared" si="28"/>
        <v>'1629934212831073-0037370-99-01',</v>
      </c>
      <c r="B243" s="4" t="str">
        <f t="shared" si="29"/>
        <v>'1629934215129758-0037429-94-01',</v>
      </c>
      <c r="C243" s="15" t="s">
        <v>2331</v>
      </c>
      <c r="D243" s="5" t="s">
        <v>2144</v>
      </c>
      <c r="E243" s="5" t="s">
        <v>2308</v>
      </c>
      <c r="F243" s="5" t="s">
        <v>2330</v>
      </c>
      <c r="G243" s="29"/>
      <c r="H243" s="5"/>
      <c r="I243" s="22" t="s">
        <v>2308</v>
      </c>
      <c r="J243" s="16"/>
      <c r="K243" s="25"/>
      <c r="L243" s="16" t="s">
        <v>289</v>
      </c>
      <c r="M243" s="16" t="str">
        <f t="shared" si="27"/>
        <v>UPDATE CIFX.TB_SERVICE_EXECUTION_CONTROL SET EXECUTION_STATE = 'EXECUTED', ap_server_EXECUTING = NULL WHERE SERVICE_EXECUTION_CONTROL_ID IN ('1629934212834917-0037370-03-01') and execution_type = 'STAGE1_EXECUTION';</v>
      </c>
      <c r="N243" s="16" t="str">
        <f t="shared" si="32"/>
        <v>SELECT EXECUTION_TYPE,SERVICE_INTERCHANGE_ID,CIRCI_KEY,EXECUTION_STATE FROM CIFX.TB_SERVICE_EXECUTION_CONTROL WHERE SERVICE_EXECUTION_CONTROL_ID IN ('1629934212834917-0037370-03-01') AND EXECUTION_TYPE = 'STAGE1_EXECUTION';</v>
      </c>
      <c r="O243" s="7" t="str">
        <f t="shared" si="30"/>
        <v>發送異動通知電文給CIP回傳錯誤碼:UP0090_00_V201,錯誤碼訊息:必要性檢核錯誤,錯誤訊息:[檢查有誤，顧客ID已停用]</v>
      </c>
      <c r="P243" s="7" t="str">
        <f t="shared" si="31"/>
        <v>請協助處理</v>
      </c>
      <c r="Q243" s="7"/>
      <c r="R243" s="7"/>
      <c r="S243" s="16"/>
      <c r="T243" s="4" t="s">
        <v>2145</v>
      </c>
      <c r="U243" s="4" t="s">
        <v>17</v>
      </c>
      <c r="V243" s="4" t="s">
        <v>1</v>
      </c>
      <c r="W243" s="4"/>
      <c r="X243" s="4" t="s">
        <v>2138</v>
      </c>
      <c r="Y243" s="4" t="s">
        <v>2139</v>
      </c>
      <c r="Z243" s="4" t="s">
        <v>2140</v>
      </c>
      <c r="AA243" s="37" t="s">
        <v>2143</v>
      </c>
      <c r="AB243" s="4" t="s">
        <v>2137</v>
      </c>
      <c r="AC243" s="4"/>
      <c r="AD243" s="4" t="s">
        <v>2141</v>
      </c>
      <c r="AE243" s="32" t="s">
        <v>2142</v>
      </c>
      <c r="AF243" s="4"/>
    </row>
    <row r="244" spans="1:32" x14ac:dyDescent="0.25">
      <c r="A244" s="4" t="str">
        <f t="shared" si="28"/>
        <v>'1629934212831073-0037370-99-01',</v>
      </c>
      <c r="B244" s="4" t="str">
        <f t="shared" si="29"/>
        <v>'1629966728766586-0112645-86-01',</v>
      </c>
      <c r="C244" s="15" t="s">
        <v>2343</v>
      </c>
      <c r="D244" s="5" t="s">
        <v>2342</v>
      </c>
      <c r="E244" s="5" t="s">
        <v>2307</v>
      </c>
      <c r="F244" s="5" t="s">
        <v>2341</v>
      </c>
      <c r="G244" s="29"/>
      <c r="H244" s="5"/>
      <c r="I244" s="22" t="s">
        <v>2308</v>
      </c>
      <c r="J244" s="16"/>
      <c r="K244" s="25"/>
      <c r="L244" s="16" t="s">
        <v>289</v>
      </c>
      <c r="M244" s="16" t="str">
        <f t="shared" si="27"/>
        <v>UPDATE CIFX.TB_SERVICE_EXECUTION_CONTROL SET EXECUTION_STATE = 'EXECUTED', ap_server_EXECUTING = NULL WHERE SERVICE_EXECUTION_CONTROL_ID IN ('1629934212834917-0037370-03-01') and execution_type = 'STAGE1_EXECUTION';</v>
      </c>
      <c r="N244" s="16" t="str">
        <f t="shared" si="32"/>
        <v>SELECT EXECUTION_TYPE,SERVICE_INTERCHANGE_ID,CIRCI_KEY,EXECUTION_STATE FROM CIFX.TB_SERVICE_EXECUTION_CONTROL WHERE SERVICE_EXECUTION_CONTROL_ID IN ('1629934212834917-0037370-03-01') AND EXECUTION_TYPE = 'STAGE1_EXECUTION';</v>
      </c>
      <c r="O244" s="7" t="str">
        <f t="shared" si="30"/>
        <v>發送異動通知電文給CIP回傳錯誤碼:UP0090_00_V201,錯誤碼訊息:必要性檢核錯誤,錯誤訊息:[檢查有誤，顧客ID已停用]</v>
      </c>
      <c r="P244" s="7" t="str">
        <f t="shared" si="31"/>
        <v>請協助處理</v>
      </c>
      <c r="Q244" s="7"/>
      <c r="R244" s="7"/>
      <c r="S244" s="16"/>
      <c r="T244" s="4" t="s">
        <v>2148</v>
      </c>
      <c r="U244" s="4" t="s">
        <v>17</v>
      </c>
      <c r="V244" s="4" t="s">
        <v>1</v>
      </c>
      <c r="W244" s="4"/>
      <c r="X244" s="37" t="s">
        <v>2138</v>
      </c>
      <c r="Y244" s="4" t="s">
        <v>2139</v>
      </c>
      <c r="Z244" s="4" t="s">
        <v>2146</v>
      </c>
      <c r="AA244" s="37" t="s">
        <v>1923</v>
      </c>
      <c r="AB244" s="4" t="s">
        <v>2137</v>
      </c>
      <c r="AC244" s="4"/>
      <c r="AD244" s="4" t="s">
        <v>2147</v>
      </c>
      <c r="AE244" s="4"/>
      <c r="AF244" s="4"/>
    </row>
    <row r="245" spans="1:32" x14ac:dyDescent="0.25">
      <c r="A245" s="4" t="str">
        <f>"'"&amp;X245&amp;"',"</f>
        <v>'1629934212912611-0037370-44-01',</v>
      </c>
      <c r="B245" s="4" t="str">
        <f>"'"&amp;T245&amp;"',"</f>
        <v>'1629971461329140-0112197-73-02',</v>
      </c>
      <c r="C245" s="15" t="s">
        <v>2343</v>
      </c>
      <c r="D245" s="5" t="s">
        <v>2310</v>
      </c>
      <c r="E245" s="5" t="s">
        <v>2308</v>
      </c>
      <c r="F245" s="5" t="s">
        <v>2340</v>
      </c>
      <c r="G245" s="29"/>
      <c r="H245" s="5"/>
      <c r="I245" s="22" t="s">
        <v>2337</v>
      </c>
      <c r="J245" s="16"/>
      <c r="K245" s="25"/>
      <c r="L245" s="16" t="s">
        <v>289</v>
      </c>
      <c r="M245" s="16" t="str">
        <f>IF($L245&lt;&gt;"",IF($L245="清除同步失敗註記","UPDATE CIFX.TB_SERVICE_EXECUTION_CONTROL SET EXECUTION_STATE = "&amp;"'"&amp;"EXECUTED"&amp;"'"&amp;", ap_server_EXECUTING = NULL WHERE SERVICE_EXECUTION_CONTROL_ID IN ("&amp;"'"&amp;$Y245&amp;"'"&amp;") and execution_type = "&amp;"'"&amp;"STAGE1_EXECUTION"&amp;"';"&amp;"",IF($L245="重送CIP電文","UPDATE CIFX.TB_SERVICE_EXECUTION_CONTROL SET EXECUTION_STATE = "&amp;"'"&amp;"TO_EXECUTE"&amp;"'"&amp;",RESULT_CODE = NULL,EXECUTING_TIMESTAMP = null,EXECUTED_TIMESTAMP = null,ap_server_EXECUTING = NULL WHERE SERVICE_EXECUTION_CONTROL_ID IN ("&amp;"'"&amp;$Y245&amp;"'"&amp;") AND EXECUTION_TYPE = "&amp;"'"&amp;"STAGE1_EXECUTION"&amp;"'"&amp;";","沒有對應")),"")</f>
        <v>UPDATE CIFX.TB_SERVICE_EXECUTION_CONTROL SET EXECUTION_STATE = 'EXECUTED', ap_server_EXECUTING = NULL WHERE SERVICE_EXECUTION_CONTROL_ID IN ('1629934212914087-0037370-47-01') and execution_type = 'STAGE1_EXECUTION';</v>
      </c>
      <c r="N245" s="16" t="str">
        <f>IF($L245&lt;&gt;"","SELECT EXECUTION_TYPE,SERVICE_INTERCHANGE_ID,CIRCI_KEY,EXECUTION_STATE FROM CIFX.TB_SERVICE_EXECUTION_CONTROL WHERE SERVICE_EXECUTION_CONTROL_ID IN ("&amp;"'"&amp;$Y245&amp;"'"&amp;") AND EXECUTION_TYPE = "&amp;"'"&amp;"STAGE1_EXECUTION"&amp;"'"&amp;";","")</f>
        <v>SELECT EXECUTION_TYPE,SERVICE_INTERCHANGE_ID,CIRCI_KEY,EXECUTION_STATE FROM CIFX.TB_SERVICE_EXECUTION_CONTROL WHERE SERVICE_EXECUTION_CONTROL_ID IN ('1629934212914087-0037370-47-01') AND EXECUTION_TYPE = 'STAGE1_EXECUTION';</v>
      </c>
      <c r="O245" s="7" t="str">
        <f>IF(V245&lt;&gt;"",V245,"")</f>
        <v>發送異動通知電文給CIP回傳錯誤碼:UP0090_00_V201,錯誤碼訊息:必要性檢核錯誤,錯誤訊息:[檢查有誤，顧客ID已停用]</v>
      </c>
      <c r="P245" s="7" t="str">
        <f>IF(O245="","","請協助處理")</f>
        <v>請協助處理</v>
      </c>
      <c r="Q245" s="7"/>
      <c r="R245" s="7"/>
      <c r="S245" s="16"/>
      <c r="T245" s="4" t="s">
        <v>2192</v>
      </c>
      <c r="U245" s="4" t="s">
        <v>17</v>
      </c>
      <c r="V245" s="4" t="s">
        <v>2191</v>
      </c>
      <c r="W245" s="4"/>
      <c r="X245" s="4" t="s">
        <v>2179</v>
      </c>
      <c r="Y245" s="4" t="s">
        <v>2180</v>
      </c>
      <c r="Z245" s="4" t="s">
        <v>2181</v>
      </c>
      <c r="AA245" s="37" t="s">
        <v>2309</v>
      </c>
      <c r="AB245" s="4" t="s">
        <v>2137</v>
      </c>
      <c r="AC245" s="4" t="s">
        <v>2318</v>
      </c>
      <c r="AD245" s="4" t="s">
        <v>2316</v>
      </c>
      <c r="AE245" s="4"/>
      <c r="AF245" s="4"/>
    </row>
    <row r="246" spans="1:32" x14ac:dyDescent="0.25">
      <c r="A246" s="45" t="str">
        <f>"'"&amp;X246&amp;"',"</f>
        <v>'1629745220940457-9623551-58-02',</v>
      </c>
      <c r="B246" s="4" t="str">
        <f>"'"&amp;T246&amp;"',"</f>
        <v>'1629745237041126-9622579-58-02',</v>
      </c>
      <c r="C246" s="15" t="s">
        <v>2339</v>
      </c>
      <c r="D246" s="5" t="s">
        <v>2199</v>
      </c>
      <c r="E246" s="5" t="s">
        <v>2339</v>
      </c>
      <c r="F246" s="5" t="s">
        <v>2345</v>
      </c>
      <c r="G246" s="29"/>
      <c r="H246" s="5"/>
      <c r="I246" s="22" t="s">
        <v>2339</v>
      </c>
      <c r="J246" s="16"/>
      <c r="K246" s="25"/>
      <c r="L246" s="16" t="s">
        <v>289</v>
      </c>
      <c r="M246" s="16" t="str">
        <f>IF($L246&lt;&gt;"",IF($L246="清除同步失敗註記","UPDATE CIFX.TB_SERVICE_EXECUTION_CONTROL SET EXECUTION_STATE = "&amp;"'"&amp;"EXECUTED"&amp;"'"&amp;", ap_server_EXECUTING = NULL WHERE SERVICE_EXECUTION_CONTROL_ID IN ("&amp;"'"&amp;$Y246&amp;"'"&amp;") and execution_type = "&amp;"'"&amp;"STAGE1_EXECUTION"&amp;"';"&amp;"",IF($L246="重送CIP電文","UPDATE CIFX.TB_SERVICE_EXECUTION_CONTROL SET EXECUTION_STATE = "&amp;"'"&amp;"TO_EXECUTE"&amp;"'"&amp;",RESULT_CODE = NULL,EXECUTING_TIMESTAMP = null,EXECUTED_TIMESTAMP = null,ap_server_EXECUTING = NULL WHERE SERVICE_EXECUTION_CONTROL_ID IN ("&amp;"'"&amp;$Y246&amp;"'"&amp;") AND EXECUTION_TYPE = "&amp;"'"&amp;"STAGE1_EXECUTION"&amp;"'"&amp;";","沒有對應")),"")</f>
        <v>UPDATE CIFX.TB_SERVICE_EXECUTION_CONTROL SET EXECUTION_STATE = 'EXECUTED', ap_server_EXECUTING = NULL WHERE SERVICE_EXECUTION_CONTROL_ID IN ('1629745220961658-9623551-69-02') and execution_type = 'STAGE1_EXECUTION';</v>
      </c>
      <c r="N246" s="16" t="str">
        <f>IF($L246&lt;&gt;"","SELECT EXECUTION_TYPE,SERVICE_INTERCHANGE_ID,CIRCI_KEY,EXECUTION_STATE FROM CIFX.TB_SERVICE_EXECUTION_CONTROL WHERE SERVICE_EXECUTION_CONTROL_ID IN ("&amp;"'"&amp;$Y246&amp;"'"&amp;") AND EXECUTION_TYPE = "&amp;"'"&amp;"STAGE1_EXECUTION"&amp;"'"&amp;";","")</f>
        <v>SELECT EXECUTION_TYPE,SERVICE_INTERCHANGE_ID,CIRCI_KEY,EXECUTION_STATE FROM CIFX.TB_SERVICE_EXECUTION_CONTROL WHERE SERVICE_EXECUTION_CONTROL_ID IN ('1629745220961658-9623551-69-02') AND EXECUTION_TYPE = 'STAGE1_EXECUTION';</v>
      </c>
      <c r="O246" s="7" t="str">
        <f>IF(V246&lt;&gt;"",V246,"")</f>
        <v>發送異動通知電文給CIP回傳錯誤碼:UP0090_00_V201,錯誤碼訊息:必要性檢核錯誤,錯誤訊息:[檢查有誤，顧客ID已停用]</v>
      </c>
      <c r="P246" s="7" t="str">
        <f>IF(O246="","","請協助處理")</f>
        <v>請協助處理</v>
      </c>
      <c r="Q246" s="7"/>
      <c r="R246" s="7"/>
      <c r="S246" s="16"/>
      <c r="T246" s="4" t="s">
        <v>2193</v>
      </c>
      <c r="U246" s="4" t="s">
        <v>17</v>
      </c>
      <c r="V246" s="4" t="s">
        <v>1</v>
      </c>
      <c r="W246" s="4"/>
      <c r="X246" s="4" t="s">
        <v>2194</v>
      </c>
      <c r="Y246" s="4" t="s">
        <v>2195</v>
      </c>
      <c r="Z246" s="4" t="s">
        <v>2196</v>
      </c>
      <c r="AA246" s="37" t="s">
        <v>2319</v>
      </c>
      <c r="AB246" s="4" t="s">
        <v>2197</v>
      </c>
      <c r="AC246" s="4" t="s">
        <v>2315</v>
      </c>
      <c r="AD246" s="4" t="s">
        <v>2317</v>
      </c>
      <c r="AE246" s="4"/>
      <c r="AF246" s="4"/>
    </row>
    <row r="247" spans="1:32" x14ac:dyDescent="0.25">
      <c r="A247" s="4" t="str">
        <f t="shared" si="28"/>
        <v>'1629968841264376-0108590-94-02',</v>
      </c>
      <c r="B247" s="4" t="str">
        <f t="shared" si="29"/>
        <v>'1629968841483523-0108297-62-02',</v>
      </c>
      <c r="C247" s="15" t="s">
        <v>2321</v>
      </c>
      <c r="D247" s="5" t="s">
        <v>2273</v>
      </c>
      <c r="E247" s="5" t="s">
        <v>2308</v>
      </c>
      <c r="F247" s="5" t="s">
        <v>2320</v>
      </c>
      <c r="G247" s="29"/>
      <c r="H247" s="5"/>
      <c r="I247" s="22" t="s">
        <v>2306</v>
      </c>
      <c r="J247" s="16"/>
      <c r="K247" s="25"/>
      <c r="L247" s="16" t="s">
        <v>809</v>
      </c>
      <c r="M247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('1629968841305329-0108590-47-02') AND EXECUTION_TYPE = 'STAGE1_EXECUTION';</v>
      </c>
      <c r="N247" s="16" t="str">
        <f t="shared" si="32"/>
        <v>SELECT EXECUTION_TYPE,SERVICE_INTERCHANGE_ID,CIRCI_KEY,EXECUTION_STATE FROM CIFX.TB_SERVICE_EXECUTION_CONTROL WHERE SERVICE_EXECUTION_CONTROL_ID IN ('1629968841305329-0108590-47-02') AND EXECUTION_TYPE = 'STAGE1_EXECUTION';</v>
      </c>
      <c r="O247" s="7" t="str">
        <f t="shared" si="30"/>
        <v>發送異動通知電文給CIP回傳錯誤碼:UP0090_00_V501,錯誤碼訊息:正確性檢核錯誤,錯誤訊息:[agreeCrossSellingFlag該系統無寫入權限]</v>
      </c>
      <c r="P247" s="7" t="str">
        <f t="shared" si="31"/>
        <v>請協助處理</v>
      </c>
      <c r="Q247" s="7" t="s">
        <v>162</v>
      </c>
      <c r="R247" s="7"/>
      <c r="S247" s="16" t="s">
        <v>299</v>
      </c>
      <c r="T247" s="4" t="s">
        <v>2294</v>
      </c>
      <c r="U247" s="4" t="s">
        <v>17</v>
      </c>
      <c r="V247" s="4" t="s">
        <v>2149</v>
      </c>
      <c r="W247" s="4"/>
      <c r="X247" s="4" t="s">
        <v>2303</v>
      </c>
      <c r="Y247" s="4" t="s">
        <v>2150</v>
      </c>
      <c r="Z247" s="4" t="s">
        <v>2151</v>
      </c>
      <c r="AA247" s="37" t="s">
        <v>2198</v>
      </c>
      <c r="AB247" s="4" t="s">
        <v>2154</v>
      </c>
      <c r="AC247" s="4"/>
      <c r="AD247" s="4" t="s">
        <v>2153</v>
      </c>
      <c r="AE247" s="4"/>
      <c r="AF247" s="4"/>
    </row>
    <row r="248" spans="1:32" x14ac:dyDescent="0.25">
      <c r="A248" s="4" t="str">
        <f t="shared" si="28"/>
        <v>'1629970462976500-0110333-52-02',</v>
      </c>
      <c r="B248" s="4" t="str">
        <f t="shared" si="29"/>
        <v>'1629970463176766-0116580-66-01',</v>
      </c>
      <c r="C248" s="15" t="s">
        <v>2321</v>
      </c>
      <c r="D248" s="5" t="s">
        <v>2273</v>
      </c>
      <c r="E248" s="5" t="s">
        <v>2308</v>
      </c>
      <c r="F248" s="5" t="s">
        <v>2320</v>
      </c>
      <c r="G248" s="29"/>
      <c r="H248" s="5"/>
      <c r="I248" s="22" t="s">
        <v>2306</v>
      </c>
      <c r="J248" s="16"/>
      <c r="K248" s="25"/>
      <c r="L248" s="16" t="s">
        <v>809</v>
      </c>
      <c r="M248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('1629970463054171-0110372-64-02') AND EXECUTION_TYPE = 'STAGE1_EXECUTION';</v>
      </c>
      <c r="N248" s="16" t="str">
        <f t="shared" si="32"/>
        <v>SELECT EXECUTION_TYPE,SERVICE_INTERCHANGE_ID,CIRCI_KEY,EXECUTION_STATE FROM CIFX.TB_SERVICE_EXECUTION_CONTROL WHERE SERVICE_EXECUTION_CONTROL_ID IN ('1629970463054171-0110372-64-02') AND EXECUTION_TYPE = 'STAGE1_EXECUTION';</v>
      </c>
      <c r="O248" s="7" t="str">
        <f t="shared" si="30"/>
        <v>發送異動通知電文給CIP回傳錯誤碼:UP0090_00_V501,錯誤碼訊息:正確性檢核錯誤,錯誤訊息:[agreeCrossSellingFlag該系統無寫入權限]</v>
      </c>
      <c r="P248" s="7" t="str">
        <f t="shared" si="31"/>
        <v>請協助處理</v>
      </c>
      <c r="Q248" s="7"/>
      <c r="R248" s="7"/>
      <c r="S248" s="16"/>
      <c r="T248" s="4" t="s">
        <v>2295</v>
      </c>
      <c r="U248" s="4" t="s">
        <v>17</v>
      </c>
      <c r="V248" s="4" t="s">
        <v>2149</v>
      </c>
      <c r="W248" s="4"/>
      <c r="X248" s="4" t="s">
        <v>2155</v>
      </c>
      <c r="Y248" s="4" t="s">
        <v>2156</v>
      </c>
      <c r="Z248" s="4" t="s">
        <v>2157</v>
      </c>
      <c r="AA248" s="37" t="s">
        <v>2304</v>
      </c>
      <c r="AB248" s="4" t="s">
        <v>2241</v>
      </c>
      <c r="AC248" s="4"/>
      <c r="AD248" s="4" t="s">
        <v>2242</v>
      </c>
      <c r="AE248" s="4"/>
      <c r="AF248" s="4"/>
    </row>
    <row r="249" spans="1:32" x14ac:dyDescent="0.25">
      <c r="A249" s="4" t="str">
        <f t="shared" si="28"/>
        <v>'1629970430228117-0108740-46-02',</v>
      </c>
      <c r="B249" s="4" t="str">
        <f t="shared" si="29"/>
        <v>'1629970430480593-0116580-29-01',</v>
      </c>
      <c r="C249" s="15" t="s">
        <v>2321</v>
      </c>
      <c r="D249" s="5" t="s">
        <v>2273</v>
      </c>
      <c r="E249" s="5" t="s">
        <v>2308</v>
      </c>
      <c r="F249" s="5" t="s">
        <v>2320</v>
      </c>
      <c r="G249" s="29"/>
      <c r="H249" s="5"/>
      <c r="I249" s="22" t="s">
        <v>2306</v>
      </c>
      <c r="J249" s="16"/>
      <c r="K249" s="25"/>
      <c r="L249" s="16" t="s">
        <v>809</v>
      </c>
      <c r="M249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('1629970430261177-0108740-19-02') AND EXECUTION_TYPE = 'STAGE1_EXECUTION';</v>
      </c>
      <c r="N249" s="16" t="str">
        <f t="shared" si="32"/>
        <v>SELECT EXECUTION_TYPE,SERVICE_INTERCHANGE_ID,CIRCI_KEY,EXECUTION_STATE FROM CIFX.TB_SERVICE_EXECUTION_CONTROL WHERE SERVICE_EXECUTION_CONTROL_ID IN ('1629970430261177-0108740-19-02') AND EXECUTION_TYPE = 'STAGE1_EXECUTION';</v>
      </c>
      <c r="O249" s="7" t="str">
        <f t="shared" si="30"/>
        <v>發送異動通知電文給CIP回傳錯誤碼:UP0090_00_V501,錯誤碼訊息:正確性檢核錯誤,錯誤訊息:[agreeCrossSellingFlag該系統無寫入權限]</v>
      </c>
      <c r="P249" s="7" t="str">
        <f t="shared" si="31"/>
        <v>請協助處理</v>
      </c>
      <c r="Q249" s="7"/>
      <c r="R249" s="7"/>
      <c r="S249" s="16"/>
      <c r="T249" s="4" t="s">
        <v>2296</v>
      </c>
      <c r="U249" s="4" t="s">
        <v>17</v>
      </c>
      <c r="V249" s="4" t="s">
        <v>2200</v>
      </c>
      <c r="W249" s="4"/>
      <c r="X249" s="4" t="s">
        <v>2158</v>
      </c>
      <c r="Y249" s="4" t="s">
        <v>2159</v>
      </c>
      <c r="Z249" s="4" t="s">
        <v>2160</v>
      </c>
      <c r="AA249" s="37" t="s">
        <v>2161</v>
      </c>
      <c r="AB249" s="4" t="s">
        <v>2152</v>
      </c>
      <c r="AC249" s="4"/>
      <c r="AD249" s="4"/>
      <c r="AE249" s="4"/>
      <c r="AF249" s="4"/>
    </row>
    <row r="250" spans="1:32" x14ac:dyDescent="0.25">
      <c r="A250" s="4" t="str">
        <f t="shared" si="28"/>
        <v>'1629969806038381-0114742-43-01',</v>
      </c>
      <c r="B250" s="4" t="str">
        <f t="shared" si="29"/>
        <v>'1629969806255138-0116307-48-01',</v>
      </c>
      <c r="C250" s="15" t="s">
        <v>2321</v>
      </c>
      <c r="D250" s="5" t="s">
        <v>2273</v>
      </c>
      <c r="E250" s="5" t="s">
        <v>2308</v>
      </c>
      <c r="F250" s="5" t="s">
        <v>2320</v>
      </c>
      <c r="G250" s="29"/>
      <c r="H250" s="5"/>
      <c r="I250" s="22" t="s">
        <v>2306</v>
      </c>
      <c r="J250" s="16"/>
      <c r="K250" s="25"/>
      <c r="L250" s="16" t="s">
        <v>809</v>
      </c>
      <c r="M250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('1629969806060923-0114742-98-01') AND EXECUTION_TYPE = 'STAGE1_EXECUTION';</v>
      </c>
      <c r="N250" s="16" t="str">
        <f t="shared" si="32"/>
        <v>SELECT EXECUTION_TYPE,SERVICE_INTERCHANGE_ID,CIRCI_KEY,EXECUTION_STATE FROM CIFX.TB_SERVICE_EXECUTION_CONTROL WHERE SERVICE_EXECUTION_CONTROL_ID IN ('1629969806060923-0114742-98-01') AND EXECUTION_TYPE = 'STAGE1_EXECUTION';</v>
      </c>
      <c r="O250" s="7" t="str">
        <f t="shared" si="30"/>
        <v>發送異動通知電文給CIP回傳錯誤碼:UP0090_00_V501,錯誤碼訊息:正確性檢核錯誤,錯誤訊息:[agreeCrossSellingFlag該系統無寫入權限]</v>
      </c>
      <c r="P250" s="7" t="str">
        <f t="shared" si="31"/>
        <v>請協助處理</v>
      </c>
      <c r="Q250" s="7"/>
      <c r="R250" s="7"/>
      <c r="S250" s="16"/>
      <c r="T250" s="4" t="s">
        <v>2297</v>
      </c>
      <c r="U250" s="4" t="s">
        <v>17</v>
      </c>
      <c r="V250" s="4" t="s">
        <v>2149</v>
      </c>
      <c r="W250" s="4"/>
      <c r="X250" s="4" t="s">
        <v>2162</v>
      </c>
      <c r="Y250" s="4" t="s">
        <v>2163</v>
      </c>
      <c r="Z250" s="4" t="s">
        <v>2164</v>
      </c>
      <c r="AA250" s="37" t="s">
        <v>2165</v>
      </c>
      <c r="AB250" s="4" t="s">
        <v>2152</v>
      </c>
      <c r="AC250" s="4"/>
      <c r="AD250" s="4"/>
      <c r="AE250" s="4"/>
      <c r="AF250" s="4"/>
    </row>
    <row r="251" spans="1:32" x14ac:dyDescent="0.25">
      <c r="A251" s="4" t="str">
        <f t="shared" si="28"/>
        <v>'1629972145605960-0118404-01-01',</v>
      </c>
      <c r="B251" s="4" t="str">
        <f t="shared" si="29"/>
        <v>'1629972145799269-0118408-31-01',</v>
      </c>
      <c r="C251" s="15" t="s">
        <v>2321</v>
      </c>
      <c r="D251" s="5" t="s">
        <v>2273</v>
      </c>
      <c r="E251" s="5" t="s">
        <v>2308</v>
      </c>
      <c r="F251" s="5" t="s">
        <v>2320</v>
      </c>
      <c r="G251" s="29"/>
      <c r="H251" s="5"/>
      <c r="I251" s="22" t="s">
        <v>2306</v>
      </c>
      <c r="J251" s="16"/>
      <c r="K251" s="25"/>
      <c r="L251" s="16" t="s">
        <v>809</v>
      </c>
      <c r="M251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('1629972145688496-0112281-08-02') AND EXECUTION_TYPE = 'STAGE1_EXECUTION';</v>
      </c>
      <c r="N251" s="16" t="str">
        <f t="shared" si="32"/>
        <v>SELECT EXECUTION_TYPE,SERVICE_INTERCHANGE_ID,CIRCI_KEY,EXECUTION_STATE FROM CIFX.TB_SERVICE_EXECUTION_CONTROL WHERE SERVICE_EXECUTION_CONTROL_ID IN ('1629972145688496-0112281-08-02') AND EXECUTION_TYPE = 'STAGE1_EXECUTION';</v>
      </c>
      <c r="O251" s="7" t="str">
        <f t="shared" si="30"/>
        <v>發送異動通知電文給CIP回傳錯誤碼:UP0090_00_V501,錯誤碼訊息:正確性檢核錯誤,錯誤訊息:[agreeCrossSellingFlag該系統無寫入權限]</v>
      </c>
      <c r="P251" s="7" t="str">
        <f t="shared" si="31"/>
        <v>請協助處理</v>
      </c>
      <c r="Q251" s="7"/>
      <c r="R251" s="7"/>
      <c r="S251" s="16"/>
      <c r="T251" s="4" t="s">
        <v>2298</v>
      </c>
      <c r="U251" s="4" t="s">
        <v>17</v>
      </c>
      <c r="V251" s="4" t="s">
        <v>2149</v>
      </c>
      <c r="W251" s="4"/>
      <c r="X251" s="4" t="s">
        <v>2166</v>
      </c>
      <c r="Y251" s="4" t="s">
        <v>2167</v>
      </c>
      <c r="Z251" s="4" t="s">
        <v>2168</v>
      </c>
      <c r="AA251" s="37" t="s">
        <v>2169</v>
      </c>
      <c r="AB251" s="4" t="s">
        <v>2013</v>
      </c>
      <c r="AC251" s="4"/>
      <c r="AD251" s="4"/>
      <c r="AE251" s="4"/>
      <c r="AF251" s="4"/>
    </row>
    <row r="252" spans="1:32" x14ac:dyDescent="0.25">
      <c r="A252" s="4" t="str">
        <f t="shared" si="28"/>
        <v>'1629971991124908-0116737-02-01',</v>
      </c>
      <c r="B252" s="4" t="str">
        <f t="shared" si="29"/>
        <v>'1629971991313063-0118403-88-01',</v>
      </c>
      <c r="C252" s="15" t="s">
        <v>2321</v>
      </c>
      <c r="D252" s="5" t="s">
        <v>2273</v>
      </c>
      <c r="E252" s="5" t="s">
        <v>2308</v>
      </c>
      <c r="F252" s="5" t="s">
        <v>2320</v>
      </c>
      <c r="G252" s="29"/>
      <c r="H252" s="5"/>
      <c r="I252" s="22" t="s">
        <v>2306</v>
      </c>
      <c r="J252" s="16"/>
      <c r="K252" s="25"/>
      <c r="L252" s="16" t="s">
        <v>809</v>
      </c>
      <c r="M252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('1629971991150156-0116737-74-01') AND EXECUTION_TYPE = 'STAGE1_EXECUTION';</v>
      </c>
      <c r="N252" s="16" t="str">
        <f t="shared" si="32"/>
        <v>SELECT EXECUTION_TYPE,SERVICE_INTERCHANGE_ID,CIRCI_KEY,EXECUTION_STATE FROM CIFX.TB_SERVICE_EXECUTION_CONTROL WHERE SERVICE_EXECUTION_CONTROL_ID IN ('1629971991150156-0116737-74-01') AND EXECUTION_TYPE = 'STAGE1_EXECUTION';</v>
      </c>
      <c r="O252" s="7" t="str">
        <f t="shared" si="30"/>
        <v>發送異動通知電文給CIP回傳錯誤碼:UP0090_00_V501,錯誤碼訊息:正確性檢核錯誤,錯誤訊息:[agreeCrossSellingFlag該系統無寫入權限]</v>
      </c>
      <c r="P252" s="7" t="str">
        <f t="shared" si="31"/>
        <v>請協助處理</v>
      </c>
      <c r="Q252" s="7"/>
      <c r="R252" s="7"/>
      <c r="S252" s="16"/>
      <c r="T252" s="4" t="s">
        <v>2299</v>
      </c>
      <c r="U252" s="4" t="s">
        <v>17</v>
      </c>
      <c r="V252" s="4" t="s">
        <v>2149</v>
      </c>
      <c r="W252" s="4"/>
      <c r="X252" s="4" t="s">
        <v>2170</v>
      </c>
      <c r="Y252" s="4" t="s">
        <v>2171</v>
      </c>
      <c r="Z252" s="4" t="s">
        <v>2172</v>
      </c>
      <c r="AA252" s="37" t="s">
        <v>2173</v>
      </c>
      <c r="AB252" s="4" t="s">
        <v>2152</v>
      </c>
      <c r="AC252" s="4"/>
      <c r="AD252" s="4"/>
      <c r="AE252" s="4"/>
      <c r="AF252" s="4"/>
    </row>
    <row r="253" spans="1:32" x14ac:dyDescent="0.25">
      <c r="A253" s="4" t="str">
        <f t="shared" si="28"/>
        <v>'1629971562474324-0118267-74-01',</v>
      </c>
      <c r="B253" s="4" t="str">
        <f t="shared" si="29"/>
        <v>'1629971562707603-0112147-01-02',</v>
      </c>
      <c r="C253" s="15" t="s">
        <v>2321</v>
      </c>
      <c r="D253" s="5" t="s">
        <v>2273</v>
      </c>
      <c r="E253" s="5" t="s">
        <v>2308</v>
      </c>
      <c r="F253" s="5" t="s">
        <v>2320</v>
      </c>
      <c r="G253" s="29"/>
      <c r="H253" s="5"/>
      <c r="I253" s="22" t="s">
        <v>2306</v>
      </c>
      <c r="J253" s="16"/>
      <c r="K253" s="25"/>
      <c r="L253" s="16" t="s">
        <v>809</v>
      </c>
      <c r="M253" s="16" t="str">
        <f t="shared" si="27"/>
        <v>UPDATE CIFX.TB_SERVICE_EXECUTION_CONTROL SET EXECUTION_STATE = 'TO_EXECUTE',RESULT_CODE = NULL,EXECUTING_TIMESTAMP = null,EXECUTED_TIMESTAMP = null,ap_server_EXECUTING = NULL WHERE SERVICE_EXECUTION_CONTROL_ID IN ('1629971562542327-0118259-81-01') AND EXECUTION_TYPE = 'STAGE1_EXECUTION';</v>
      </c>
      <c r="N253" s="16" t="str">
        <f t="shared" si="32"/>
        <v>SELECT EXECUTION_TYPE,SERVICE_INTERCHANGE_ID,CIRCI_KEY,EXECUTION_STATE FROM CIFX.TB_SERVICE_EXECUTION_CONTROL WHERE SERVICE_EXECUTION_CONTROL_ID IN ('1629971562542327-0118259-81-01') AND EXECUTION_TYPE = 'STAGE1_EXECUTION';</v>
      </c>
      <c r="O253" s="7" t="str">
        <f t="shared" si="30"/>
        <v>發送異動通知電文給CIP回傳錯誤碼:UP0090_00_V501,錯誤碼訊息:正確性檢核錯誤,錯誤訊息:[agreeCrossSellingFlag該系統無寫入權限]</v>
      </c>
      <c r="P253" s="7" t="str">
        <f t="shared" si="31"/>
        <v>請協助處理</v>
      </c>
      <c r="Q253" s="7"/>
      <c r="R253" s="7"/>
      <c r="S253" s="16"/>
      <c r="T253" s="4" t="s">
        <v>2174</v>
      </c>
      <c r="U253" s="4" t="s">
        <v>17</v>
      </c>
      <c r="V253" s="4" t="s">
        <v>2149</v>
      </c>
      <c r="W253" s="4"/>
      <c r="X253" s="4" t="s">
        <v>2175</v>
      </c>
      <c r="Y253" s="4" t="s">
        <v>2176</v>
      </c>
      <c r="Z253" s="4" t="s">
        <v>2177</v>
      </c>
      <c r="AA253" s="37" t="s">
        <v>2178</v>
      </c>
      <c r="AB253" s="4" t="s">
        <v>2013</v>
      </c>
      <c r="AC253" s="4"/>
      <c r="AD253" s="4"/>
      <c r="AE253" s="4"/>
      <c r="AF253" s="4"/>
    </row>
    <row r="254" spans="1:32" x14ac:dyDescent="0.25">
      <c r="A254" s="4" t="str">
        <f t="shared" si="28"/>
        <v>'1629971072620485-0110604-88-02',</v>
      </c>
      <c r="B254" s="4" t="str">
        <f t="shared" si="29"/>
        <v>'1629971072813896-0110643-72-02',</v>
      </c>
      <c r="C254" s="15" t="s">
        <v>2321</v>
      </c>
      <c r="D254" s="5" t="s">
        <v>2273</v>
      </c>
      <c r="E254" s="5" t="s">
        <v>2308</v>
      </c>
      <c r="F254" s="5" t="s">
        <v>2320</v>
      </c>
      <c r="G254" s="29"/>
      <c r="H254" s="5"/>
      <c r="I254" s="22" t="s">
        <v>2306</v>
      </c>
      <c r="J254" s="16"/>
      <c r="K254" s="25"/>
      <c r="L254" s="16" t="s">
        <v>809</v>
      </c>
      <c r="M254" s="16" t="str">
        <f t="shared" ref="M254:M288" si="33">IF($L254&lt;&gt;"",IF($L254="清除同步失敗註記","UPDATE CIFX.TB_SERVICE_EXECUTION_CONTROL SET EXECUTION_STATE = "&amp;"'"&amp;"EXECUTED"&amp;"'"&amp;", ap_server_EXECUTING = NULL WHERE SERVICE_EXECUTION_CONTROL_ID IN ("&amp;"'"&amp;$Y254&amp;"'"&amp;") and execution_type = "&amp;"'"&amp;"STAGE1_EXECUTION"&amp;"';"&amp;"",IF($L254="重送CIP電文","UPDATE CIFX.TB_SERVICE_EXECUTION_CONTROL SET EXECUTION_STATE = "&amp;"'"&amp;"TO_EXECUTE"&amp;"'"&amp;",RESULT_CODE = NULL,EXECUTING_TIMESTAMP = null,EXECUTED_TIMESTAMP = null,ap_server_EXECUTING = NULL WHERE SERVICE_EXECUTION_CONTROL_ID IN ("&amp;"'"&amp;$Y254&amp;"'"&amp;") AND EXECUTION_TYPE = "&amp;"'"&amp;"STAGE1_EXECUTION"&amp;"'"&amp;";","沒有對應")),"")</f>
        <v>UPDATE CIFX.TB_SERVICE_EXECUTION_CONTROL SET EXECUTION_STATE = 'TO_EXECUTE',RESULT_CODE = NULL,EXECUTING_TIMESTAMP = null,EXECUTED_TIMESTAMP = null,ap_server_EXECUTING = NULL WHERE SERVICE_EXECUTION_CONTROL_ID IN ('1629971072643038-0110604-62-02') AND EXECUTION_TYPE = 'STAGE1_EXECUTION';</v>
      </c>
      <c r="N254" s="16" t="str">
        <f t="shared" si="32"/>
        <v>SELECT EXECUTION_TYPE,SERVICE_INTERCHANGE_ID,CIRCI_KEY,EXECUTION_STATE FROM CIFX.TB_SERVICE_EXECUTION_CONTROL WHERE SERVICE_EXECUTION_CONTROL_ID IN ('1629971072643038-0110604-62-02') AND EXECUTION_TYPE = 'STAGE1_EXECUTION';</v>
      </c>
      <c r="O254" s="7" t="str">
        <f t="shared" si="30"/>
        <v>發送異動通知電文給CIP回傳錯誤碼:UP0090_00_V501,錯誤碼訊息:正確性檢核錯誤,錯誤訊息:[agreeCrossSellingFlag該系統無寫入權限]</v>
      </c>
      <c r="P254" s="7" t="str">
        <f t="shared" si="31"/>
        <v>請協助處理</v>
      </c>
      <c r="Q254" s="7"/>
      <c r="R254" s="7"/>
      <c r="S254" s="16"/>
      <c r="T254" s="4" t="s">
        <v>2182</v>
      </c>
      <c r="U254" s="4" t="s">
        <v>17</v>
      </c>
      <c r="V254" s="4" t="s">
        <v>2149</v>
      </c>
      <c r="W254" s="4"/>
      <c r="X254" s="4" t="s">
        <v>2183</v>
      </c>
      <c r="Y254" s="4" t="s">
        <v>2184</v>
      </c>
      <c r="Z254" s="4" t="s">
        <v>2185</v>
      </c>
      <c r="AA254" s="37" t="s">
        <v>2186</v>
      </c>
      <c r="AB254" s="4" t="s">
        <v>2152</v>
      </c>
      <c r="AC254" s="4"/>
      <c r="AD254" s="4"/>
      <c r="AE254" s="4"/>
      <c r="AF254" s="4"/>
    </row>
    <row r="255" spans="1:32" x14ac:dyDescent="0.25">
      <c r="A255" s="4" t="str">
        <f t="shared" si="28"/>
        <v>'1629970727320239-0110773-01-02',</v>
      </c>
      <c r="B255" s="4" t="str">
        <f t="shared" si="29"/>
        <v>'1629970727515225-0110803-19-02',</v>
      </c>
      <c r="C255" s="15" t="s">
        <v>2321</v>
      </c>
      <c r="D255" s="5" t="s">
        <v>2273</v>
      </c>
      <c r="E255" s="5" t="s">
        <v>2308</v>
      </c>
      <c r="F255" s="5" t="s">
        <v>2320</v>
      </c>
      <c r="G255" s="29"/>
      <c r="H255" s="5"/>
      <c r="I255" s="22" t="s">
        <v>2306</v>
      </c>
      <c r="J255" s="16"/>
      <c r="K255" s="25"/>
      <c r="L255" s="16" t="s">
        <v>809</v>
      </c>
      <c r="M255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('1629970727392339-0110803-14-02') AND EXECUTION_TYPE = 'STAGE1_EXECUTION';</v>
      </c>
      <c r="N255" s="16" t="str">
        <f t="shared" si="32"/>
        <v>SELECT EXECUTION_TYPE,SERVICE_INTERCHANGE_ID,CIRCI_KEY,EXECUTION_STATE FROM CIFX.TB_SERVICE_EXECUTION_CONTROL WHERE SERVICE_EXECUTION_CONTROL_ID IN ('1629970727392339-0110803-14-02') AND EXECUTION_TYPE = 'STAGE1_EXECUTION';</v>
      </c>
      <c r="O255" s="7" t="str">
        <f t="shared" si="30"/>
        <v>發送異動通知電文給CIP回傳錯誤碼:UP0090_00_V501,錯誤碼訊息:正確性檢核錯誤,錯誤訊息:[agreeCrossSellingFlag該系統無寫入權限]</v>
      </c>
      <c r="P255" s="7" t="str">
        <f t="shared" si="31"/>
        <v>請協助處理</v>
      </c>
      <c r="Q255" s="7"/>
      <c r="R255" s="7"/>
      <c r="S255" s="16"/>
      <c r="T255" s="4" t="s">
        <v>2300</v>
      </c>
      <c r="U255" s="4" t="s">
        <v>17</v>
      </c>
      <c r="V255" s="4" t="s">
        <v>2346</v>
      </c>
      <c r="W255" s="4"/>
      <c r="X255" s="4" t="s">
        <v>2187</v>
      </c>
      <c r="Y255" s="4" t="s">
        <v>2188</v>
      </c>
      <c r="Z255" s="4" t="s">
        <v>2189</v>
      </c>
      <c r="AA255" s="37" t="s">
        <v>2190</v>
      </c>
      <c r="AB255" s="4" t="s">
        <v>2013</v>
      </c>
      <c r="AC255" s="4"/>
      <c r="AD255" s="4"/>
      <c r="AE255" s="4"/>
      <c r="AF255" s="4"/>
    </row>
    <row r="256" spans="1:32" x14ac:dyDescent="0.25">
      <c r="A256" s="4" t="str">
        <f t="shared" si="28"/>
        <v>'1629974981562343-0120957-59-01',</v>
      </c>
      <c r="B256" s="4" t="str">
        <f t="shared" si="29"/>
        <v>'1629974981793150-0126242-37-02',</v>
      </c>
      <c r="C256" s="15" t="s">
        <v>2321</v>
      </c>
      <c r="D256" s="5" t="s">
        <v>2273</v>
      </c>
      <c r="E256" s="5" t="s">
        <v>2308</v>
      </c>
      <c r="F256" s="5" t="s">
        <v>2320</v>
      </c>
      <c r="G256" s="29"/>
      <c r="H256" s="5"/>
      <c r="I256" s="22" t="s">
        <v>2306</v>
      </c>
      <c r="J256" s="16"/>
      <c r="K256" s="25"/>
      <c r="L256" s="16" t="s">
        <v>809</v>
      </c>
      <c r="M256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('1629974981582627-0120957-28-01') AND EXECUTION_TYPE = 'STAGE1_EXECUTION';</v>
      </c>
      <c r="N256" s="16" t="str">
        <f t="shared" si="32"/>
        <v>SELECT EXECUTION_TYPE,SERVICE_INTERCHANGE_ID,CIRCI_KEY,EXECUTION_STATE FROM CIFX.TB_SERVICE_EXECUTION_CONTROL WHERE SERVICE_EXECUTION_CONTROL_ID IN ('1629974981582627-0120957-28-01') AND EXECUTION_TYPE = 'STAGE1_EXECUTION';</v>
      </c>
      <c r="O256" s="7" t="str">
        <f t="shared" si="30"/>
        <v>發送異動通知電文給CIP回傳錯誤碼:UP0090_00_V501,錯誤碼訊息:正確性檢核錯誤,錯誤訊息:[agreeCrossSellingFlag該系統無寫入權限]</v>
      </c>
      <c r="P256" s="7" t="str">
        <f t="shared" si="31"/>
        <v>請協助處理</v>
      </c>
      <c r="Q256" s="7"/>
      <c r="R256" s="7"/>
      <c r="S256" s="16"/>
      <c r="T256" s="4" t="s">
        <v>2301</v>
      </c>
      <c r="U256" s="4" t="s">
        <v>17</v>
      </c>
      <c r="V256" s="4" t="s">
        <v>2149</v>
      </c>
      <c r="W256" s="4"/>
      <c r="X256" s="4" t="s">
        <v>2201</v>
      </c>
      <c r="Y256" s="4" t="s">
        <v>2202</v>
      </c>
      <c r="Z256" s="4" t="s">
        <v>2203</v>
      </c>
      <c r="AA256" s="37" t="s">
        <v>2204</v>
      </c>
      <c r="AB256" s="4" t="s">
        <v>2152</v>
      </c>
      <c r="AC256" s="4"/>
      <c r="AD256" s="4"/>
      <c r="AE256" s="4"/>
      <c r="AF256" s="4"/>
    </row>
    <row r="257" spans="1:32" x14ac:dyDescent="0.25">
      <c r="A257" s="4" t="str">
        <f t="shared" si="28"/>
        <v>'1629974779181525-0120957-72-01',</v>
      </c>
      <c r="B257" s="4" t="str">
        <f t="shared" si="29"/>
        <v>'1629974779370516-0122491-71-01',</v>
      </c>
      <c r="C257" s="15" t="s">
        <v>2321</v>
      </c>
      <c r="D257" s="5" t="s">
        <v>2273</v>
      </c>
      <c r="E257" s="5" t="s">
        <v>2308</v>
      </c>
      <c r="F257" s="5" t="s">
        <v>2320</v>
      </c>
      <c r="G257" s="29"/>
      <c r="H257" s="5"/>
      <c r="I257" s="22" t="s">
        <v>2306</v>
      </c>
      <c r="J257" s="16"/>
      <c r="K257" s="25"/>
      <c r="L257" s="16" t="s">
        <v>809</v>
      </c>
      <c r="M257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('1629974779209569-0120957-49-01') AND EXECUTION_TYPE = 'STAGE1_EXECUTION';</v>
      </c>
      <c r="N257" s="16" t="str">
        <f t="shared" si="32"/>
        <v>SELECT EXECUTION_TYPE,SERVICE_INTERCHANGE_ID,CIRCI_KEY,EXECUTION_STATE FROM CIFX.TB_SERVICE_EXECUTION_CONTROL WHERE SERVICE_EXECUTION_CONTROL_ID IN ('1629974779209569-0120957-49-01') AND EXECUTION_TYPE = 'STAGE1_EXECUTION';</v>
      </c>
      <c r="O257" s="7" t="str">
        <f t="shared" si="30"/>
        <v>發送異動通知電文給CIP回傳錯誤碼:UP0090_00_V501,錯誤碼訊息:正確性檢核錯誤,錯誤訊息:[agreeCrossSellingFlag該系統無寫入權限]</v>
      </c>
      <c r="P257" s="7" t="str">
        <f t="shared" si="31"/>
        <v>請協助處理</v>
      </c>
      <c r="Q257" s="7"/>
      <c r="R257" s="7"/>
      <c r="S257" s="16"/>
      <c r="T257" s="4" t="s">
        <v>2302</v>
      </c>
      <c r="U257" s="4" t="s">
        <v>17</v>
      </c>
      <c r="V257" s="4" t="s">
        <v>2274</v>
      </c>
      <c r="W257" s="4"/>
      <c r="X257" s="4" t="s">
        <v>2205</v>
      </c>
      <c r="Y257" s="4" t="s">
        <v>2206</v>
      </c>
      <c r="Z257" s="4" t="s">
        <v>2207</v>
      </c>
      <c r="AA257" s="37" t="s">
        <v>2208</v>
      </c>
      <c r="AB257" s="4" t="s">
        <v>2240</v>
      </c>
      <c r="AC257" s="4"/>
      <c r="AD257" s="4"/>
      <c r="AE257" s="4"/>
      <c r="AF257" s="4"/>
    </row>
    <row r="258" spans="1:32" x14ac:dyDescent="0.25">
      <c r="A258" s="4" t="str">
        <f t="shared" si="28"/>
        <v>'1629974449246472-0120747-21-01',</v>
      </c>
      <c r="B258" s="4" t="str">
        <f t="shared" si="29"/>
        <v>'1629974449484651-0124590-06-02',</v>
      </c>
      <c r="C258" s="15" t="s">
        <v>2321</v>
      </c>
      <c r="D258" s="5" t="s">
        <v>2273</v>
      </c>
      <c r="E258" s="5" t="s">
        <v>2308</v>
      </c>
      <c r="F258" s="5" t="s">
        <v>2320</v>
      </c>
      <c r="G258" s="29"/>
      <c r="H258" s="5"/>
      <c r="I258" s="22" t="s">
        <v>2306</v>
      </c>
      <c r="J258" s="16"/>
      <c r="K258" s="25"/>
      <c r="L258" s="16" t="s">
        <v>809</v>
      </c>
      <c r="M258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('1629974449363916-0124588-44-02') AND EXECUTION_TYPE = 'STAGE1_EXECUTION';</v>
      </c>
      <c r="N258" s="16" t="str">
        <f t="shared" si="32"/>
        <v>SELECT EXECUTION_TYPE,SERVICE_INTERCHANGE_ID,CIRCI_KEY,EXECUTION_STATE FROM CIFX.TB_SERVICE_EXECUTION_CONTROL WHERE SERVICE_EXECUTION_CONTROL_ID IN ('1629974449363916-0124588-44-02') AND EXECUTION_TYPE = 'STAGE1_EXECUTION';</v>
      </c>
      <c r="O258" s="7" t="str">
        <f t="shared" si="30"/>
        <v>發送異動通知電文給CIP回傳錯誤碼:UP0090_00_V501,錯誤碼訊息:正確性檢核錯誤,錯誤訊息:[agreeCrossSellingFlag該系統無寫入權限]</v>
      </c>
      <c r="P258" s="7" t="str">
        <f t="shared" si="31"/>
        <v>請協助處理</v>
      </c>
      <c r="Q258" s="7"/>
      <c r="R258" s="7"/>
      <c r="S258" s="16"/>
      <c r="T258" s="4" t="s">
        <v>2210</v>
      </c>
      <c r="U258" s="4" t="s">
        <v>17</v>
      </c>
      <c r="V258" s="4" t="s">
        <v>2149</v>
      </c>
      <c r="W258" s="4"/>
      <c r="X258" s="4" t="s">
        <v>2211</v>
      </c>
      <c r="Y258" s="4" t="s">
        <v>2212</v>
      </c>
      <c r="Z258" s="4" t="s">
        <v>2213</v>
      </c>
      <c r="AA258" s="37" t="s">
        <v>2214</v>
      </c>
      <c r="AB258" s="4" t="s">
        <v>2013</v>
      </c>
      <c r="AC258" s="4"/>
      <c r="AD258" s="4"/>
      <c r="AE258" s="4"/>
      <c r="AF258" s="4"/>
    </row>
    <row r="259" spans="1:32" x14ac:dyDescent="0.25">
      <c r="A259" s="4" t="str">
        <f t="shared" si="28"/>
        <v>'1629973988116952-0118958-64-01',</v>
      </c>
      <c r="B259" s="4" t="str">
        <f t="shared" si="29"/>
        <v>'1629973988314053-0120672-47-01',</v>
      </c>
      <c r="C259" s="15" t="s">
        <v>2321</v>
      </c>
      <c r="D259" s="5" t="s">
        <v>2273</v>
      </c>
      <c r="E259" s="5" t="s">
        <v>2308</v>
      </c>
      <c r="F259" s="5" t="s">
        <v>2320</v>
      </c>
      <c r="G259" s="29"/>
      <c r="H259" s="5"/>
      <c r="I259" s="22" t="s">
        <v>2306</v>
      </c>
      <c r="J259" s="16"/>
      <c r="K259" s="25"/>
      <c r="L259" s="16" t="s">
        <v>809</v>
      </c>
      <c r="M259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('1629973988134884-0118958-19-01') AND EXECUTION_TYPE = 'STAGE1_EXECUTION';</v>
      </c>
      <c r="N259" s="16" t="str">
        <f t="shared" si="32"/>
        <v>SELECT EXECUTION_TYPE,SERVICE_INTERCHANGE_ID,CIRCI_KEY,EXECUTION_STATE FROM CIFX.TB_SERVICE_EXECUTION_CONTROL WHERE SERVICE_EXECUTION_CONTROL_ID IN ('1629973988134884-0118958-19-01') AND EXECUTION_TYPE = 'STAGE1_EXECUTION';</v>
      </c>
      <c r="O259" s="7" t="str">
        <f t="shared" si="30"/>
        <v>發送異動通知電文給CIP回傳錯誤碼:UP0090_00_V501,錯誤碼訊息:正確性檢核錯誤,錯誤訊息:[agreeCrossSellingFlag該系統無寫入權限]</v>
      </c>
      <c r="P259" s="7" t="str">
        <f t="shared" si="31"/>
        <v>請協助處理</v>
      </c>
      <c r="Q259" s="7"/>
      <c r="R259" s="7"/>
      <c r="S259" s="16"/>
      <c r="T259" s="4" t="s">
        <v>2215</v>
      </c>
      <c r="U259" s="4" t="s">
        <v>17</v>
      </c>
      <c r="V259" s="4" t="s">
        <v>2149</v>
      </c>
      <c r="W259" s="4"/>
      <c r="X259" s="4" t="s">
        <v>2216</v>
      </c>
      <c r="Y259" s="4" t="s">
        <v>2217</v>
      </c>
      <c r="Z259" s="4" t="s">
        <v>2218</v>
      </c>
      <c r="AA259" s="37" t="s">
        <v>2219</v>
      </c>
      <c r="AB259" s="4" t="s">
        <v>2152</v>
      </c>
      <c r="AC259" s="4"/>
      <c r="AD259" s="4"/>
      <c r="AE259" s="4"/>
      <c r="AF259" s="4"/>
    </row>
    <row r="260" spans="1:32" x14ac:dyDescent="0.25">
      <c r="A260" s="4" t="str">
        <f t="shared" si="28"/>
        <v>'1629973660540151-0118793-32-01',</v>
      </c>
      <c r="B260" s="4" t="str">
        <f t="shared" si="29"/>
        <v>'1629973660719513-0120597-06-01',</v>
      </c>
      <c r="C260" s="15" t="s">
        <v>2321</v>
      </c>
      <c r="D260" s="5" t="s">
        <v>2273</v>
      </c>
      <c r="E260" s="5" t="s">
        <v>2308</v>
      </c>
      <c r="F260" s="5" t="s">
        <v>2320</v>
      </c>
      <c r="G260" s="29"/>
      <c r="H260" s="5"/>
      <c r="I260" s="22" t="s">
        <v>2306</v>
      </c>
      <c r="J260" s="16"/>
      <c r="K260" s="25"/>
      <c r="L260" s="16" t="s">
        <v>809</v>
      </c>
      <c r="M260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('1629973660558343-0118793-85-01') AND EXECUTION_TYPE = 'STAGE1_EXECUTION';</v>
      </c>
      <c r="N260" s="16" t="str">
        <f t="shared" si="32"/>
        <v>SELECT EXECUTION_TYPE,SERVICE_INTERCHANGE_ID,CIRCI_KEY,EXECUTION_STATE FROM CIFX.TB_SERVICE_EXECUTION_CONTROL WHERE SERVICE_EXECUTION_CONTROL_ID IN ('1629973660558343-0118793-85-01') AND EXECUTION_TYPE = 'STAGE1_EXECUTION';</v>
      </c>
      <c r="O260" s="7" t="str">
        <f t="shared" si="30"/>
        <v>發送異動通知電文給CIP回傳錯誤碼:UP0090_00_V501,錯誤碼訊息:正確性檢核錯誤,錯誤訊息:[agreeCrossSellingFlag該系統無寫入權限]</v>
      </c>
      <c r="P260" s="7" t="str">
        <f t="shared" si="31"/>
        <v>請協助處理</v>
      </c>
      <c r="Q260" s="7"/>
      <c r="R260" s="7"/>
      <c r="S260" s="16"/>
      <c r="T260" s="4" t="s">
        <v>2220</v>
      </c>
      <c r="U260" s="4" t="s">
        <v>17</v>
      </c>
      <c r="V260" s="4" t="s">
        <v>2149</v>
      </c>
      <c r="W260" s="4"/>
      <c r="X260" s="4" t="s">
        <v>2221</v>
      </c>
      <c r="Y260" s="4" t="s">
        <v>2222</v>
      </c>
      <c r="Z260" s="4" t="s">
        <v>2223</v>
      </c>
      <c r="AA260" s="37" t="s">
        <v>2224</v>
      </c>
      <c r="AB260" s="4" t="s">
        <v>2152</v>
      </c>
      <c r="AC260" s="4"/>
      <c r="AD260" s="4"/>
      <c r="AE260" s="4"/>
      <c r="AF260" s="4"/>
    </row>
    <row r="261" spans="1:32" x14ac:dyDescent="0.25">
      <c r="A261" s="4" t="str">
        <f t="shared" si="28"/>
        <v>'1629973082604730-0119655-82-01',</v>
      </c>
      <c r="B261" s="4" t="str">
        <f t="shared" si="29"/>
        <v>'1629973082781697-0119655-96-01',</v>
      </c>
      <c r="C261" s="15" t="s">
        <v>2321</v>
      </c>
      <c r="D261" s="5" t="s">
        <v>2273</v>
      </c>
      <c r="E261" s="5" t="s">
        <v>2308</v>
      </c>
      <c r="F261" s="5" t="s">
        <v>2320</v>
      </c>
      <c r="G261" s="29"/>
      <c r="H261" s="5"/>
      <c r="I261" s="22" t="s">
        <v>2306</v>
      </c>
      <c r="J261" s="16"/>
      <c r="K261" s="25"/>
      <c r="L261" s="16" t="s">
        <v>809</v>
      </c>
      <c r="M261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('1629973082655964-0119848-91-01') AND EXECUTION_TYPE = 'STAGE1_EXECUTION';</v>
      </c>
      <c r="N261" s="16" t="str">
        <f t="shared" si="32"/>
        <v>SELECT EXECUTION_TYPE,SERVICE_INTERCHANGE_ID,CIRCI_KEY,EXECUTION_STATE FROM CIFX.TB_SERVICE_EXECUTION_CONTROL WHERE SERVICE_EXECUTION_CONTROL_ID IN ('1629973082655964-0119848-91-01') AND EXECUTION_TYPE = 'STAGE1_EXECUTION';</v>
      </c>
      <c r="O261" s="7" t="str">
        <f t="shared" si="30"/>
        <v>發送異動通知電文給CIP回傳錯誤碼:UP0090_00_V501,錯誤碼訊息:正確性檢核錯誤,錯誤訊息:[agreeCrossSellingFlag該系統無寫入權限]</v>
      </c>
      <c r="P261" s="7" t="str">
        <f t="shared" si="31"/>
        <v>請協助處理</v>
      </c>
      <c r="Q261" s="7"/>
      <c r="R261" s="7"/>
      <c r="S261" s="16"/>
      <c r="T261" s="4" t="s">
        <v>2225</v>
      </c>
      <c r="U261" s="4" t="s">
        <v>17</v>
      </c>
      <c r="V261" s="4" t="s">
        <v>2149</v>
      </c>
      <c r="W261" s="4"/>
      <c r="X261" s="4" t="s">
        <v>2226</v>
      </c>
      <c r="Y261" s="4" t="s">
        <v>2227</v>
      </c>
      <c r="Z261" s="4" t="s">
        <v>2228</v>
      </c>
      <c r="AA261" s="37" t="s">
        <v>2229</v>
      </c>
      <c r="AB261" s="4" t="s">
        <v>2013</v>
      </c>
      <c r="AC261" s="4"/>
      <c r="AD261" s="4"/>
      <c r="AE261" s="4"/>
      <c r="AF261" s="4"/>
    </row>
    <row r="262" spans="1:32" x14ac:dyDescent="0.25">
      <c r="A262" s="4" t="str">
        <f t="shared" si="28"/>
        <v>'1629972982856951-0118793-06-01',</v>
      </c>
      <c r="B262" s="4" t="str">
        <f t="shared" si="29"/>
        <v>'1629972983010052-0119848-97-01',</v>
      </c>
      <c r="C262" s="15" t="s">
        <v>2321</v>
      </c>
      <c r="D262" s="5" t="s">
        <v>2273</v>
      </c>
      <c r="E262" s="5" t="s">
        <v>2308</v>
      </c>
      <c r="F262" s="5" t="s">
        <v>2320</v>
      </c>
      <c r="G262" s="29"/>
      <c r="H262" s="5"/>
      <c r="I262" s="22" t="s">
        <v>2306</v>
      </c>
      <c r="J262" s="16"/>
      <c r="K262" s="25"/>
      <c r="L262" s="16" t="s">
        <v>809</v>
      </c>
      <c r="M262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('1629972982879619-0118793-78-01') AND EXECUTION_TYPE = 'STAGE1_EXECUTION';</v>
      </c>
      <c r="N262" s="16" t="str">
        <f t="shared" si="32"/>
        <v>SELECT EXECUTION_TYPE,SERVICE_INTERCHANGE_ID,CIRCI_KEY,EXECUTION_STATE FROM CIFX.TB_SERVICE_EXECUTION_CONTROL WHERE SERVICE_EXECUTION_CONTROL_ID IN ('1629972982879619-0118793-78-01') AND EXECUTION_TYPE = 'STAGE1_EXECUTION';</v>
      </c>
      <c r="O262" s="7" t="str">
        <f t="shared" si="30"/>
        <v>發送異動通知電文給CIP回傳錯誤碼:UP0090_00_V501,錯誤碼訊息:正確性檢核錯誤,錯誤訊息:[agreeCrossSellingFlag該系統無寫入權限]</v>
      </c>
      <c r="P262" s="7" t="str">
        <f t="shared" si="31"/>
        <v>請協助處理</v>
      </c>
      <c r="Q262" s="7"/>
      <c r="R262" s="7"/>
      <c r="S262" s="16"/>
      <c r="T262" s="4" t="s">
        <v>2230</v>
      </c>
      <c r="U262" s="4" t="s">
        <v>17</v>
      </c>
      <c r="V262" s="4" t="s">
        <v>2149</v>
      </c>
      <c r="W262" s="4"/>
      <c r="X262" s="4" t="s">
        <v>2231</v>
      </c>
      <c r="Y262" s="4" t="s">
        <v>2232</v>
      </c>
      <c r="Z262" s="4" t="s">
        <v>2233</v>
      </c>
      <c r="AA262" s="37" t="s">
        <v>2234</v>
      </c>
      <c r="AB262" s="4" t="s">
        <v>2152</v>
      </c>
      <c r="AC262" s="4"/>
      <c r="AD262" s="4"/>
      <c r="AE262" s="4"/>
      <c r="AF262" s="4"/>
    </row>
    <row r="263" spans="1:32" x14ac:dyDescent="0.25">
      <c r="A263" s="4" t="str">
        <f t="shared" si="28"/>
        <v>'1629972895556986-0118790-53-01',</v>
      </c>
      <c r="B263" s="4" t="str">
        <f t="shared" si="29"/>
        <v>'1629972895730351-0119102-38-01',</v>
      </c>
      <c r="C263" s="15" t="s">
        <v>2321</v>
      </c>
      <c r="D263" s="5" t="s">
        <v>2273</v>
      </c>
      <c r="E263" s="5" t="s">
        <v>2308</v>
      </c>
      <c r="F263" s="5" t="s">
        <v>2320</v>
      </c>
      <c r="G263" s="29"/>
      <c r="H263" s="5"/>
      <c r="I263" s="22" t="s">
        <v>2306</v>
      </c>
      <c r="J263" s="16"/>
      <c r="K263" s="25"/>
      <c r="L263" s="16" t="s">
        <v>809</v>
      </c>
      <c r="M263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('1629972895585993-0118790-34-01') AND EXECUTION_TYPE = 'STAGE1_EXECUTION';</v>
      </c>
      <c r="N263" s="16" t="str">
        <f t="shared" si="32"/>
        <v>SELECT EXECUTION_TYPE,SERVICE_INTERCHANGE_ID,CIRCI_KEY,EXECUTION_STATE FROM CIFX.TB_SERVICE_EXECUTION_CONTROL WHERE SERVICE_EXECUTION_CONTROL_ID IN ('1629972895585993-0118790-34-01') AND EXECUTION_TYPE = 'STAGE1_EXECUTION';</v>
      </c>
      <c r="O263" s="7" t="str">
        <f t="shared" si="30"/>
        <v>發送異動通知電文給CIP回傳錯誤碼:UP0090_00_V501,錯誤碼訊息:正確性檢核錯誤,錯誤訊息:[agreeCrossSellingFlag該系統無寫入權限]</v>
      </c>
      <c r="P263" s="7" t="str">
        <f t="shared" si="31"/>
        <v>請協助處理</v>
      </c>
      <c r="Q263" s="7"/>
      <c r="R263" s="7"/>
      <c r="S263" s="16"/>
      <c r="T263" s="4" t="s">
        <v>2235</v>
      </c>
      <c r="U263" s="4" t="s">
        <v>17</v>
      </c>
      <c r="V263" s="4" t="s">
        <v>2149</v>
      </c>
      <c r="W263" s="4"/>
      <c r="X263" s="4" t="s">
        <v>2236</v>
      </c>
      <c r="Y263" s="4" t="s">
        <v>2237</v>
      </c>
      <c r="Z263" s="4" t="s">
        <v>2238</v>
      </c>
      <c r="AA263" s="37" t="s">
        <v>2239</v>
      </c>
      <c r="AB263" s="4" t="s">
        <v>2209</v>
      </c>
      <c r="AC263" s="4"/>
      <c r="AD263" s="4"/>
      <c r="AE263" s="4"/>
      <c r="AF263" s="4"/>
    </row>
    <row r="264" spans="1:32" x14ac:dyDescent="0.25">
      <c r="A264" s="4" t="str">
        <f t="shared" si="28"/>
        <v>'1629976147544717-0132914-27-01',</v>
      </c>
      <c r="B264" s="4" t="str">
        <f t="shared" si="29"/>
        <v>'1629976147798815-0126443-12-02',</v>
      </c>
      <c r="C264" s="15" t="s">
        <v>2321</v>
      </c>
      <c r="D264" s="5" t="s">
        <v>2273</v>
      </c>
      <c r="E264" s="5" t="s">
        <v>2308</v>
      </c>
      <c r="F264" s="5" t="s">
        <v>2320</v>
      </c>
      <c r="G264" s="29"/>
      <c r="H264" s="5"/>
      <c r="I264" s="22" t="s">
        <v>2306</v>
      </c>
      <c r="J264" s="16"/>
      <c r="K264" s="25"/>
      <c r="L264" s="16" t="s">
        <v>809</v>
      </c>
      <c r="M264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('1629976147566865-0132914-90-01') AND EXECUTION_TYPE = 'STAGE1_EXECUTION';</v>
      </c>
      <c r="N264" s="16" t="str">
        <f t="shared" si="32"/>
        <v>SELECT EXECUTION_TYPE,SERVICE_INTERCHANGE_ID,CIRCI_KEY,EXECUTION_STATE FROM CIFX.TB_SERVICE_EXECUTION_CONTROL WHERE SERVICE_EXECUTION_CONTROL_ID IN ('1629976147566865-0132914-90-01') AND EXECUTION_TYPE = 'STAGE1_EXECUTION';</v>
      </c>
      <c r="O264" s="7" t="str">
        <f t="shared" si="30"/>
        <v>發送異動通知電文給CIP回傳錯誤碼:UP0090_00_V501,錯誤碼訊息:正確性檢核錯誤,錯誤訊息:[agreeCrossSellingFlag該系統無寫入權限]</v>
      </c>
      <c r="P264" s="7" t="str">
        <f t="shared" si="31"/>
        <v>請協助處理</v>
      </c>
      <c r="Q264" s="7"/>
      <c r="R264" s="7"/>
      <c r="S264" s="16"/>
      <c r="T264" s="4" t="s">
        <v>2243</v>
      </c>
      <c r="U264" s="4" t="s">
        <v>17</v>
      </c>
      <c r="V264" s="4" t="s">
        <v>2149</v>
      </c>
      <c r="W264" s="4"/>
      <c r="X264" s="4" t="s">
        <v>2244</v>
      </c>
      <c r="Y264" s="4" t="s">
        <v>2245</v>
      </c>
      <c r="Z264" s="4" t="s">
        <v>2246</v>
      </c>
      <c r="AA264" s="37" t="s">
        <v>2247</v>
      </c>
      <c r="AB264" s="4" t="s">
        <v>2209</v>
      </c>
      <c r="AC264" s="4"/>
      <c r="AD264" s="4"/>
      <c r="AE264" s="4"/>
      <c r="AF264" s="4"/>
    </row>
    <row r="265" spans="1:32" x14ac:dyDescent="0.25">
      <c r="A265" s="4" t="str">
        <f t="shared" si="28"/>
        <v>'1629975933155838-0132971-20-01',</v>
      </c>
      <c r="B265" s="4" t="str">
        <f t="shared" si="29"/>
        <v>'1629975933535267-0126408-32-02',</v>
      </c>
      <c r="C265" s="15" t="s">
        <v>2321</v>
      </c>
      <c r="D265" s="5" t="s">
        <v>2273</v>
      </c>
      <c r="E265" s="5" t="s">
        <v>2308</v>
      </c>
      <c r="F265" s="5" t="s">
        <v>2320</v>
      </c>
      <c r="G265" s="29"/>
      <c r="H265" s="5"/>
      <c r="I265" s="22" t="s">
        <v>2306</v>
      </c>
      <c r="J265" s="16"/>
      <c r="K265" s="25"/>
      <c r="L265" s="16" t="s">
        <v>809</v>
      </c>
      <c r="M265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('1629975933179385-0132971-87-01') AND EXECUTION_TYPE = 'STAGE1_EXECUTION';</v>
      </c>
      <c r="N265" s="16" t="str">
        <f t="shared" si="32"/>
        <v>SELECT EXECUTION_TYPE,SERVICE_INTERCHANGE_ID,CIRCI_KEY,EXECUTION_STATE FROM CIFX.TB_SERVICE_EXECUTION_CONTROL WHERE SERVICE_EXECUTION_CONTROL_ID IN ('1629975933179385-0132971-87-01') AND EXECUTION_TYPE = 'STAGE1_EXECUTION';</v>
      </c>
      <c r="O265" s="7" t="str">
        <f t="shared" si="30"/>
        <v>發送異動通知電文給CIP回傳錯誤碼:UP0090_00_V501,錯誤碼訊息:正確性檢核錯誤,錯誤訊息:[agreeCrossSellingFlag該系統無寫入權限]</v>
      </c>
      <c r="P265" s="7" t="str">
        <f t="shared" si="31"/>
        <v>請協助處理</v>
      </c>
      <c r="Q265" s="7"/>
      <c r="R265" s="7"/>
      <c r="S265" s="16"/>
      <c r="T265" s="4" t="s">
        <v>2248</v>
      </c>
      <c r="U265" s="4" t="s">
        <v>17</v>
      </c>
      <c r="V265" s="4" t="s">
        <v>2149</v>
      </c>
      <c r="W265" s="4"/>
      <c r="X265" s="4" t="s">
        <v>2249</v>
      </c>
      <c r="Y265" s="4" t="s">
        <v>2250</v>
      </c>
      <c r="Z265" s="4" t="s">
        <v>2251</v>
      </c>
      <c r="AA265" s="37" t="s">
        <v>2252</v>
      </c>
      <c r="AB265" s="4" t="s">
        <v>2152</v>
      </c>
      <c r="AC265" s="4"/>
      <c r="AD265" s="4"/>
      <c r="AE265" s="4"/>
      <c r="AF265" s="4"/>
    </row>
    <row r="266" spans="1:32" x14ac:dyDescent="0.25">
      <c r="A266" s="4" t="str">
        <f t="shared" si="28"/>
        <v>'1629975875874572-0125408-13-02',</v>
      </c>
      <c r="B266" s="4" t="str">
        <f t="shared" si="29"/>
        <v>'1629975876127559-0126347-90-02',</v>
      </c>
      <c r="C266" s="15" t="s">
        <v>2321</v>
      </c>
      <c r="D266" s="5" t="s">
        <v>2273</v>
      </c>
      <c r="E266" s="5" t="s">
        <v>2308</v>
      </c>
      <c r="F266" s="5" t="s">
        <v>2320</v>
      </c>
      <c r="G266" s="29"/>
      <c r="H266" s="5"/>
      <c r="I266" s="22" t="s">
        <v>2306</v>
      </c>
      <c r="J266" s="16"/>
      <c r="K266" s="25"/>
      <c r="L266" s="16" t="s">
        <v>809</v>
      </c>
      <c r="M266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('1629975875899850-0125408-74-02') AND EXECUTION_TYPE = 'STAGE1_EXECUTION';</v>
      </c>
      <c r="N266" s="16" t="str">
        <f t="shared" si="32"/>
        <v>SELECT EXECUTION_TYPE,SERVICE_INTERCHANGE_ID,CIRCI_KEY,EXECUTION_STATE FROM CIFX.TB_SERVICE_EXECUTION_CONTROL WHERE SERVICE_EXECUTION_CONTROL_ID IN ('1629975875899850-0125408-74-02') AND EXECUTION_TYPE = 'STAGE1_EXECUTION';</v>
      </c>
      <c r="O266" s="7" t="str">
        <f t="shared" si="30"/>
        <v>發送異動通知電文給CIP回傳錯誤碼:UP0090_00_V501,錯誤碼訊息:正確性檢核錯誤,錯誤訊息:[agreeCrossSellingFlag該系統無寫入權限]</v>
      </c>
      <c r="P266" s="7" t="str">
        <f t="shared" si="31"/>
        <v>請協助處理</v>
      </c>
      <c r="Q266" s="7"/>
      <c r="R266" s="7"/>
      <c r="S266" s="16"/>
      <c r="T266" s="4" t="s">
        <v>2253</v>
      </c>
      <c r="U266" s="4" t="s">
        <v>17</v>
      </c>
      <c r="V266" s="4" t="s">
        <v>2149</v>
      </c>
      <c r="W266" s="4"/>
      <c r="X266" s="4" t="s">
        <v>2254</v>
      </c>
      <c r="Y266" s="4" t="s">
        <v>2255</v>
      </c>
      <c r="Z266" s="4" t="s">
        <v>2256</v>
      </c>
      <c r="AA266" s="37" t="s">
        <v>2257</v>
      </c>
      <c r="AB266" s="4" t="s">
        <v>2209</v>
      </c>
      <c r="AC266" s="4"/>
      <c r="AD266" s="4"/>
      <c r="AE266" s="4"/>
      <c r="AF266" s="4"/>
    </row>
    <row r="267" spans="1:32" x14ac:dyDescent="0.25">
      <c r="A267" s="4" t="str">
        <f t="shared" si="28"/>
        <v>'1629975622173981-0124724-93-02',</v>
      </c>
      <c r="B267" s="4" t="str">
        <f t="shared" si="29"/>
        <v>'1629975623268433-0132685-77-01',</v>
      </c>
      <c r="C267" s="15" t="s">
        <v>2321</v>
      </c>
      <c r="D267" s="5" t="s">
        <v>2273</v>
      </c>
      <c r="E267" s="5" t="s">
        <v>2308</v>
      </c>
      <c r="F267" s="5" t="s">
        <v>2320</v>
      </c>
      <c r="G267" s="29"/>
      <c r="H267" s="5"/>
      <c r="I267" s="22" t="s">
        <v>2306</v>
      </c>
      <c r="J267" s="16"/>
      <c r="K267" s="25"/>
      <c r="L267" s="16" t="s">
        <v>809</v>
      </c>
      <c r="M267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('1629975622200827-0124724-64-02') AND EXECUTION_TYPE = 'STAGE1_EXECUTION';</v>
      </c>
      <c r="N267" s="16" t="str">
        <f t="shared" si="32"/>
        <v>SELECT EXECUTION_TYPE,SERVICE_INTERCHANGE_ID,CIRCI_KEY,EXECUTION_STATE FROM CIFX.TB_SERVICE_EXECUTION_CONTROL WHERE SERVICE_EXECUTION_CONTROL_ID IN ('1629975622200827-0124724-64-02') AND EXECUTION_TYPE = 'STAGE1_EXECUTION';</v>
      </c>
      <c r="O267" s="7" t="str">
        <f t="shared" si="30"/>
        <v>發送異動通知電文給CIP回傳錯誤碼:UP0090_00_V501,錯誤碼訊息:正確性檢核錯誤,錯誤訊息:[agreeCrossSellingFlag該系統無寫入權限]</v>
      </c>
      <c r="P267" s="7" t="str">
        <f t="shared" si="31"/>
        <v>請協助處理</v>
      </c>
      <c r="Q267" s="7"/>
      <c r="R267" s="7"/>
      <c r="S267" s="16"/>
      <c r="T267" s="4" t="s">
        <v>2258</v>
      </c>
      <c r="U267" s="4" t="s">
        <v>17</v>
      </c>
      <c r="V267" s="4" t="s">
        <v>2149</v>
      </c>
      <c r="W267" s="4"/>
      <c r="X267" s="4" t="s">
        <v>2259</v>
      </c>
      <c r="Y267" s="4" t="s">
        <v>2260</v>
      </c>
      <c r="Z267" s="4" t="s">
        <v>2261</v>
      </c>
      <c r="AA267" s="37" t="s">
        <v>2262</v>
      </c>
      <c r="AB267" s="4" t="s">
        <v>2152</v>
      </c>
      <c r="AC267" s="4"/>
      <c r="AD267" s="4"/>
      <c r="AE267" s="4"/>
      <c r="AF267" s="4"/>
    </row>
    <row r="268" spans="1:32" x14ac:dyDescent="0.25">
      <c r="A268" s="4" t="str">
        <f t="shared" si="28"/>
        <v>'1629975497122638-0126360-80-02',</v>
      </c>
      <c r="B268" s="4" t="str">
        <f t="shared" si="29"/>
        <v>'1629975497499958-0132594-57-01',</v>
      </c>
      <c r="C268" s="15" t="s">
        <v>2321</v>
      </c>
      <c r="D268" s="5" t="s">
        <v>2273</v>
      </c>
      <c r="E268" s="5" t="s">
        <v>2308</v>
      </c>
      <c r="F268" s="5" t="s">
        <v>2320</v>
      </c>
      <c r="G268" s="29"/>
      <c r="H268" s="5"/>
      <c r="I268" s="22" t="s">
        <v>2306</v>
      </c>
      <c r="J268" s="16"/>
      <c r="K268" s="25"/>
      <c r="L268" s="16" t="s">
        <v>809</v>
      </c>
      <c r="M268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('1629975497166354-0126355-89-02') AND EXECUTION_TYPE = 'STAGE1_EXECUTION';</v>
      </c>
      <c r="N268" s="16" t="str">
        <f t="shared" si="32"/>
        <v>SELECT EXECUTION_TYPE,SERVICE_INTERCHANGE_ID,CIRCI_KEY,EXECUTION_STATE FROM CIFX.TB_SERVICE_EXECUTION_CONTROL WHERE SERVICE_EXECUTION_CONTROL_ID IN ('1629975497166354-0126355-89-02') AND EXECUTION_TYPE = 'STAGE1_EXECUTION';</v>
      </c>
      <c r="O268" s="7" t="str">
        <f t="shared" si="30"/>
        <v>發送異動通知電文給CIP回傳錯誤碼:UP0090_00_V501,錯誤碼訊息:正確性檢核錯誤,錯誤訊息:[agreeCrossSellingFlag該系統無寫入權限]</v>
      </c>
      <c r="P268" s="7" t="str">
        <f t="shared" si="31"/>
        <v>請協助處理</v>
      </c>
      <c r="Q268" s="7"/>
      <c r="R268" s="7"/>
      <c r="S268" s="16"/>
      <c r="T268" s="4" t="s">
        <v>2263</v>
      </c>
      <c r="U268" s="4" t="s">
        <v>17</v>
      </c>
      <c r="V268" s="4" t="s">
        <v>2149</v>
      </c>
      <c r="W268" s="4"/>
      <c r="X268" s="4" t="s">
        <v>2264</v>
      </c>
      <c r="Y268" s="4" t="s">
        <v>2265</v>
      </c>
      <c r="Z268" s="4" t="s">
        <v>2266</v>
      </c>
      <c r="AA268" s="37" t="s">
        <v>2267</v>
      </c>
      <c r="AB268" s="4" t="s">
        <v>2013</v>
      </c>
      <c r="AC268" s="4"/>
      <c r="AD268" s="4"/>
      <c r="AE268" s="4"/>
      <c r="AF268" s="4"/>
    </row>
    <row r="269" spans="1:32" x14ac:dyDescent="0.25">
      <c r="A269" s="4" t="str">
        <f t="shared" si="28"/>
        <v>'1629975303651386-0124724-76-02',</v>
      </c>
      <c r="B269" s="4" t="str">
        <f t="shared" si="29"/>
        <v>'1629975303853229-0122516-58-01',</v>
      </c>
      <c r="C269" s="15" t="s">
        <v>2321</v>
      </c>
      <c r="D269" s="5" t="s">
        <v>2273</v>
      </c>
      <c r="E269" s="5" t="s">
        <v>2308</v>
      </c>
      <c r="F269" s="5" t="s">
        <v>2320</v>
      </c>
      <c r="G269" s="29"/>
      <c r="H269" s="5"/>
      <c r="I269" s="22" t="s">
        <v>2306</v>
      </c>
      <c r="J269" s="16"/>
      <c r="K269" s="25"/>
      <c r="L269" s="16" t="s">
        <v>809</v>
      </c>
      <c r="M269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('1629975303678207-0124724-47-02') AND EXECUTION_TYPE = 'STAGE1_EXECUTION';</v>
      </c>
      <c r="N269" s="16" t="str">
        <f t="shared" si="32"/>
        <v>SELECT EXECUTION_TYPE,SERVICE_INTERCHANGE_ID,CIRCI_KEY,EXECUTION_STATE FROM CIFX.TB_SERVICE_EXECUTION_CONTROL WHERE SERVICE_EXECUTION_CONTROL_ID IN ('1629975303678207-0124724-47-02') AND EXECUTION_TYPE = 'STAGE1_EXECUTION';</v>
      </c>
      <c r="O269" s="7" t="str">
        <f t="shared" si="30"/>
        <v>發送異動通知電文給CIP回傳錯誤碼:UP0090_00_V501,錯誤碼訊息:正確性檢核錯誤,錯誤訊息:[agreeCrossSellingFlag該系統無寫入權限]</v>
      </c>
      <c r="P269" s="7" t="str">
        <f t="shared" si="31"/>
        <v>請協助處理</v>
      </c>
      <c r="Q269" s="7"/>
      <c r="R269" s="7"/>
      <c r="S269" s="16"/>
      <c r="T269" s="4" t="s">
        <v>2268</v>
      </c>
      <c r="U269" s="4" t="s">
        <v>17</v>
      </c>
      <c r="V269" s="4" t="s">
        <v>2149</v>
      </c>
      <c r="W269" s="4"/>
      <c r="X269" s="4" t="s">
        <v>2269</v>
      </c>
      <c r="Y269" s="4" t="s">
        <v>2270</v>
      </c>
      <c r="Z269" s="4" t="s">
        <v>2271</v>
      </c>
      <c r="AA269" s="37" t="s">
        <v>2272</v>
      </c>
      <c r="AB269" s="4" t="s">
        <v>2152</v>
      </c>
      <c r="AC269" s="4"/>
      <c r="AD269" s="4"/>
      <c r="AE269" s="4"/>
      <c r="AF269" s="4"/>
    </row>
    <row r="270" spans="1:32" x14ac:dyDescent="0.25">
      <c r="A270" s="4" t="str">
        <f t="shared" si="28"/>
        <v>'1629976570007521-0126614-83-02',</v>
      </c>
      <c r="B270" s="4" t="str">
        <f t="shared" si="29"/>
        <v>'1629976570253991-0133746-67-01',</v>
      </c>
      <c r="C270" s="15" t="s">
        <v>2321</v>
      </c>
      <c r="D270" s="5" t="s">
        <v>2273</v>
      </c>
      <c r="E270" s="5" t="s">
        <v>2308</v>
      </c>
      <c r="F270" s="5" t="s">
        <v>2320</v>
      </c>
      <c r="G270" s="29"/>
      <c r="H270" s="5"/>
      <c r="I270" s="22" t="s">
        <v>2306</v>
      </c>
      <c r="J270" s="16"/>
      <c r="K270" s="25"/>
      <c r="L270" s="16" t="s">
        <v>809</v>
      </c>
      <c r="M270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('1629976570033613-0126614-45-02') AND EXECUTION_TYPE = 'STAGE1_EXECUTION';</v>
      </c>
      <c r="N270" s="16" t="str">
        <f t="shared" si="32"/>
        <v>SELECT EXECUTION_TYPE,SERVICE_INTERCHANGE_ID,CIRCI_KEY,EXECUTION_STATE FROM CIFX.TB_SERVICE_EXECUTION_CONTROL WHERE SERVICE_EXECUTION_CONTROL_ID IN ('1629976570033613-0126614-45-02') AND EXECUTION_TYPE = 'STAGE1_EXECUTION';</v>
      </c>
      <c r="O270" s="7" t="str">
        <f t="shared" si="30"/>
        <v>發送異動通知電文給CIP回傳錯誤碼:UP0090_00_V501,錯誤碼訊息:正確性檢核錯誤,錯誤訊息:[agreeCrossSellingFlag該系統無寫入權限]</v>
      </c>
      <c r="P270" s="7" t="str">
        <f t="shared" si="31"/>
        <v>請協助處理</v>
      </c>
      <c r="Q270" s="7"/>
      <c r="R270" s="7"/>
      <c r="S270" s="16"/>
      <c r="T270" s="4" t="s">
        <v>2275</v>
      </c>
      <c r="U270" s="4" t="s">
        <v>17</v>
      </c>
      <c r="V270" s="4" t="s">
        <v>2149</v>
      </c>
      <c r="W270" s="4"/>
      <c r="X270" s="4" t="s">
        <v>2276</v>
      </c>
      <c r="Y270" s="4" t="s">
        <v>2277</v>
      </c>
      <c r="Z270" s="4" t="s">
        <v>2278</v>
      </c>
      <c r="AA270" s="37" t="s">
        <v>2279</v>
      </c>
      <c r="AB270" s="4" t="s">
        <v>2152</v>
      </c>
      <c r="AC270" s="4"/>
      <c r="AD270" s="4"/>
      <c r="AE270" s="4"/>
      <c r="AF270" s="4"/>
    </row>
    <row r="271" spans="1:32" x14ac:dyDescent="0.25">
      <c r="A271" s="4" t="str">
        <f t="shared" si="28"/>
        <v>'1629977758046951-0128605-96-02',</v>
      </c>
      <c r="B271" s="4" t="str">
        <f t="shared" si="29"/>
        <v>'1629977758280532-0128627-17-02',</v>
      </c>
      <c r="C271" s="15" t="s">
        <v>2321</v>
      </c>
      <c r="D271" s="5" t="s">
        <v>2273</v>
      </c>
      <c r="E271" s="5" t="s">
        <v>2308</v>
      </c>
      <c r="F271" s="5" t="s">
        <v>2320</v>
      </c>
      <c r="G271" s="29"/>
      <c r="H271" s="5"/>
      <c r="I271" s="22" t="s">
        <v>2306</v>
      </c>
      <c r="J271" s="16"/>
      <c r="K271" s="25"/>
      <c r="L271" s="16" t="s">
        <v>809</v>
      </c>
      <c r="M271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('1629977758113664-0128609-04-02') AND EXECUTION_TYPE = 'STAGE1_EXECUTION';</v>
      </c>
      <c r="N271" s="16" t="str">
        <f t="shared" si="32"/>
        <v>SELECT EXECUTION_TYPE,SERVICE_INTERCHANGE_ID,CIRCI_KEY,EXECUTION_STATE FROM CIFX.TB_SERVICE_EXECUTION_CONTROL WHERE SERVICE_EXECUTION_CONTROL_ID IN ('1629977758113664-0128609-04-02') AND EXECUTION_TYPE = 'STAGE1_EXECUTION';</v>
      </c>
      <c r="O271" s="7" t="str">
        <f t="shared" si="30"/>
        <v>發送異動通知電文給CIP回傳錯誤碼:UP0090_00_V501,錯誤碼訊息:正確性檢核錯誤,錯誤訊息:[agreeCrossSellingFlag該系統無寫入權限]</v>
      </c>
      <c r="P271" s="7" t="str">
        <f t="shared" si="31"/>
        <v>請協助處理</v>
      </c>
      <c r="Q271" s="7"/>
      <c r="R271" s="7"/>
      <c r="S271" s="16"/>
      <c r="T271" s="4" t="s">
        <v>2280</v>
      </c>
      <c r="U271" s="4" t="s">
        <v>17</v>
      </c>
      <c r="V271" s="4" t="s">
        <v>2149</v>
      </c>
      <c r="W271" s="4"/>
      <c r="X271" s="4" t="s">
        <v>2281</v>
      </c>
      <c r="Y271" s="4" t="s">
        <v>2282</v>
      </c>
      <c r="Z271" s="4" t="s">
        <v>2283</v>
      </c>
      <c r="AA271" s="37" t="s">
        <v>2284</v>
      </c>
      <c r="AB271" s="4" t="s">
        <v>2013</v>
      </c>
      <c r="AC271" s="4"/>
      <c r="AD271" s="4"/>
      <c r="AE271" s="4"/>
      <c r="AF271" s="4"/>
    </row>
    <row r="272" spans="1:32" x14ac:dyDescent="0.25">
      <c r="A272" s="4" t="str">
        <f t="shared" si="28"/>
        <v>'1629977516277704-0133162-75-01',</v>
      </c>
      <c r="B272" s="4" t="str">
        <f t="shared" si="29"/>
        <v>'1629977516435235-0134755-65-01',</v>
      </c>
      <c r="C272" s="15" t="s">
        <v>2321</v>
      </c>
      <c r="D272" s="5" t="s">
        <v>2273</v>
      </c>
      <c r="E272" s="5" t="s">
        <v>2308</v>
      </c>
      <c r="F272" s="5" t="s">
        <v>2320</v>
      </c>
      <c r="G272" s="29"/>
      <c r="H272" s="5"/>
      <c r="I272" s="22" t="s">
        <v>2306</v>
      </c>
      <c r="J272" s="16"/>
      <c r="K272" s="25"/>
      <c r="L272" s="16" t="s">
        <v>809</v>
      </c>
      <c r="M272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('1629977516299713-0133162-34-01') AND EXECUTION_TYPE = 'STAGE1_EXECUTION';</v>
      </c>
      <c r="N272" s="16" t="str">
        <f t="shared" si="32"/>
        <v>SELECT EXECUTION_TYPE,SERVICE_INTERCHANGE_ID,CIRCI_KEY,EXECUTION_STATE FROM CIFX.TB_SERVICE_EXECUTION_CONTROL WHERE SERVICE_EXECUTION_CONTROL_ID IN ('1629977516299713-0133162-34-01') AND EXECUTION_TYPE = 'STAGE1_EXECUTION';</v>
      </c>
      <c r="O272" s="7" t="str">
        <f t="shared" si="30"/>
        <v>發送異動通知電文給CIP回傳錯誤碼:UP0090_00_V501,錯誤碼訊息:正確性檢核錯誤,錯誤訊息:[agreeCrossSellingFlag該系統無寫入權限]</v>
      </c>
      <c r="P272" s="7" t="str">
        <f t="shared" si="31"/>
        <v>請協助處理</v>
      </c>
      <c r="Q272" s="7"/>
      <c r="R272" s="7"/>
      <c r="S272" s="16"/>
      <c r="T272" s="4" t="s">
        <v>2285</v>
      </c>
      <c r="U272" s="4" t="s">
        <v>17</v>
      </c>
      <c r="V272" s="4" t="s">
        <v>2149</v>
      </c>
      <c r="W272" s="4"/>
      <c r="X272" s="4" t="s">
        <v>2286</v>
      </c>
      <c r="Y272" s="4" t="s">
        <v>2287</v>
      </c>
      <c r="Z272" s="4" t="s">
        <v>2288</v>
      </c>
      <c r="AA272" s="37" t="s">
        <v>2289</v>
      </c>
      <c r="AB272" s="4" t="s">
        <v>2152</v>
      </c>
      <c r="AC272" s="4"/>
      <c r="AD272" s="4"/>
      <c r="AE272" s="4"/>
      <c r="AF272" s="4"/>
    </row>
    <row r="273" spans="1:458" x14ac:dyDescent="0.25">
      <c r="A273" s="4" t="str">
        <f t="shared" si="28"/>
        <v>'1629977457613573-0134853-74-01',</v>
      </c>
      <c r="B273" s="4" t="str">
        <f t="shared" si="29"/>
        <v>'1629977457773749-0128502-98-02',</v>
      </c>
      <c r="C273" s="15" t="s">
        <v>2321</v>
      </c>
      <c r="D273" s="5" t="s">
        <v>2273</v>
      </c>
      <c r="E273" s="5" t="s">
        <v>2308</v>
      </c>
      <c r="F273" s="5" t="s">
        <v>2320</v>
      </c>
      <c r="G273" s="29"/>
      <c r="H273" s="5"/>
      <c r="I273" s="22" t="s">
        <v>2305</v>
      </c>
      <c r="J273" s="16"/>
      <c r="K273" s="25"/>
      <c r="L273" s="16" t="s">
        <v>809</v>
      </c>
      <c r="M273" s="16" t="str">
        <f t="shared" si="33"/>
        <v>UPDATE CIFX.TB_SERVICE_EXECUTION_CONTROL SET EXECUTION_STATE = 'TO_EXECUTE',RESULT_CODE = NULL,EXECUTING_TIMESTAMP = null,EXECUTED_TIMESTAMP = null,ap_server_EXECUTING = NULL WHERE SERVICE_EXECUTION_CONTROL_ID IN ('1629977457658178-0128500-81-02') AND EXECUTION_TYPE = 'STAGE1_EXECUTION';</v>
      </c>
      <c r="N273" s="16" t="str">
        <f t="shared" si="32"/>
        <v>SELECT EXECUTION_TYPE,SERVICE_INTERCHANGE_ID,CIRCI_KEY,EXECUTION_STATE FROM CIFX.TB_SERVICE_EXECUTION_CONTROL WHERE SERVICE_EXECUTION_CONTROL_ID IN ('1629977457658178-0128500-81-02') AND EXECUTION_TYPE = 'STAGE1_EXECUTION';</v>
      </c>
      <c r="O273" s="7" t="str">
        <f t="shared" si="30"/>
        <v>發送異動通知電文給CIP回傳錯誤碼:UP0090_00_V501,錯誤碼訊息:正確性檢核錯誤,錯誤訊息:[agreeCrossSellingFlag該系統無寫入權限]</v>
      </c>
      <c r="P273" s="7" t="str">
        <f t="shared" si="31"/>
        <v>請協助處理</v>
      </c>
      <c r="Q273" s="7"/>
      <c r="R273" s="7"/>
      <c r="S273" s="16"/>
      <c r="T273" s="4" t="s">
        <v>2313</v>
      </c>
      <c r="U273" s="4" t="s">
        <v>17</v>
      </c>
      <c r="V273" s="4" t="s">
        <v>2149</v>
      </c>
      <c r="W273" s="4"/>
      <c r="X273" s="4" t="s">
        <v>2290</v>
      </c>
      <c r="Y273" s="4" t="s">
        <v>2291</v>
      </c>
      <c r="Z273" s="4" t="s">
        <v>2292</v>
      </c>
      <c r="AA273" s="37" t="s">
        <v>2293</v>
      </c>
      <c r="AB273" s="4" t="s">
        <v>2013</v>
      </c>
      <c r="AC273" s="4"/>
      <c r="AD273" s="4"/>
      <c r="AE273" s="4"/>
      <c r="AF273" s="4"/>
    </row>
    <row r="274" spans="1:458" x14ac:dyDescent="0.25">
      <c r="A274" s="45" t="str">
        <f t="shared" ref="A274:A332" si="34">"'"&amp;X274&amp;"',"</f>
        <v>'1629972611500323-0118402-44-01',</v>
      </c>
      <c r="B274" s="4" t="str">
        <f t="shared" ref="B274:B332" si="35">"'"&amp;T274&amp;"',"</f>
        <v>'1630057582141480-0313505-59-01',</v>
      </c>
      <c r="C274" s="15" t="s">
        <v>2344</v>
      </c>
      <c r="D274" s="5" t="s">
        <v>2329</v>
      </c>
      <c r="E274" s="5" t="s">
        <v>2339</v>
      </c>
      <c r="F274" s="5" t="s">
        <v>2338</v>
      </c>
      <c r="G274" s="29"/>
      <c r="H274" s="5"/>
      <c r="I274" s="22" t="s">
        <v>2361</v>
      </c>
      <c r="J274" s="16"/>
      <c r="K274" s="25"/>
      <c r="L274" s="16" t="s">
        <v>289</v>
      </c>
      <c r="M274" s="16" t="str">
        <f t="shared" si="33"/>
        <v>UPDATE CIFX.TB_SERVICE_EXECUTION_CONTROL SET EXECUTION_STATE = 'EXECUTED', ap_server_EXECUTING = NULL WHERE SERVICE_EXECUTION_CONTROL_ID IN ('1629972611503761-0118402-47-01') and execution_type = 'STAGE1_EXECUTION';</v>
      </c>
      <c r="N274" s="16" t="str">
        <f t="shared" si="32"/>
        <v>SELECT EXECUTION_TYPE,SERVICE_INTERCHANGE_ID,CIRCI_KEY,EXECUTION_STATE FROM CIFX.TB_SERVICE_EXECUTION_CONTROL WHERE SERVICE_EXECUTION_CONTROL_ID IN ('1629972611503761-0118402-47-01') AND EXECUTION_TYPE = 'STAGE1_EXECUTION';</v>
      </c>
      <c r="O274" s="7" t="str">
        <f t="shared" si="30"/>
        <v>發送異動通知電文給CIP回傳錯誤碼:UP0090_00_V201,錯誤碼訊息:必要性檢核錯誤,錯誤訊息:[檢查有誤，顧客ID已停用]</v>
      </c>
      <c r="P274" s="7" t="str">
        <f t="shared" si="31"/>
        <v>請協助處理</v>
      </c>
      <c r="Q274" s="7"/>
      <c r="R274" s="7"/>
      <c r="S274" s="16"/>
      <c r="T274" s="4" t="s">
        <v>2323</v>
      </c>
      <c r="U274" s="4" t="s">
        <v>17</v>
      </c>
      <c r="V274" s="4" t="s">
        <v>1</v>
      </c>
      <c r="W274" s="4" t="s">
        <v>2322</v>
      </c>
      <c r="X274" s="4" t="s">
        <v>2324</v>
      </c>
      <c r="Y274" s="4" t="s">
        <v>2325</v>
      </c>
      <c r="Z274" s="4" t="s">
        <v>2326</v>
      </c>
      <c r="AA274" s="37" t="s">
        <v>2309</v>
      </c>
      <c r="AB274" s="4" t="s">
        <v>2327</v>
      </c>
      <c r="AC274" s="4" t="s">
        <v>2315</v>
      </c>
      <c r="AD274" s="4" t="s">
        <v>2328</v>
      </c>
      <c r="AE274" s="4"/>
      <c r="AF274" s="4"/>
    </row>
    <row r="275" spans="1:458" x14ac:dyDescent="0.25">
      <c r="A275" s="4" t="str">
        <f t="shared" si="34"/>
        <v>'1630580252331897-1447929-48-02',</v>
      </c>
      <c r="B275" s="4" t="str">
        <f t="shared" si="35"/>
        <v>'1630580282471019-1452662-35-01',</v>
      </c>
      <c r="C275" s="15" t="s">
        <v>2368</v>
      </c>
      <c r="D275" s="5" t="s">
        <v>2362</v>
      </c>
      <c r="E275" s="5"/>
      <c r="F275" s="5"/>
      <c r="G275" s="29"/>
      <c r="H275" s="5"/>
      <c r="I275" s="22" t="s">
        <v>2353</v>
      </c>
      <c r="J275" s="16" t="s">
        <v>2354</v>
      </c>
      <c r="K275" s="25" t="s">
        <v>2355</v>
      </c>
      <c r="L275" s="16" t="s">
        <v>289</v>
      </c>
      <c r="M275" s="16" t="str">
        <f t="shared" si="33"/>
        <v>UPDATE CIFX.TB_SERVICE_EXECUTION_CONTROL SET EXECUTION_STATE = 'EXECUTED', ap_server_EXECUTING = NULL WHERE SERVICE_EXECUTION_CONTROL_ID IN ('1630580252344574-1447929-55-02') and execution_type = 'STAGE1_EXECUTION';</v>
      </c>
      <c r="N275" s="16" t="str">
        <f t="shared" si="32"/>
        <v>SELECT EXECUTION_TYPE,SERVICE_INTERCHANGE_ID,CIRCI_KEY,EXECUTION_STATE FROM CIFX.TB_SERVICE_EXECUTION_CONTROL WHERE SERVICE_EXECUTION_CONTROL_ID IN ('1630580252344574-1447929-55-02') AND EXECUTION_TYPE = 'STAGE1_EXECUTION';</v>
      </c>
      <c r="O275" s="7" t="str">
        <f t="shared" si="30"/>
        <v>發送異動通知電文，未回傳resultCode!!,回傳代碼描述:,錯誤訊息:[]</v>
      </c>
      <c r="P275" s="7" t="str">
        <f t="shared" si="31"/>
        <v>請協助處理</v>
      </c>
      <c r="Q275" s="7"/>
      <c r="R275" s="7"/>
      <c r="S275" s="16"/>
      <c r="T275" s="4" t="s">
        <v>2347</v>
      </c>
      <c r="U275" s="4" t="s">
        <v>17</v>
      </c>
      <c r="V275" s="4" t="s">
        <v>900</v>
      </c>
      <c r="W275" s="4" t="s">
        <v>2322</v>
      </c>
      <c r="X275" s="4" t="s">
        <v>2348</v>
      </c>
      <c r="Y275" s="4" t="s">
        <v>2349</v>
      </c>
      <c r="Z275" s="4" t="s">
        <v>2356</v>
      </c>
      <c r="AA275" s="37" t="s">
        <v>2350</v>
      </c>
      <c r="AB275" s="4" t="s">
        <v>2351</v>
      </c>
      <c r="AC275" s="4" t="s">
        <v>2352</v>
      </c>
      <c r="AD275" s="4"/>
      <c r="AE275" s="4"/>
      <c r="AF275" s="4"/>
    </row>
    <row r="276" spans="1:458" ht="33" x14ac:dyDescent="0.25">
      <c r="A276" s="4" t="str">
        <f t="shared" si="34"/>
        <v>'1631188988667918-2789898-49-02',</v>
      </c>
      <c r="B276" s="4" t="str">
        <f t="shared" si="35"/>
        <v>'1631188988989076-2789899-86-02',</v>
      </c>
      <c r="C276" s="15" t="s">
        <v>2380</v>
      </c>
      <c r="D276" s="5" t="s">
        <v>2374</v>
      </c>
      <c r="E276" s="5" t="s">
        <v>2379</v>
      </c>
      <c r="F276" s="5" t="s">
        <v>2376</v>
      </c>
      <c r="G276" s="29"/>
      <c r="H276" s="5"/>
      <c r="I276" s="22" t="s">
        <v>2379</v>
      </c>
      <c r="J276" s="16"/>
      <c r="K276" s="25"/>
      <c r="L276" s="16" t="s">
        <v>289</v>
      </c>
      <c r="M276" s="16" t="str">
        <f t="shared" si="33"/>
        <v>UPDATE CIFX.TB_SERVICE_EXECUTION_CONTROL SET EXECUTION_STATE = 'EXECUTED', ap_server_EXECUTING = NULL WHERE SERVICE_EXECUTION_CONTROL_ID IN ('1631188988751575-2789838-59-02') and execution_type = 'STAGE1_EXECUTION';</v>
      </c>
      <c r="N276" s="16" t="str">
        <f t="shared" si="32"/>
        <v>SELECT EXECUTION_TYPE,SERVICE_INTERCHANGE_ID,CIRCI_KEY,EXECUTION_STATE FROM CIFX.TB_SERVICE_EXECUTION_CONTROL WHERE SERVICE_EXECUTION_CONTROL_ID IN ('1631188988751575-2789838-59-02') AND EXECUTION_TYPE = 'STAGE1_EXECUTION';</v>
      </c>
      <c r="O276" s="7" t="str">
        <f t="shared" si="30"/>
        <v>(補上改號資訊) ~~發送異動通知電文給CIP回傳錯誤碼:UP0090_00_V201</v>
      </c>
      <c r="P276" s="7" t="str">
        <f>IF(O276="","","請協助處理，已補上改號資訊")</f>
        <v>請協助處理，已補上改號資訊</v>
      </c>
      <c r="Q276" s="7" t="s">
        <v>162</v>
      </c>
      <c r="R276" s="7"/>
      <c r="S276" s="16" t="s">
        <v>299</v>
      </c>
      <c r="T276" s="4" t="s">
        <v>2372</v>
      </c>
      <c r="U276" s="4" t="s">
        <v>17</v>
      </c>
      <c r="V276" s="4" t="s">
        <v>2371</v>
      </c>
      <c r="W276" s="4" t="s">
        <v>2363</v>
      </c>
      <c r="X276" s="4" t="s">
        <v>2365</v>
      </c>
      <c r="Y276" s="4" t="s">
        <v>2375</v>
      </c>
      <c r="Z276" s="4" t="s">
        <v>2366</v>
      </c>
      <c r="AA276" s="37" t="s">
        <v>2373</v>
      </c>
      <c r="AB276" s="4" t="s">
        <v>1976</v>
      </c>
      <c r="AC276" s="4" t="s">
        <v>2315</v>
      </c>
      <c r="AD276" s="4" t="s">
        <v>2367</v>
      </c>
      <c r="AE276" s="32" t="s">
        <v>2369</v>
      </c>
      <c r="AF276" s="4" t="s">
        <v>2370</v>
      </c>
    </row>
    <row r="277" spans="1:458" x14ac:dyDescent="0.25">
      <c r="A277" s="4" t="str">
        <f t="shared" si="34"/>
        <v>'1631282359201801-3003350-27-02',</v>
      </c>
      <c r="B277" s="4" t="str">
        <f t="shared" si="35"/>
        <v>'1631282359972060-2998842-39-01',</v>
      </c>
      <c r="C277" s="15" t="s">
        <v>2380</v>
      </c>
      <c r="D277" s="5" t="s">
        <v>2641</v>
      </c>
      <c r="E277" s="5" t="s">
        <v>2642</v>
      </c>
      <c r="F277" s="5" t="s">
        <v>2639</v>
      </c>
      <c r="G277" s="29"/>
      <c r="H277" s="5"/>
      <c r="I277" s="22" t="s">
        <v>2643</v>
      </c>
      <c r="J277" s="16"/>
      <c r="K277" s="25"/>
      <c r="L277" s="16" t="s">
        <v>289</v>
      </c>
      <c r="M277" s="16" t="str">
        <f t="shared" si="33"/>
        <v>UPDATE CIFX.TB_SERVICE_EXECUTION_CONTROL SET EXECUTION_STATE = 'EXECUTED', ap_server_EXECUTING = NULL WHERE SERVICE_EXECUTION_CONTROL_ID IN ('1631282359227805-3003350-70-02') and execution_type = 'STAGE1_EXECUTION';</v>
      </c>
      <c r="N277" s="16" t="str">
        <f t="shared" si="32"/>
        <v>SELECT EXECUTION_TYPE,SERVICE_INTERCHANGE_ID,CIRCI_KEY,EXECUTION_STATE FROM CIFX.TB_SERVICE_EXECUTION_CONTROL WHERE SERVICE_EXECUTION_CONTROL_ID IN ('1631282359227805-3003350-70-02') AND EXECUTION_TYPE = 'STAGE1_EXECUTION';</v>
      </c>
      <c r="O277" s="7" t="str">
        <f t="shared" si="30"/>
        <v>發送異動通知電文給CIP回傳錯誤碼:UP0090_00_E301</v>
      </c>
      <c r="P277" s="7" t="str">
        <f t="shared" si="31"/>
        <v>請協助處理</v>
      </c>
      <c r="Q277" s="7"/>
      <c r="R277" s="7"/>
      <c r="S277" s="16"/>
      <c r="T277" s="4" t="s">
        <v>2572</v>
      </c>
      <c r="U277" s="4" t="s">
        <v>17</v>
      </c>
      <c r="V277" s="4" t="s">
        <v>2381</v>
      </c>
      <c r="W277" s="4" t="s">
        <v>2382</v>
      </c>
      <c r="X277" s="4" t="s">
        <v>2635</v>
      </c>
      <c r="Y277" s="4" t="s">
        <v>2638</v>
      </c>
      <c r="Z277" s="4" t="s">
        <v>2637</v>
      </c>
      <c r="AA277" s="37" t="s">
        <v>2570</v>
      </c>
      <c r="AB277" s="4" t="s">
        <v>2571</v>
      </c>
      <c r="AC277" s="4" t="s">
        <v>2352</v>
      </c>
      <c r="AD277" s="4" t="s">
        <v>2633</v>
      </c>
      <c r="AE277" s="4"/>
      <c r="AF277" s="4"/>
    </row>
    <row r="278" spans="1:458" x14ac:dyDescent="0.25">
      <c r="A278" s="4" t="str">
        <f t="shared" si="34"/>
        <v>'1631274663226272-2984995-87-02',</v>
      </c>
      <c r="B278" s="4" t="str">
        <f t="shared" si="35"/>
        <v>'1631274664247386-2980763-81-01',</v>
      </c>
      <c r="C278" s="15" t="s">
        <v>2380</v>
      </c>
      <c r="D278" s="5" t="s">
        <v>2641</v>
      </c>
      <c r="E278" s="5" t="s">
        <v>2380</v>
      </c>
      <c r="F278" s="5" t="s">
        <v>2640</v>
      </c>
      <c r="G278" s="29"/>
      <c r="H278" s="5"/>
      <c r="I278" s="22" t="s">
        <v>2643</v>
      </c>
      <c r="J278" s="16"/>
      <c r="K278" s="25"/>
      <c r="L278" s="16" t="s">
        <v>289</v>
      </c>
      <c r="M278" s="16" t="str">
        <f t="shared" si="33"/>
        <v>UPDATE CIFX.TB_SERVICE_EXECUTION_CONTROL SET EXECUTION_STATE = 'EXECUTED', ap_server_EXECUTING = NULL WHERE SERVICE_EXECUTION_CONTROL_ID IN ('1631274663265688-2984995-40-02') and execution_type = 'STAGE1_EXECUTION';</v>
      </c>
      <c r="N278" s="16" t="str">
        <f t="shared" si="32"/>
        <v>SELECT EXECUTION_TYPE,SERVICE_INTERCHANGE_ID,CIRCI_KEY,EXECUTION_STATE FROM CIFX.TB_SERVICE_EXECUTION_CONTROL WHERE SERVICE_EXECUTION_CONTROL_ID IN ('1631274663265688-2984995-40-02') AND EXECUTION_TYPE = 'STAGE1_EXECUTION';</v>
      </c>
      <c r="O278" s="7" t="str">
        <f t="shared" si="30"/>
        <v>發送異動通知電文給CIP回傳錯誤碼:UP0090_00_E301</v>
      </c>
      <c r="P278" s="7" t="str">
        <f t="shared" si="31"/>
        <v>請協助處理</v>
      </c>
      <c r="Q278" s="7"/>
      <c r="R278" s="7"/>
      <c r="S278" s="16"/>
      <c r="T278" s="4" t="s">
        <v>2573</v>
      </c>
      <c r="U278" s="4" t="s">
        <v>17</v>
      </c>
      <c r="V278" s="4" t="s">
        <v>2381</v>
      </c>
      <c r="W278" s="4" t="s">
        <v>2382</v>
      </c>
      <c r="X278" s="4" t="s">
        <v>2636</v>
      </c>
      <c r="Y278" s="4" t="s">
        <v>2634</v>
      </c>
      <c r="Z278" s="4" t="s">
        <v>2574</v>
      </c>
      <c r="AA278" s="37" t="s">
        <v>2575</v>
      </c>
      <c r="AB278" s="4" t="s">
        <v>2576</v>
      </c>
      <c r="AC278" s="4" t="s">
        <v>2315</v>
      </c>
      <c r="AD278" s="4" t="s">
        <v>2632</v>
      </c>
      <c r="AE278" s="4" t="s">
        <v>2577</v>
      </c>
      <c r="AF278" s="4" t="s">
        <v>2578</v>
      </c>
      <c r="AG278" t="s">
        <v>2579</v>
      </c>
      <c r="AH278" t="s">
        <v>2580</v>
      </c>
      <c r="AI278" t="s">
        <v>2581</v>
      </c>
      <c r="AJ278" t="s">
        <v>2582</v>
      </c>
      <c r="AK278" t="s">
        <v>2583</v>
      </c>
      <c r="AL278" t="s">
        <v>2584</v>
      </c>
      <c r="AM278" t="s">
        <v>2585</v>
      </c>
      <c r="AN278" t="s">
        <v>2586</v>
      </c>
      <c r="AO278" t="s">
        <v>2587</v>
      </c>
      <c r="AP278" t="s">
        <v>2588</v>
      </c>
      <c r="AQ278" t="s">
        <v>2589</v>
      </c>
      <c r="AR278" t="s">
        <v>2590</v>
      </c>
      <c r="AS278" t="s">
        <v>2591</v>
      </c>
      <c r="AT278" t="s">
        <v>2592</v>
      </c>
      <c r="AU278" t="s">
        <v>2593</v>
      </c>
      <c r="AV278" t="s">
        <v>2594</v>
      </c>
      <c r="AW278" t="s">
        <v>2595</v>
      </c>
      <c r="AX278" t="s">
        <v>2596</v>
      </c>
      <c r="AY278" t="s">
        <v>2597</v>
      </c>
      <c r="AZ278" t="s">
        <v>2598</v>
      </c>
      <c r="BA278" t="s">
        <v>2599</v>
      </c>
      <c r="BB278" t="s">
        <v>2600</v>
      </c>
      <c r="BC278" t="s">
        <v>2601</v>
      </c>
      <c r="BD278" t="s">
        <v>2602</v>
      </c>
      <c r="BE278" t="s">
        <v>2603</v>
      </c>
      <c r="BF278" t="s">
        <v>2604</v>
      </c>
      <c r="BG278" t="s">
        <v>2605</v>
      </c>
      <c r="BH278" t="s">
        <v>2606</v>
      </c>
      <c r="BI278" t="s">
        <v>2607</v>
      </c>
      <c r="BJ278" t="s">
        <v>2608</v>
      </c>
      <c r="BK278" t="s">
        <v>2609</v>
      </c>
      <c r="BL278" t="s">
        <v>2610</v>
      </c>
      <c r="BM278" t="s">
        <v>2611</v>
      </c>
      <c r="BN278" t="s">
        <v>2612</v>
      </c>
      <c r="BO278" t="s">
        <v>1774</v>
      </c>
      <c r="BP278" t="s">
        <v>2585</v>
      </c>
      <c r="BQ278" t="s">
        <v>2613</v>
      </c>
      <c r="BR278" t="s">
        <v>2614</v>
      </c>
      <c r="BS278" t="s">
        <v>2615</v>
      </c>
      <c r="BT278" t="s">
        <v>2616</v>
      </c>
      <c r="BU278" t="s">
        <v>2617</v>
      </c>
      <c r="BV278" t="s">
        <v>2618</v>
      </c>
      <c r="BW278" t="s">
        <v>2619</v>
      </c>
      <c r="BX278" t="s">
        <v>2620</v>
      </c>
      <c r="BY278" t="s">
        <v>2621</v>
      </c>
      <c r="BZ278" t="s">
        <v>2622</v>
      </c>
      <c r="CA278" t="s">
        <v>2623</v>
      </c>
      <c r="CB278" t="s">
        <v>2624</v>
      </c>
      <c r="CC278" t="s">
        <v>2625</v>
      </c>
      <c r="CD278" t="s">
        <v>2626</v>
      </c>
      <c r="CE278" t="s">
        <v>2627</v>
      </c>
      <c r="CF278" t="s">
        <v>2628</v>
      </c>
      <c r="CG278" t="s">
        <v>2629</v>
      </c>
      <c r="CH278" t="s">
        <v>1778</v>
      </c>
      <c r="CI278" t="s">
        <v>2630</v>
      </c>
      <c r="CJ278" t="s">
        <v>2520</v>
      </c>
      <c r="CK278" t="s">
        <v>2521</v>
      </c>
      <c r="CL278" t="s">
        <v>2383</v>
      </c>
      <c r="CM278" t="s">
        <v>2384</v>
      </c>
      <c r="CN278" t="s">
        <v>2522</v>
      </c>
      <c r="CO278" t="s">
        <v>2523</v>
      </c>
      <c r="CP278" t="s">
        <v>2385</v>
      </c>
      <c r="CQ278" t="s">
        <v>2386</v>
      </c>
      <c r="CR278" t="s">
        <v>2524</v>
      </c>
      <c r="CS278" t="s">
        <v>2525</v>
      </c>
      <c r="CT278" t="s">
        <v>2387</v>
      </c>
      <c r="CU278" t="s">
        <v>2388</v>
      </c>
      <c r="CV278" t="s">
        <v>2389</v>
      </c>
      <c r="CW278" t="s">
        <v>2390</v>
      </c>
      <c r="CX278" t="s">
        <v>2526</v>
      </c>
      <c r="CY278" t="s">
        <v>2391</v>
      </c>
      <c r="CZ278" t="s">
        <v>2527</v>
      </c>
      <c r="DA278" t="s">
        <v>2392</v>
      </c>
      <c r="DB278" t="s">
        <v>2528</v>
      </c>
      <c r="DC278" t="s">
        <v>2529</v>
      </c>
      <c r="DD278" t="s">
        <v>2393</v>
      </c>
      <c r="DE278" t="s">
        <v>2394</v>
      </c>
      <c r="DF278" t="s">
        <v>2395</v>
      </c>
      <c r="DG278" t="s">
        <v>2530</v>
      </c>
      <c r="DH278" t="s">
        <v>2531</v>
      </c>
      <c r="DI278" t="s">
        <v>2532</v>
      </c>
      <c r="DJ278" t="s">
        <v>2396</v>
      </c>
      <c r="DK278" t="s">
        <v>2397</v>
      </c>
      <c r="DL278" t="s">
        <v>2398</v>
      </c>
      <c r="DM278" t="s">
        <v>2399</v>
      </c>
      <c r="DN278" t="s">
        <v>2400</v>
      </c>
      <c r="DO278" t="s">
        <v>2401</v>
      </c>
      <c r="DP278" t="s">
        <v>2402</v>
      </c>
      <c r="DQ278" t="s">
        <v>2403</v>
      </c>
      <c r="DR278" t="s">
        <v>2404</v>
      </c>
      <c r="DS278" t="s">
        <v>2405</v>
      </c>
      <c r="DT278" t="s">
        <v>2406</v>
      </c>
      <c r="DU278" t="s">
        <v>2407</v>
      </c>
      <c r="DV278" t="s">
        <v>2408</v>
      </c>
      <c r="DW278" t="s">
        <v>2533</v>
      </c>
      <c r="DX278" t="s">
        <v>2409</v>
      </c>
      <c r="DY278" t="s">
        <v>2402</v>
      </c>
      <c r="DZ278" t="s">
        <v>2410</v>
      </c>
      <c r="EA278" t="s">
        <v>2411</v>
      </c>
      <c r="EB278" t="s">
        <v>2412</v>
      </c>
      <c r="EC278" t="s">
        <v>2413</v>
      </c>
      <c r="ED278" t="s">
        <v>2414</v>
      </c>
      <c r="EE278" t="s">
        <v>2415</v>
      </c>
      <c r="EF278" t="s">
        <v>2534</v>
      </c>
      <c r="EG278" t="s">
        <v>2409</v>
      </c>
      <c r="EH278" t="s">
        <v>2402</v>
      </c>
      <c r="EI278" t="s">
        <v>2416</v>
      </c>
      <c r="EJ278" t="s">
        <v>2417</v>
      </c>
      <c r="EK278" t="s">
        <v>2418</v>
      </c>
      <c r="EL278" t="s">
        <v>2406</v>
      </c>
      <c r="EM278" t="s">
        <v>2407</v>
      </c>
      <c r="EN278" t="s">
        <v>2408</v>
      </c>
      <c r="EO278" t="s">
        <v>2419</v>
      </c>
      <c r="EP278" t="s">
        <v>2409</v>
      </c>
      <c r="EQ278" t="s">
        <v>2402</v>
      </c>
      <c r="ER278" t="s">
        <v>2420</v>
      </c>
      <c r="ES278" t="s">
        <v>2421</v>
      </c>
      <c r="ET278" t="s">
        <v>2422</v>
      </c>
      <c r="EU278" t="s">
        <v>2413</v>
      </c>
      <c r="EV278" t="s">
        <v>2414</v>
      </c>
      <c r="EW278" t="s">
        <v>2415</v>
      </c>
      <c r="EX278" t="s">
        <v>2423</v>
      </c>
      <c r="EY278" t="s">
        <v>2409</v>
      </c>
      <c r="EZ278" t="s">
        <v>2402</v>
      </c>
      <c r="FA278" t="s">
        <v>2424</v>
      </c>
      <c r="FB278" t="s">
        <v>2425</v>
      </c>
      <c r="FC278" t="s">
        <v>2426</v>
      </c>
      <c r="FD278" t="s">
        <v>2413</v>
      </c>
      <c r="FE278" t="s">
        <v>2414</v>
      </c>
      <c r="FF278" t="s">
        <v>2415</v>
      </c>
      <c r="FG278" t="s">
        <v>2427</v>
      </c>
      <c r="FH278" t="s">
        <v>2409</v>
      </c>
      <c r="FI278" t="s">
        <v>2402</v>
      </c>
      <c r="FJ278" t="s">
        <v>2535</v>
      </c>
      <c r="FK278" t="s">
        <v>2536</v>
      </c>
      <c r="FL278" t="s">
        <v>2537</v>
      </c>
      <c r="FM278" t="s">
        <v>2413</v>
      </c>
      <c r="FN278" t="s">
        <v>2414</v>
      </c>
      <c r="FO278" t="s">
        <v>2415</v>
      </c>
      <c r="FP278" t="s">
        <v>2538</v>
      </c>
      <c r="FQ278" t="s">
        <v>2409</v>
      </c>
      <c r="FR278" t="s">
        <v>2402</v>
      </c>
      <c r="FS278" t="s">
        <v>2428</v>
      </c>
      <c r="FT278" t="s">
        <v>2429</v>
      </c>
      <c r="FU278" t="s">
        <v>2430</v>
      </c>
      <c r="FV278" t="s">
        <v>2406</v>
      </c>
      <c r="FW278" t="s">
        <v>2407</v>
      </c>
      <c r="FX278" t="s">
        <v>2408</v>
      </c>
      <c r="FY278" t="s">
        <v>2533</v>
      </c>
      <c r="FZ278" t="s">
        <v>2409</v>
      </c>
      <c r="GA278" t="s">
        <v>2402</v>
      </c>
      <c r="GB278" t="s">
        <v>2539</v>
      </c>
      <c r="GC278" t="s">
        <v>2540</v>
      </c>
      <c r="GD278" t="s">
        <v>2541</v>
      </c>
      <c r="GE278" t="s">
        <v>2462</v>
      </c>
      <c r="GF278" t="s">
        <v>2463</v>
      </c>
      <c r="GG278" t="s">
        <v>2464</v>
      </c>
      <c r="GH278" t="s">
        <v>2542</v>
      </c>
      <c r="GI278" t="s">
        <v>2409</v>
      </c>
      <c r="GJ278" t="s">
        <v>2402</v>
      </c>
      <c r="GK278" t="s">
        <v>2431</v>
      </c>
      <c r="GL278" t="s">
        <v>2432</v>
      </c>
      <c r="GM278" t="s">
        <v>2433</v>
      </c>
      <c r="GN278" t="s">
        <v>2413</v>
      </c>
      <c r="GO278" t="s">
        <v>2414</v>
      </c>
      <c r="GP278" t="s">
        <v>2415</v>
      </c>
      <c r="GQ278" t="s">
        <v>2423</v>
      </c>
      <c r="GR278" t="s">
        <v>2409</v>
      </c>
      <c r="GS278" t="s">
        <v>2402</v>
      </c>
      <c r="GT278" t="s">
        <v>2434</v>
      </c>
      <c r="GU278" t="s">
        <v>2435</v>
      </c>
      <c r="GV278" t="s">
        <v>2436</v>
      </c>
      <c r="GW278" t="s">
        <v>2437</v>
      </c>
      <c r="GX278" t="s">
        <v>2438</v>
      </c>
      <c r="GY278" t="s">
        <v>2439</v>
      </c>
      <c r="GZ278" t="s">
        <v>2423</v>
      </c>
      <c r="HA278" t="s">
        <v>2409</v>
      </c>
      <c r="HB278" t="s">
        <v>2402</v>
      </c>
      <c r="HC278" t="s">
        <v>2440</v>
      </c>
      <c r="HD278" t="s">
        <v>2441</v>
      </c>
      <c r="HE278" t="s">
        <v>2442</v>
      </c>
      <c r="HF278" t="s">
        <v>2413</v>
      </c>
      <c r="HG278" t="s">
        <v>2414</v>
      </c>
      <c r="HH278" t="s">
        <v>2415</v>
      </c>
      <c r="HI278" t="s">
        <v>2443</v>
      </c>
      <c r="HJ278" t="s">
        <v>2409</v>
      </c>
      <c r="HK278" t="s">
        <v>2402</v>
      </c>
      <c r="HL278" t="s">
        <v>2444</v>
      </c>
      <c r="HM278" t="s">
        <v>2445</v>
      </c>
      <c r="HN278" t="s">
        <v>2446</v>
      </c>
      <c r="HO278" t="s">
        <v>2413</v>
      </c>
      <c r="HP278" t="s">
        <v>2414</v>
      </c>
      <c r="HQ278" t="s">
        <v>2415</v>
      </c>
      <c r="HR278" t="s">
        <v>2447</v>
      </c>
      <c r="HS278" t="s">
        <v>2409</v>
      </c>
      <c r="HT278" t="s">
        <v>2402</v>
      </c>
      <c r="HU278" t="s">
        <v>2448</v>
      </c>
      <c r="HV278" t="s">
        <v>2449</v>
      </c>
      <c r="HW278" t="s">
        <v>2450</v>
      </c>
      <c r="HX278" t="s">
        <v>2413</v>
      </c>
      <c r="HY278" t="s">
        <v>2414</v>
      </c>
      <c r="HZ278" t="s">
        <v>2415</v>
      </c>
      <c r="IA278" t="s">
        <v>2451</v>
      </c>
      <c r="IB278" t="s">
        <v>2409</v>
      </c>
      <c r="IC278" t="s">
        <v>2402</v>
      </c>
      <c r="ID278" t="s">
        <v>2452</v>
      </c>
      <c r="IE278" t="s">
        <v>2453</v>
      </c>
      <c r="IF278" t="s">
        <v>2454</v>
      </c>
      <c r="IG278" t="s">
        <v>2455</v>
      </c>
      <c r="IH278" t="s">
        <v>2456</v>
      </c>
      <c r="II278" t="s">
        <v>2457</v>
      </c>
      <c r="IJ278" t="s">
        <v>2458</v>
      </c>
      <c r="IK278" t="s">
        <v>2409</v>
      </c>
      <c r="IL278" t="s">
        <v>2402</v>
      </c>
      <c r="IM278" t="s">
        <v>2459</v>
      </c>
      <c r="IN278" t="s">
        <v>2460</v>
      </c>
      <c r="IO278" t="s">
        <v>2461</v>
      </c>
      <c r="IP278" t="s">
        <v>2462</v>
      </c>
      <c r="IQ278" t="s">
        <v>2463</v>
      </c>
      <c r="IR278" t="s">
        <v>2464</v>
      </c>
      <c r="IS278" t="s">
        <v>2465</v>
      </c>
      <c r="IT278" t="s">
        <v>2409</v>
      </c>
      <c r="IU278" t="s">
        <v>2402</v>
      </c>
      <c r="IV278" t="s">
        <v>2466</v>
      </c>
      <c r="IW278" t="s">
        <v>2467</v>
      </c>
      <c r="IX278" t="s">
        <v>2468</v>
      </c>
      <c r="IY278" t="s">
        <v>2462</v>
      </c>
      <c r="IZ278" t="s">
        <v>2463</v>
      </c>
      <c r="JA278" t="s">
        <v>2464</v>
      </c>
      <c r="JB278" t="s">
        <v>2542</v>
      </c>
      <c r="JC278" t="s">
        <v>2409</v>
      </c>
      <c r="JD278" t="s">
        <v>2402</v>
      </c>
      <c r="JE278" t="s">
        <v>2469</v>
      </c>
      <c r="JF278" t="s">
        <v>2470</v>
      </c>
      <c r="JG278" t="s">
        <v>2471</v>
      </c>
      <c r="JH278" t="s">
        <v>2462</v>
      </c>
      <c r="JI278" t="s">
        <v>2463</v>
      </c>
      <c r="JJ278" t="s">
        <v>2464</v>
      </c>
      <c r="JK278" t="s">
        <v>2543</v>
      </c>
      <c r="JL278" t="s">
        <v>2409</v>
      </c>
      <c r="JM278" t="s">
        <v>2402</v>
      </c>
      <c r="JN278" t="s">
        <v>2472</v>
      </c>
      <c r="JO278" t="s">
        <v>2473</v>
      </c>
      <c r="JP278" t="s">
        <v>2474</v>
      </c>
      <c r="JQ278" t="s">
        <v>2462</v>
      </c>
      <c r="JR278" t="s">
        <v>2463</v>
      </c>
      <c r="JS278" t="s">
        <v>2464</v>
      </c>
      <c r="JT278" t="s">
        <v>2544</v>
      </c>
      <c r="JU278" t="s">
        <v>2409</v>
      </c>
      <c r="JV278" t="s">
        <v>2402</v>
      </c>
      <c r="JW278" t="s">
        <v>2475</v>
      </c>
      <c r="JX278" t="s">
        <v>2476</v>
      </c>
      <c r="JY278" t="s">
        <v>2477</v>
      </c>
      <c r="JZ278" t="s">
        <v>2462</v>
      </c>
      <c r="KA278" t="s">
        <v>2463</v>
      </c>
      <c r="KB278" t="s">
        <v>2464</v>
      </c>
      <c r="KC278" t="s">
        <v>2545</v>
      </c>
      <c r="KD278" t="s">
        <v>2409</v>
      </c>
      <c r="KE278" t="s">
        <v>2402</v>
      </c>
      <c r="KF278" t="s">
        <v>2478</v>
      </c>
      <c r="KG278" t="s">
        <v>2479</v>
      </c>
      <c r="KH278" t="s">
        <v>2480</v>
      </c>
      <c r="KI278" t="s">
        <v>2462</v>
      </c>
      <c r="KJ278" t="s">
        <v>2463</v>
      </c>
      <c r="KK278" t="s">
        <v>2464</v>
      </c>
      <c r="KL278" t="s">
        <v>2546</v>
      </c>
      <c r="KM278" t="s">
        <v>2409</v>
      </c>
      <c r="KN278" t="s">
        <v>2402</v>
      </c>
      <c r="KO278" t="s">
        <v>2547</v>
      </c>
      <c r="KP278" t="s">
        <v>2548</v>
      </c>
      <c r="KQ278" t="s">
        <v>2549</v>
      </c>
      <c r="KR278" t="s">
        <v>2462</v>
      </c>
      <c r="KS278" t="s">
        <v>2463</v>
      </c>
      <c r="KT278" t="s">
        <v>2464</v>
      </c>
      <c r="KU278" t="s">
        <v>2550</v>
      </c>
      <c r="KV278" t="s">
        <v>2409</v>
      </c>
      <c r="KW278" t="s">
        <v>2402</v>
      </c>
      <c r="KX278" t="s">
        <v>2481</v>
      </c>
      <c r="KY278" t="s">
        <v>2482</v>
      </c>
      <c r="KZ278" t="s">
        <v>2483</v>
      </c>
      <c r="LA278" t="s">
        <v>2413</v>
      </c>
      <c r="LB278" t="s">
        <v>2414</v>
      </c>
      <c r="LC278" t="s">
        <v>2415</v>
      </c>
      <c r="LD278" t="s">
        <v>2551</v>
      </c>
      <c r="LE278" t="s">
        <v>2409</v>
      </c>
      <c r="LF278" t="s">
        <v>2402</v>
      </c>
      <c r="LG278" t="s">
        <v>2484</v>
      </c>
      <c r="LH278" t="s">
        <v>2485</v>
      </c>
      <c r="LI278" t="s">
        <v>2486</v>
      </c>
      <c r="LJ278" t="s">
        <v>2413</v>
      </c>
      <c r="LK278" t="s">
        <v>2414</v>
      </c>
      <c r="LL278" t="s">
        <v>2415</v>
      </c>
      <c r="LM278" t="s">
        <v>2487</v>
      </c>
      <c r="LN278" t="s">
        <v>2409</v>
      </c>
      <c r="LO278" t="s">
        <v>2402</v>
      </c>
      <c r="LP278" t="s">
        <v>2488</v>
      </c>
      <c r="LQ278" t="s">
        <v>2489</v>
      </c>
      <c r="LR278" t="s">
        <v>2490</v>
      </c>
      <c r="LS278" t="s">
        <v>2462</v>
      </c>
      <c r="LT278" t="s">
        <v>2463</v>
      </c>
      <c r="LU278" t="s">
        <v>2464</v>
      </c>
      <c r="LV278" t="s">
        <v>2542</v>
      </c>
      <c r="LW278" t="s">
        <v>2409</v>
      </c>
      <c r="LX278" t="s">
        <v>2402</v>
      </c>
      <c r="LY278" t="s">
        <v>2552</v>
      </c>
      <c r="LZ278" t="s">
        <v>2553</v>
      </c>
      <c r="MA278" t="s">
        <v>2554</v>
      </c>
      <c r="MB278" t="s">
        <v>2462</v>
      </c>
      <c r="MC278" t="s">
        <v>2463</v>
      </c>
      <c r="MD278" t="s">
        <v>2464</v>
      </c>
      <c r="ME278" t="s">
        <v>2465</v>
      </c>
      <c r="MF278" t="s">
        <v>2409</v>
      </c>
      <c r="MG278" t="s">
        <v>2402</v>
      </c>
      <c r="MH278" t="s">
        <v>2491</v>
      </c>
      <c r="MI278" t="s">
        <v>2492</v>
      </c>
      <c r="MJ278" t="s">
        <v>2493</v>
      </c>
      <c r="MK278" t="s">
        <v>2462</v>
      </c>
      <c r="ML278" t="s">
        <v>2463</v>
      </c>
      <c r="MM278" t="s">
        <v>2464</v>
      </c>
      <c r="MN278" t="s">
        <v>2546</v>
      </c>
      <c r="MO278" t="s">
        <v>2409</v>
      </c>
      <c r="MP278" t="s">
        <v>2402</v>
      </c>
      <c r="MQ278" t="s">
        <v>2494</v>
      </c>
      <c r="MR278" t="s">
        <v>2495</v>
      </c>
      <c r="MS278" t="s">
        <v>2496</v>
      </c>
      <c r="MT278" t="s">
        <v>2462</v>
      </c>
      <c r="MU278" t="s">
        <v>2463</v>
      </c>
      <c r="MV278" t="s">
        <v>2464</v>
      </c>
      <c r="MW278" t="s">
        <v>2555</v>
      </c>
      <c r="MX278" t="s">
        <v>2409</v>
      </c>
      <c r="MY278" t="s">
        <v>2402</v>
      </c>
      <c r="MZ278" t="s">
        <v>2497</v>
      </c>
      <c r="NA278" t="s">
        <v>2498</v>
      </c>
      <c r="NB278" t="s">
        <v>2499</v>
      </c>
      <c r="NC278" t="s">
        <v>2462</v>
      </c>
      <c r="ND278" t="s">
        <v>2463</v>
      </c>
      <c r="NE278" t="s">
        <v>2464</v>
      </c>
      <c r="NF278" t="s">
        <v>2543</v>
      </c>
      <c r="NG278" t="s">
        <v>2409</v>
      </c>
      <c r="NH278" t="s">
        <v>2402</v>
      </c>
      <c r="NI278" t="s">
        <v>2500</v>
      </c>
      <c r="NJ278" t="s">
        <v>2501</v>
      </c>
      <c r="NK278" t="s">
        <v>2502</v>
      </c>
      <c r="NL278" t="s">
        <v>2462</v>
      </c>
      <c r="NM278" t="s">
        <v>2463</v>
      </c>
      <c r="NN278" t="s">
        <v>2464</v>
      </c>
      <c r="NO278" t="s">
        <v>2545</v>
      </c>
      <c r="NP278" t="s">
        <v>2409</v>
      </c>
      <c r="NQ278" t="s">
        <v>2402</v>
      </c>
      <c r="NR278" t="s">
        <v>2556</v>
      </c>
      <c r="NS278" t="s">
        <v>2557</v>
      </c>
      <c r="NT278" t="s">
        <v>2558</v>
      </c>
      <c r="NU278" t="s">
        <v>2413</v>
      </c>
      <c r="NV278" t="s">
        <v>2414</v>
      </c>
      <c r="NW278" t="s">
        <v>2415</v>
      </c>
      <c r="NX278" t="s">
        <v>2465</v>
      </c>
      <c r="NY278" t="s">
        <v>2409</v>
      </c>
      <c r="NZ278" t="s">
        <v>2402</v>
      </c>
      <c r="OA278" t="s">
        <v>2559</v>
      </c>
      <c r="OB278" t="s">
        <v>2560</v>
      </c>
      <c r="OC278" t="s">
        <v>2561</v>
      </c>
      <c r="OD278" t="s">
        <v>2413</v>
      </c>
      <c r="OE278" t="s">
        <v>2414</v>
      </c>
      <c r="OF278" t="s">
        <v>2415</v>
      </c>
      <c r="OG278" t="s">
        <v>2562</v>
      </c>
      <c r="OH278" t="s">
        <v>2409</v>
      </c>
      <c r="OI278" t="s">
        <v>2402</v>
      </c>
      <c r="OJ278" t="s">
        <v>2563</v>
      </c>
      <c r="OK278" t="s">
        <v>2564</v>
      </c>
      <c r="OL278" t="s">
        <v>2565</v>
      </c>
      <c r="OM278" t="s">
        <v>2413</v>
      </c>
      <c r="ON278" t="s">
        <v>2414</v>
      </c>
      <c r="OO278" t="s">
        <v>2415</v>
      </c>
      <c r="OP278" t="s">
        <v>2566</v>
      </c>
      <c r="OQ278" t="s">
        <v>2409</v>
      </c>
      <c r="OR278" t="s">
        <v>2402</v>
      </c>
      <c r="OS278" t="s">
        <v>2503</v>
      </c>
      <c r="OT278" t="s">
        <v>2504</v>
      </c>
      <c r="OU278" t="s">
        <v>2505</v>
      </c>
      <c r="OV278" t="s">
        <v>2462</v>
      </c>
      <c r="OW278" t="s">
        <v>2463</v>
      </c>
      <c r="OX278" t="s">
        <v>2464</v>
      </c>
      <c r="OY278" t="s">
        <v>2443</v>
      </c>
      <c r="OZ278" t="s">
        <v>2409</v>
      </c>
      <c r="PA278" t="s">
        <v>2402</v>
      </c>
      <c r="PB278" t="s">
        <v>2506</v>
      </c>
      <c r="PC278" t="s">
        <v>2507</v>
      </c>
      <c r="PD278" t="s">
        <v>2508</v>
      </c>
      <c r="PE278" t="s">
        <v>2413</v>
      </c>
      <c r="PF278" t="s">
        <v>2414</v>
      </c>
      <c r="PG278" t="s">
        <v>2415</v>
      </c>
      <c r="PH278" t="s">
        <v>2567</v>
      </c>
      <c r="PI278" t="s">
        <v>2409</v>
      </c>
      <c r="PJ278" t="s">
        <v>2402</v>
      </c>
      <c r="PK278" t="s">
        <v>2509</v>
      </c>
      <c r="PL278" t="s">
        <v>2510</v>
      </c>
      <c r="PM278" t="s">
        <v>2511</v>
      </c>
      <c r="PN278" t="s">
        <v>2462</v>
      </c>
      <c r="PO278" t="s">
        <v>2463</v>
      </c>
      <c r="PP278" t="s">
        <v>2464</v>
      </c>
      <c r="PQ278" t="s">
        <v>2512</v>
      </c>
      <c r="PR278" t="s">
        <v>2513</v>
      </c>
      <c r="PS278" t="s">
        <v>2568</v>
      </c>
      <c r="PT278" t="s">
        <v>2513</v>
      </c>
      <c r="PU278" t="s">
        <v>2514</v>
      </c>
      <c r="PV278" t="s">
        <v>2515</v>
      </c>
      <c r="PW278" t="s">
        <v>2516</v>
      </c>
      <c r="PX278" t="s">
        <v>2517</v>
      </c>
      <c r="PY278" t="s">
        <v>2518</v>
      </c>
      <c r="PZ278" t="s">
        <v>2392</v>
      </c>
      <c r="QA278" t="s">
        <v>2519</v>
      </c>
      <c r="QB278" t="s">
        <v>2569</v>
      </c>
      <c r="QC278" t="s">
        <v>2520</v>
      </c>
      <c r="QD278" t="s">
        <v>2521</v>
      </c>
      <c r="QE278" t="s">
        <v>2383</v>
      </c>
      <c r="QF278" t="s">
        <v>2384</v>
      </c>
      <c r="QG278" t="s">
        <v>2522</v>
      </c>
      <c r="QH278" t="s">
        <v>2523</v>
      </c>
      <c r="QI278" t="s">
        <v>2385</v>
      </c>
      <c r="QJ278" t="s">
        <v>2386</v>
      </c>
      <c r="QK278" t="s">
        <v>2524</v>
      </c>
      <c r="QL278" t="s">
        <v>2525</v>
      </c>
      <c r="QM278" t="s">
        <v>2387</v>
      </c>
      <c r="QN278" t="s">
        <v>2388</v>
      </c>
      <c r="QO278" t="s">
        <v>2389</v>
      </c>
      <c r="QP278" t="s">
        <v>2631</v>
      </c>
    </row>
    <row r="279" spans="1:458" ht="33" x14ac:dyDescent="0.25">
      <c r="A279" s="4" t="str">
        <f t="shared" si="34"/>
        <v>'1631710814564659-3946360-65-01',</v>
      </c>
      <c r="B279" s="4" t="str">
        <f t="shared" si="35"/>
        <v>'1631710822708388-3945600-05-01',</v>
      </c>
      <c r="C279" s="29" t="s">
        <v>27</v>
      </c>
      <c r="D279" s="29" t="s">
        <v>2677</v>
      </c>
      <c r="E279" s="5" t="s">
        <v>2690</v>
      </c>
      <c r="F279" s="5" t="s">
        <v>2678</v>
      </c>
      <c r="G279" s="29"/>
      <c r="H279" s="5"/>
      <c r="I279" s="22" t="s">
        <v>2690</v>
      </c>
      <c r="J279" s="16"/>
      <c r="K279" s="25"/>
      <c r="L279" s="16" t="s">
        <v>289</v>
      </c>
      <c r="M279" s="16" t="str">
        <f t="shared" si="33"/>
        <v>UPDATE CIFX.TB_SERVICE_EXECUTION_CONTROL SET EXECUTION_STATE = 'EXECUTED', ap_server_EXECUTING = NULL WHERE SERVICE_EXECUTION_CONTROL_ID IN ('1631710814574737-3946360-69-01') and execution_type = 'STAGE1_EXECUTION';</v>
      </c>
      <c r="N279" s="16" t="str">
        <f t="shared" si="32"/>
        <v>SELECT EXECUTION_TYPE,SERVICE_INTERCHANGE_ID,CIRCI_KEY,EXECUTION_STATE FROM CIFX.TB_SERVICE_EXECUTION_CONTROL WHERE SERVICE_EXECUTION_CONTROL_ID IN ('1631710814574737-3946360-69-01') AND EXECUTION_TYPE = 'STAGE1_EXECUTION';</v>
      </c>
      <c r="O279" s="7" t="str">
        <f t="shared" si="30"/>
        <v>發送異動通知電文給CIP回傳錯誤碼:UP0090_00_V201,錯誤碼訊息:必要性檢核錯誤,錯誤訊息:[檢查有誤，顧客ID已停用]</v>
      </c>
      <c r="P279" s="7" t="str">
        <f t="shared" si="31"/>
        <v>請協助處理</v>
      </c>
      <c r="Q279" s="7"/>
      <c r="R279" s="7"/>
      <c r="S279" s="16"/>
      <c r="T279" s="4" t="s">
        <v>2654</v>
      </c>
      <c r="U279" s="4" t="s">
        <v>17</v>
      </c>
      <c r="V279" s="4" t="s">
        <v>1</v>
      </c>
      <c r="W279" s="4" t="s">
        <v>2382</v>
      </c>
      <c r="X279" s="4" t="s">
        <v>2644</v>
      </c>
      <c r="Y279" s="4" t="s">
        <v>2645</v>
      </c>
      <c r="Z279" s="4" t="s">
        <v>2646</v>
      </c>
      <c r="AA279" s="37" t="s">
        <v>2647</v>
      </c>
      <c r="AB279" s="4" t="s">
        <v>2197</v>
      </c>
      <c r="AC279" s="4" t="s">
        <v>2315</v>
      </c>
      <c r="AD279" s="4" t="s">
        <v>2652</v>
      </c>
      <c r="AE279" s="32" t="s">
        <v>2655</v>
      </c>
      <c r="AF279" s="4"/>
    </row>
    <row r="280" spans="1:458" ht="33" x14ac:dyDescent="0.25">
      <c r="A280" s="4" t="str">
        <f t="shared" si="34"/>
        <v>'1631710814405868-3946360-98-01',</v>
      </c>
      <c r="B280" s="4" t="str">
        <f t="shared" si="35"/>
        <v>'1631710822205013-3945622-60-01',</v>
      </c>
      <c r="C280" s="29" t="s">
        <v>2692</v>
      </c>
      <c r="D280" s="29" t="s">
        <v>2677</v>
      </c>
      <c r="E280" s="5" t="s">
        <v>2690</v>
      </c>
      <c r="F280" s="5" t="s">
        <v>2678</v>
      </c>
      <c r="G280" s="29"/>
      <c r="H280" s="5"/>
      <c r="I280" s="22" t="s">
        <v>2690</v>
      </c>
      <c r="J280" s="16"/>
      <c r="K280" s="25"/>
      <c r="L280" s="16" t="s">
        <v>289</v>
      </c>
      <c r="M280" s="16" t="str">
        <f t="shared" si="33"/>
        <v>UPDATE CIFX.TB_SERVICE_EXECUTION_CONTROL SET EXECUTION_STATE = 'EXECUTED', ap_server_EXECUTING = NULL WHERE SERVICE_EXECUTION_CONTROL_ID IN ('1631710814420346-3946360-04-01') and execution_type = 'STAGE1_EXECUTION';</v>
      </c>
      <c r="N280" s="16" t="str">
        <f t="shared" si="32"/>
        <v>SELECT EXECUTION_TYPE,SERVICE_INTERCHANGE_ID,CIRCI_KEY,EXECUTION_STATE FROM CIFX.TB_SERVICE_EXECUTION_CONTROL WHERE SERVICE_EXECUTION_CONTROL_ID IN ('1631710814420346-3946360-04-01') AND EXECUTION_TYPE = 'STAGE1_EXECUTION';</v>
      </c>
      <c r="O280" s="7" t="str">
        <f t="shared" ref="O280:O336" si="36">IF(V280&lt;&gt;"",V280,"")</f>
        <v>發送異動通知電文給CIP回傳錯誤碼:UP0090_00_V201,錯誤碼訊息:必要性檢核錯誤,錯誤訊息:[檢查有誤，顧客ID已停用]</v>
      </c>
      <c r="P280" s="7" t="str">
        <f t="shared" ref="P280:P336" si="37">IF(O280="","","請協助處理")</f>
        <v>請協助處理</v>
      </c>
      <c r="Q280" s="7"/>
      <c r="R280" s="7"/>
      <c r="S280" s="16"/>
      <c r="T280" s="4" t="s">
        <v>2656</v>
      </c>
      <c r="U280" s="4" t="s">
        <v>17</v>
      </c>
      <c r="V280" s="4" t="s">
        <v>1</v>
      </c>
      <c r="W280" s="4" t="s">
        <v>2382</v>
      </c>
      <c r="X280" s="4" t="s">
        <v>2648</v>
      </c>
      <c r="Y280" s="4" t="s">
        <v>2649</v>
      </c>
      <c r="Z280" s="4" t="s">
        <v>2650</v>
      </c>
      <c r="AA280" s="37" t="s">
        <v>2651</v>
      </c>
      <c r="AB280" s="4" t="s">
        <v>2197</v>
      </c>
      <c r="AC280" s="4" t="s">
        <v>2315</v>
      </c>
      <c r="AD280" s="4" t="s">
        <v>2653</v>
      </c>
      <c r="AE280" s="32" t="s">
        <v>2657</v>
      </c>
      <c r="AF280" s="4"/>
    </row>
    <row r="281" spans="1:458" ht="33" x14ac:dyDescent="0.25">
      <c r="A281" s="4" t="str">
        <f t="shared" si="34"/>
        <v>'1631710814217158-3946360-38-01',</v>
      </c>
      <c r="B281" s="4" t="str">
        <f t="shared" si="35"/>
        <v>'1631710821636173-3945568-99-01',</v>
      </c>
      <c r="C281" s="29" t="s">
        <v>27</v>
      </c>
      <c r="D281" s="29" t="s">
        <v>2677</v>
      </c>
      <c r="E281" s="5" t="s">
        <v>2690</v>
      </c>
      <c r="F281" s="5" t="s">
        <v>2678</v>
      </c>
      <c r="G281" s="29"/>
      <c r="H281" s="5"/>
      <c r="I281" s="22" t="s">
        <v>2690</v>
      </c>
      <c r="J281" s="16"/>
      <c r="K281" s="25"/>
      <c r="L281" s="16" t="s">
        <v>289</v>
      </c>
      <c r="M281" s="16" t="str">
        <f t="shared" si="33"/>
        <v>UPDATE CIFX.TB_SERVICE_EXECUTION_CONTROL SET EXECUTION_STATE = 'EXECUTED', ap_server_EXECUTING = NULL WHERE SERVICE_EXECUTION_CONTROL_ID IN ('1631710814229054-3946360-42-01') and execution_type = 'STAGE1_EXECUTION';</v>
      </c>
      <c r="N281" s="16" t="str">
        <f t="shared" si="32"/>
        <v>SELECT EXECUTION_TYPE,SERVICE_INTERCHANGE_ID,CIRCI_KEY,EXECUTION_STATE FROM CIFX.TB_SERVICE_EXECUTION_CONTROL WHERE SERVICE_EXECUTION_CONTROL_ID IN ('1631710814229054-3946360-42-01') AND EXECUTION_TYPE = 'STAGE1_EXECUTION';</v>
      </c>
      <c r="O281" s="7" t="str">
        <f t="shared" si="36"/>
        <v>發送異動通知電文給CIP回傳錯誤碼:UP0090_00_V201,錯誤碼訊息:必要性檢核錯誤,錯誤訊息:[檢查有誤，顧客ID已停用]</v>
      </c>
      <c r="P281" s="7" t="str">
        <f t="shared" si="37"/>
        <v>請協助處理</v>
      </c>
      <c r="Q281" s="7"/>
      <c r="R281" s="7"/>
      <c r="S281" s="16"/>
      <c r="T281" s="4" t="s">
        <v>2658</v>
      </c>
      <c r="U281" s="4" t="s">
        <v>17</v>
      </c>
      <c r="V281" s="4" t="s">
        <v>1</v>
      </c>
      <c r="W281" s="4" t="s">
        <v>2363</v>
      </c>
      <c r="X281" s="4" t="s">
        <v>2659</v>
      </c>
      <c r="Y281" s="4" t="s">
        <v>2660</v>
      </c>
      <c r="Z281" s="4" t="s">
        <v>2661</v>
      </c>
      <c r="AA281" s="37" t="s">
        <v>2663</v>
      </c>
      <c r="AB281" s="4" t="s">
        <v>2197</v>
      </c>
      <c r="AC281" s="4" t="s">
        <v>2315</v>
      </c>
      <c r="AD281" s="4" t="s">
        <v>2662</v>
      </c>
      <c r="AE281" s="32" t="s">
        <v>2664</v>
      </c>
      <c r="AF281" s="4"/>
    </row>
    <row r="282" spans="1:458" x14ac:dyDescent="0.25">
      <c r="A282" s="4" t="str">
        <f t="shared" si="34"/>
        <v>'1631710812921819-3946360-83-01',</v>
      </c>
      <c r="B282" s="4" t="str">
        <f t="shared" si="35"/>
        <v>'1631710817515176-3945559-05-01',</v>
      </c>
      <c r="C282" s="29" t="s">
        <v>2693</v>
      </c>
      <c r="D282" s="29" t="s">
        <v>2677</v>
      </c>
      <c r="E282" s="5" t="s">
        <v>2690</v>
      </c>
      <c r="F282" s="5" t="s">
        <v>2678</v>
      </c>
      <c r="G282" s="29"/>
      <c r="H282" s="5"/>
      <c r="I282" s="22" t="s">
        <v>2690</v>
      </c>
      <c r="J282" s="16"/>
      <c r="K282" s="25"/>
      <c r="L282" s="16" t="s">
        <v>289</v>
      </c>
      <c r="M282" s="16" t="str">
        <f t="shared" si="33"/>
        <v>UPDATE CIFX.TB_SERVICE_EXECUTION_CONTROL SET EXECUTION_STATE = 'EXECUTED', ap_server_EXECUTING = NULL WHERE SERVICE_EXECUTION_CONTROL_ID IN ('1631710812933075-3946360-87-01') and execution_type = 'STAGE1_EXECUTION';</v>
      </c>
      <c r="N282" s="16" t="str">
        <f t="shared" si="32"/>
        <v>SELECT EXECUTION_TYPE,SERVICE_INTERCHANGE_ID,CIRCI_KEY,EXECUTION_STATE FROM CIFX.TB_SERVICE_EXECUTION_CONTROL WHERE SERVICE_EXECUTION_CONTROL_ID IN ('1631710812933075-3946360-87-01') AND EXECUTION_TYPE = 'STAGE1_EXECUTION';</v>
      </c>
      <c r="O282" s="7" t="str">
        <f t="shared" si="36"/>
        <v>發送異動通知電文給CIP回傳錯誤碼:UP0090_00_V201,錯誤碼訊息:必要性檢核錯誤,錯誤訊息:[檢查有誤，顧客ID已停用]</v>
      </c>
      <c r="P282" s="7" t="str">
        <f t="shared" si="37"/>
        <v>請協助處理</v>
      </c>
      <c r="Q282" s="7"/>
      <c r="R282" s="7"/>
      <c r="S282" s="16"/>
      <c r="T282" s="4" t="s">
        <v>2665</v>
      </c>
      <c r="U282" s="4" t="s">
        <v>17</v>
      </c>
      <c r="V282" s="4" t="s">
        <v>1</v>
      </c>
      <c r="W282" s="4" t="s">
        <v>2364</v>
      </c>
      <c r="X282" s="4" t="s">
        <v>2666</v>
      </c>
      <c r="Y282" s="4" t="s">
        <v>2667</v>
      </c>
      <c r="Z282" s="4" t="s">
        <v>2668</v>
      </c>
      <c r="AA282" s="37" t="s">
        <v>2669</v>
      </c>
      <c r="AB282" s="4" t="s">
        <v>2197</v>
      </c>
      <c r="AC282" s="4" t="s">
        <v>2315</v>
      </c>
      <c r="AD282" s="4" t="s">
        <v>2670</v>
      </c>
      <c r="AE282" s="4"/>
      <c r="AF282" s="4"/>
    </row>
    <row r="283" spans="1:458" x14ac:dyDescent="0.25">
      <c r="A283" s="4" t="str">
        <f t="shared" si="34"/>
        <v>'1631710811798608-3946360-70-01',</v>
      </c>
      <c r="B283" s="4" t="str">
        <f t="shared" si="35"/>
        <v>'1631710814413066-3945585-01-01',</v>
      </c>
      <c r="C283" s="29" t="s">
        <v>2694</v>
      </c>
      <c r="D283" s="29" t="s">
        <v>2677</v>
      </c>
      <c r="E283" s="5" t="s">
        <v>2690</v>
      </c>
      <c r="F283" s="5" t="s">
        <v>2678</v>
      </c>
      <c r="G283" s="29"/>
      <c r="H283" s="5"/>
      <c r="I283" s="22" t="s">
        <v>2690</v>
      </c>
      <c r="J283" s="16"/>
      <c r="K283" s="25"/>
      <c r="L283" s="16" t="s">
        <v>289</v>
      </c>
      <c r="M283" s="16" t="str">
        <f t="shared" si="33"/>
        <v>UPDATE CIFX.TB_SERVICE_EXECUTION_CONTROL SET EXECUTION_STATE = 'EXECUTED', ap_server_EXECUTING = NULL WHERE SERVICE_EXECUTION_CONTROL_ID IN ('1631710811808422-3946360-74-01') and execution_type = 'STAGE1_EXECUTION';</v>
      </c>
      <c r="N283" s="16" t="str">
        <f t="shared" si="32"/>
        <v>SELECT EXECUTION_TYPE,SERVICE_INTERCHANGE_ID,CIRCI_KEY,EXECUTION_STATE FROM CIFX.TB_SERVICE_EXECUTION_CONTROL WHERE SERVICE_EXECUTION_CONTROL_ID IN ('1631710811808422-3946360-74-01') AND EXECUTION_TYPE = 'STAGE1_EXECUTION';</v>
      </c>
      <c r="O283" s="7" t="str">
        <f t="shared" si="36"/>
        <v>發送異動通知電文給CIP回傳錯誤碼:UP0090_00_V201,錯誤碼訊息:必要性檢核錯誤,錯誤訊息:[檢查有誤，顧客ID已停用]</v>
      </c>
      <c r="P283" s="7" t="str">
        <f t="shared" si="37"/>
        <v>請協助處理</v>
      </c>
      <c r="Q283" s="7"/>
      <c r="R283" s="7"/>
      <c r="S283" s="16"/>
      <c r="T283" s="4" t="s">
        <v>2671</v>
      </c>
      <c r="U283" s="4" t="s">
        <v>17</v>
      </c>
      <c r="V283" s="4" t="s">
        <v>1</v>
      </c>
      <c r="W283" s="4" t="s">
        <v>2364</v>
      </c>
      <c r="X283" s="4" t="s">
        <v>2672</v>
      </c>
      <c r="Y283" s="4" t="s">
        <v>2673</v>
      </c>
      <c r="Z283" s="4" t="s">
        <v>2674</v>
      </c>
      <c r="AA283" s="37" t="s">
        <v>2675</v>
      </c>
      <c r="AB283" s="4" t="s">
        <v>2197</v>
      </c>
      <c r="AC283" s="4" t="s">
        <v>2315</v>
      </c>
      <c r="AD283" s="4" t="s">
        <v>2676</v>
      </c>
      <c r="AE283" s="4"/>
      <c r="AF283" s="4"/>
    </row>
    <row r="284" spans="1:458" x14ac:dyDescent="0.25">
      <c r="A284" s="4" t="str">
        <f t="shared" si="34"/>
        <v>'1631894432352930-4361422-82-02',</v>
      </c>
      <c r="B284" s="4" t="str">
        <f t="shared" si="35"/>
        <v>'1631894531068583-4361089-17-02',</v>
      </c>
      <c r="C284" s="15" t="s">
        <v>2697</v>
      </c>
      <c r="D284" s="29" t="s">
        <v>2677</v>
      </c>
      <c r="E284" s="5" t="s">
        <v>2696</v>
      </c>
      <c r="F284" s="5" t="s">
        <v>2678</v>
      </c>
      <c r="G284" s="29"/>
      <c r="H284" s="5"/>
      <c r="I284" s="22" t="s">
        <v>2690</v>
      </c>
      <c r="J284" s="16"/>
      <c r="K284" s="25"/>
      <c r="L284" s="16" t="s">
        <v>289</v>
      </c>
      <c r="M284" s="16" t="str">
        <f t="shared" si="33"/>
        <v>UPDATE CIFX.TB_SERVICE_EXECUTION_CONTROL SET EXECUTION_STATE = 'EXECUTED', ap_server_EXECUTING = NULL WHERE SERVICE_EXECUTION_CONTROL_ID IN ('1631894432364444-4361422-87-02') and execution_type = 'STAGE1_EXECUTION';</v>
      </c>
      <c r="N284" s="16" t="str">
        <f t="shared" si="32"/>
        <v>SELECT EXECUTION_TYPE,SERVICE_INTERCHANGE_ID,CIRCI_KEY,EXECUTION_STATE FROM CIFX.TB_SERVICE_EXECUTION_CONTROL WHERE SERVICE_EXECUTION_CONTROL_ID IN ('1631894432364444-4361422-87-02') AND EXECUTION_TYPE = 'STAGE1_EXECUTION';</v>
      </c>
      <c r="O284" s="7" t="str">
        <f t="shared" si="36"/>
        <v>發送異動通知電文給CIP回傳錯誤碼:UP0090_00_V201,錯誤碼訊息:必要性檢核錯誤,錯誤訊息:[檢查有誤，顧客ID已停用]</v>
      </c>
      <c r="P284" s="7" t="str">
        <f t="shared" si="37"/>
        <v>請協助處理</v>
      </c>
      <c r="Q284" s="7"/>
      <c r="R284" s="7"/>
      <c r="S284" s="16"/>
      <c r="T284" s="4" t="s">
        <v>2679</v>
      </c>
      <c r="U284" s="4" t="s">
        <v>17</v>
      </c>
      <c r="V284" s="4" t="s">
        <v>1</v>
      </c>
      <c r="W284" s="4" t="s">
        <v>2382</v>
      </c>
      <c r="X284" s="4" t="s">
        <v>2680</v>
      </c>
      <c r="Y284" s="4" t="s">
        <v>2681</v>
      </c>
      <c r="Z284" s="4" t="s">
        <v>2682</v>
      </c>
      <c r="AA284" s="37" t="s">
        <v>2683</v>
      </c>
      <c r="AB284" s="4" t="s">
        <v>2197</v>
      </c>
      <c r="AC284" s="4" t="s">
        <v>2315</v>
      </c>
      <c r="AD284" s="4"/>
      <c r="AE284" s="4"/>
      <c r="AF284" s="4"/>
    </row>
    <row r="285" spans="1:458" x14ac:dyDescent="0.25">
      <c r="A285" s="4" t="str">
        <f t="shared" si="34"/>
        <v>'1632494701503268-5647538-42-02',</v>
      </c>
      <c r="B285" s="4" t="str">
        <f t="shared" si="35"/>
        <v>'1632494731681672-5639113-34-01',</v>
      </c>
      <c r="C285" s="15" t="s">
        <v>2698</v>
      </c>
      <c r="D285" s="5" t="s">
        <v>2695</v>
      </c>
      <c r="E285" s="5" t="s">
        <v>2698</v>
      </c>
      <c r="F285" s="5" t="s">
        <v>2699</v>
      </c>
      <c r="G285" s="29"/>
      <c r="H285" s="5"/>
      <c r="I285" s="22" t="s">
        <v>2691</v>
      </c>
      <c r="J285" s="16"/>
      <c r="K285" s="25"/>
      <c r="L285" s="16" t="s">
        <v>809</v>
      </c>
      <c r="M285" s="16" t="str">
        <f t="shared" si="33"/>
        <v>UPDATE CIFX.TB_SERVICE_EXECUTION_CONTROL SET EXECUTION_STATE = 'TO_EXECUTE',RESULT_CODE = NULL,EXECUTING_TIMESTAMP = null,EXECUTED_TIMESTAMP = null,ap_server_EXECUTING = NULL WHERE SERVICE_EXECUTION_CONTROL_ID IN ('1632494701573449-5638997-51-01') AND EXECUTION_TYPE = 'STAGE1_EXECUTION';</v>
      </c>
      <c r="N285" s="16" t="str">
        <f t="shared" si="32"/>
        <v>SELECT EXECUTION_TYPE,SERVICE_INTERCHANGE_ID,CIRCI_KEY,EXECUTION_STATE FROM CIFX.TB_SERVICE_EXECUTION_CONTROL WHERE SERVICE_EXECUTION_CONTROL_ID IN ('1632494701573449-5638997-51-01') AND EXECUTION_TYPE = 'STAGE1_EXECUTION';</v>
      </c>
      <c r="O285" s="7" t="str">
        <f t="shared" si="36"/>
        <v>發送異動通知電文，未回傳resultCode!!,回傳代碼描述:,錯誤訊息:[]</v>
      </c>
      <c r="P285" s="7" t="str">
        <f>IF(O285="","","請協助確認是否同步成功？")</f>
        <v>請協助確認是否同步成功？</v>
      </c>
      <c r="Q285" s="7" t="s">
        <v>162</v>
      </c>
      <c r="R285" s="7"/>
      <c r="S285" s="16" t="s">
        <v>299</v>
      </c>
      <c r="T285" s="4" t="s">
        <v>2687</v>
      </c>
      <c r="U285" s="4" t="s">
        <v>17</v>
      </c>
      <c r="V285" s="4" t="s">
        <v>900</v>
      </c>
      <c r="W285" s="4" t="s">
        <v>2382</v>
      </c>
      <c r="X285" s="4" t="s">
        <v>2684</v>
      </c>
      <c r="Y285" s="4" t="s">
        <v>2685</v>
      </c>
      <c r="Z285" s="4" t="s">
        <v>2689</v>
      </c>
      <c r="AA285" s="37" t="s">
        <v>2686</v>
      </c>
      <c r="AB285" s="4" t="s">
        <v>1976</v>
      </c>
      <c r="AC285" s="4" t="s">
        <v>2315</v>
      </c>
      <c r="AD285" s="4"/>
      <c r="AE285" s="4"/>
      <c r="AF285" s="4"/>
    </row>
    <row r="286" spans="1:458" ht="33" x14ac:dyDescent="0.25">
      <c r="A286" s="4" t="str">
        <f t="shared" si="34"/>
        <v>'1633105242827701-6977357-62-02',</v>
      </c>
      <c r="B286" s="4" t="str">
        <f t="shared" si="35"/>
        <v>'1633105243147531-6986609-84-01',</v>
      </c>
      <c r="C286" s="15" t="s">
        <v>2733</v>
      </c>
      <c r="D286" s="5" t="s">
        <v>2710</v>
      </c>
      <c r="E286" s="5" t="s">
        <v>2731</v>
      </c>
      <c r="F286" s="5" t="s">
        <v>2732</v>
      </c>
      <c r="G286" s="29"/>
      <c r="H286" s="5"/>
      <c r="I286" s="22" t="s">
        <v>2733</v>
      </c>
      <c r="J286" s="16"/>
      <c r="K286" s="25" t="s">
        <v>2713</v>
      </c>
      <c r="L286" s="16" t="s">
        <v>289</v>
      </c>
      <c r="M286" s="16" t="str">
        <f t="shared" si="33"/>
        <v>UPDATE CIFX.TB_SERVICE_EXECUTION_CONTROL SET EXECUTION_STATE = 'EXECUTED', ap_server_EXECUTING = NULL WHERE SERVICE_EXECUTION_CONTROL_ID IN ('1633105242917176-6977363-71-02') and execution_type = 'STAGE1_EXECUTION';</v>
      </c>
      <c r="N286" s="16" t="str">
        <f t="shared" si="32"/>
        <v>SELECT EXECUTION_TYPE,SERVICE_INTERCHANGE_ID,CIRCI_KEY,EXECUTION_STATE FROM CIFX.TB_SERVICE_EXECUTION_CONTROL WHERE SERVICE_EXECUTION_CONTROL_ID IN ('1633105242917176-6977363-71-02') AND EXECUTION_TYPE = 'STAGE1_EXECUTION';</v>
      </c>
      <c r="O286" s="7" t="str">
        <f t="shared" si="36"/>
        <v>發送異動通知電文給CIP回傳錯誤碼:UP0090_00_V201,錯誤碼訊息:必要性檢核錯誤,錯誤訊息:[檢查有誤，顧客ID已停用]</v>
      </c>
      <c r="P286" s="7" t="str">
        <f t="shared" si="37"/>
        <v>請協助處理</v>
      </c>
      <c r="Q286" s="7" t="s">
        <v>162</v>
      </c>
      <c r="R286" s="7"/>
      <c r="S286" s="16" t="s">
        <v>299</v>
      </c>
      <c r="T286" s="4" t="s">
        <v>2702</v>
      </c>
      <c r="U286" s="4" t="s">
        <v>17</v>
      </c>
      <c r="V286" s="4" t="s">
        <v>1</v>
      </c>
      <c r="W286" s="4" t="s">
        <v>2700</v>
      </c>
      <c r="X286" s="4" t="s">
        <v>2703</v>
      </c>
      <c r="Y286" s="4" t="s">
        <v>2722</v>
      </c>
      <c r="Z286" s="4" t="s">
        <v>2704</v>
      </c>
      <c r="AA286" s="37" t="s">
        <v>2707</v>
      </c>
      <c r="AB286" s="4" t="s">
        <v>2708</v>
      </c>
      <c r="AC286" s="4" t="s">
        <v>2315</v>
      </c>
      <c r="AD286" s="4" t="s">
        <v>2705</v>
      </c>
      <c r="AE286" s="32" t="s">
        <v>2706</v>
      </c>
      <c r="AF286" s="4" t="s">
        <v>2709</v>
      </c>
    </row>
    <row r="287" spans="1:458" ht="33" x14ac:dyDescent="0.25">
      <c r="A287" s="4" t="str">
        <f t="shared" si="34"/>
        <v>'1633434863735491-7682334-94-01',</v>
      </c>
      <c r="B287" s="4" t="str">
        <f t="shared" si="35"/>
        <v>'1633434864053842-7688245-32-02',</v>
      </c>
      <c r="C287" s="15" t="s">
        <v>2753</v>
      </c>
      <c r="D287" s="5" t="s">
        <v>2721</v>
      </c>
      <c r="E287" s="5" t="s">
        <v>2742</v>
      </c>
      <c r="F287" s="5" t="s">
        <v>2741</v>
      </c>
      <c r="G287" s="29"/>
      <c r="H287" s="5"/>
      <c r="I287" s="22" t="s">
        <v>2754</v>
      </c>
      <c r="J287" s="16"/>
      <c r="K287" s="25" t="s">
        <v>2739</v>
      </c>
      <c r="L287" s="16" t="s">
        <v>289</v>
      </c>
      <c r="M287" s="16" t="str">
        <f t="shared" si="33"/>
        <v>UPDATE CIFX.TB_SERVICE_EXECUTION_CONTROL SET EXECUTION_STATE = 'EXECUTED', ap_server_EXECUTING = NULL WHERE SERVICE_EXECUTION_CONTROL_ID IN ('1633434863888895-7682334-09-01') and execution_type = 'STAGE1_EXECUTION';</v>
      </c>
      <c r="N287" s="16" t="str">
        <f t="shared" si="32"/>
        <v>SELECT EXECUTION_TYPE,SERVICE_INTERCHANGE_ID,CIRCI_KEY,EXECUTION_STATE FROM CIFX.TB_SERVICE_EXECUTION_CONTROL WHERE SERVICE_EXECUTION_CONTROL_ID IN ('1633434863888895-7682334-09-01') AND EXECUTION_TYPE = 'STAGE1_EXECUTION';</v>
      </c>
      <c r="O287" s="7" t="str">
        <f t="shared" si="36"/>
        <v>發送異動通知電文給CIP回傳錯誤碼:UP0090_00_V201,錯誤碼訊息:必要性檢核錯誤,錯誤訊息:[檢查有誤，AC30060491 顧客曾經執行過ID改號]</v>
      </c>
      <c r="P287" s="7" t="str">
        <f t="shared" si="37"/>
        <v>請協助處理</v>
      </c>
      <c r="Q287" s="7" t="s">
        <v>162</v>
      </c>
      <c r="R287" s="7"/>
      <c r="S287" s="16" t="s">
        <v>299</v>
      </c>
      <c r="T287" s="4" t="s">
        <v>2715</v>
      </c>
      <c r="U287" s="4" t="s">
        <v>17</v>
      </c>
      <c r="V287" s="4" t="s">
        <v>2714</v>
      </c>
      <c r="W287" s="4" t="s">
        <v>2700</v>
      </c>
      <c r="X287" s="4" t="s">
        <v>2716</v>
      </c>
      <c r="Y287" s="4" t="s">
        <v>2740</v>
      </c>
      <c r="Z287" s="4" t="s">
        <v>2717</v>
      </c>
      <c r="AA287" s="37" t="s">
        <v>2719</v>
      </c>
      <c r="AB287" s="4" t="s">
        <v>2688</v>
      </c>
      <c r="AC287" s="4" t="s">
        <v>2315</v>
      </c>
      <c r="AD287" s="4" t="s">
        <v>2718</v>
      </c>
      <c r="AE287" s="32" t="s">
        <v>2720</v>
      </c>
      <c r="AF287" s="4" t="s">
        <v>278</v>
      </c>
    </row>
    <row r="288" spans="1:458" ht="33" x14ac:dyDescent="0.25">
      <c r="A288" s="4" t="str">
        <f t="shared" si="34"/>
        <v>'1633540212496397-7921555-04-01',</v>
      </c>
      <c r="B288" s="4" t="str">
        <f t="shared" si="35"/>
        <v>'1633540217250905-7927841-45-02',</v>
      </c>
      <c r="C288" s="15" t="s">
        <v>2753</v>
      </c>
      <c r="D288" s="5" t="s">
        <v>2730</v>
      </c>
      <c r="E288" s="5" t="s">
        <v>2753</v>
      </c>
      <c r="F288" s="5" t="s">
        <v>2757</v>
      </c>
      <c r="G288" s="29"/>
      <c r="H288" s="5"/>
      <c r="I288" s="22" t="s">
        <v>2753</v>
      </c>
      <c r="J288" s="16"/>
      <c r="K288" s="25" t="s">
        <v>2755</v>
      </c>
      <c r="L288" s="16" t="s">
        <v>289</v>
      </c>
      <c r="M288" s="16" t="str">
        <f t="shared" si="33"/>
        <v>UPDATE CIFX.TB_SERVICE_EXECUTION_CONTROL SET EXECUTION_STATE = 'EXECUTED', ap_server_EXECUTING = NULL WHERE SERVICE_EXECUTION_CONTROL_ID IN ('1633540212500307-7921555-07-01') and execution_type = 'STAGE1_EXECUTION';</v>
      </c>
      <c r="N288" s="16" t="str">
        <f t="shared" si="32"/>
        <v>SELECT EXECUTION_TYPE,SERVICE_INTERCHANGE_ID,CIRCI_KEY,EXECUTION_STATE FROM CIFX.TB_SERVICE_EXECUTION_CONTROL WHERE SERVICE_EXECUTION_CONTROL_ID IN ('1633540212500307-7921555-07-01') AND EXECUTION_TYPE = 'STAGE1_EXECUTION';</v>
      </c>
      <c r="O288" s="7" t="str">
        <f t="shared" si="36"/>
        <v>發送異動通知電文給CIP回傳錯誤碼:UP0090_00_V201,錯誤碼訊息:必要性檢核錯誤,錯誤訊息:[檢查有誤，顧客ID已停用]</v>
      </c>
      <c r="P288" s="7" t="str">
        <f t="shared" si="37"/>
        <v>請協助處理</v>
      </c>
      <c r="Q288" s="7" t="s">
        <v>162</v>
      </c>
      <c r="R288" s="7"/>
      <c r="S288" s="16" t="s">
        <v>299</v>
      </c>
      <c r="T288" s="4" t="s">
        <v>2723</v>
      </c>
      <c r="U288" s="4" t="s">
        <v>17</v>
      </c>
      <c r="V288" s="4" t="s">
        <v>1</v>
      </c>
      <c r="W288" s="4" t="s">
        <v>2700</v>
      </c>
      <c r="X288" s="4" t="s">
        <v>2724</v>
      </c>
      <c r="Y288" s="4" t="s">
        <v>2756</v>
      </c>
      <c r="Z288" s="4" t="s">
        <v>2725</v>
      </c>
      <c r="AA288" s="37" t="s">
        <v>2726</v>
      </c>
      <c r="AB288" s="4" t="s">
        <v>2727</v>
      </c>
      <c r="AC288" s="4" t="s">
        <v>2315</v>
      </c>
      <c r="AD288" s="4" t="s">
        <v>2728</v>
      </c>
      <c r="AE288" s="32" t="s">
        <v>2729</v>
      </c>
      <c r="AF288" s="4" t="s">
        <v>278</v>
      </c>
    </row>
    <row r="289" spans="1:33" ht="49.5" x14ac:dyDescent="0.25">
      <c r="A289" s="4" t="str">
        <f t="shared" si="34"/>
        <v>'1634123316319364-9188985-42-01',</v>
      </c>
      <c r="B289" s="4" t="str">
        <f t="shared" si="35"/>
        <v>'1634123316508503-9188989-76-01',</v>
      </c>
      <c r="C289" s="15" t="s">
        <v>2980</v>
      </c>
      <c r="D289" s="5" t="s">
        <v>2738</v>
      </c>
      <c r="E289" s="5" t="s">
        <v>2978</v>
      </c>
      <c r="F289" s="5" t="s">
        <v>2979</v>
      </c>
      <c r="G289" s="29"/>
      <c r="H289" s="5"/>
      <c r="I289" s="22" t="s">
        <v>2977</v>
      </c>
      <c r="J289" s="16"/>
      <c r="K289" s="34" t="s">
        <v>2876</v>
      </c>
      <c r="L289" s="16" t="s">
        <v>2784</v>
      </c>
      <c r="M289" s="16" t="str">
        <f t="shared" ref="M289:M296" si="38">IF($L289&lt;&gt;"",IF($L289="清除單筆同步失敗註記","UPDATE CIFX.TB_SERVICE_EXECUTION_CONTROL SET EXECUTION_STATE = "&amp;"'"&amp;"EXECUTED"&amp;"'"&amp;", ap_server_EXECUTING = NULL WHERE SERVICE_EXECUTION_CONTROL_ID IN ("&amp;"'"&amp;$Y289&amp;"'"&amp;") and execution_type = "&amp;"'"&amp;"STAGE1_EXECUTION"&amp;"';"&amp;"",IF($L289="重送單筆CIP電文","UPDATE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("&amp;"'"&amp;$Y289&amp;"'"&amp;") AND EXECUTION_TYPE = "&amp;"'"&amp;"STAGE1_EXECUTION"&amp;"'"&amp;";",IF($L289="清除顧客下同步任務","update cifx.tb_service_execution_control sec set sec.EXECUTION_STATE = "&amp;"'"&amp;"EXECUTED"&amp;"'"&amp;"  where sec.circi_key ="&amp;"'"&amp;AA289&amp;"';",IF($L289="重送顧客下特定同步任務","update cifx.tb_service_execution_control sec set sec.EXECUTION_STATE = "&amp;"'"&amp;"TO_EXECUTE"&amp;"'"&amp;"  where sec.SERVICE_EXECUTION_CONTROL_ID IN ();","沒有對應")))),"")</f>
        <v>UPDATE CIFX.TB_SERVICE_EXECUTION_CONTROL SET EXECUTION_STATE = 'EXECUTED', ap_server_EXECUTING = NULL WHERE SERVICE_EXECUTION_CONTROL_ID IN ('1634123316340822-9188985-66-01') and execution_type = 'STAGE1_EXECUTION';</v>
      </c>
      <c r="N289" s="16" t="str">
        <f t="shared" ref="N289:N296" si="39">IF($L289&lt;&gt;"",IF($L289&lt;&gt;"清除顧客下同步任務","SELECT EXECUTION_TYPE,SERVICE_INTERCHANGE_ID,CIRCI_KEY,EXECUTION_STATE FROM CIFX.TB_SERVICE_EXECUTION_CONTROL WHERE SERVICE_EXECUTION_CONTROL_ID IN ("&amp;"'"&amp;$Y289&amp;"'"&amp;") AND EXECUTION_TYPE = "&amp;"'"&amp;"STAGE1_EXECUTION"&amp;"'"&amp;";","SELECT EXECUTION_TYPE,SERVICE_INTERCHANGE_ID,CIRCI_KEY,EXECUTION_STATE FROM CIFX.TB_SERVICE_EXECUTION_CONTROL SEC   where sec.circi_key ="&amp;"'"&amp;AA289&amp;"'order by req_timestamp desc ;"),"")</f>
        <v>SELECT EXECUTION_TYPE,SERVICE_INTERCHANGE_ID,CIRCI_KEY,EXECUTION_STATE FROM CIFX.TB_SERVICE_EXECUTION_CONTROL WHERE SERVICE_EXECUTION_CONTROL_ID IN ('1634123316340822-9188985-66-01') AND EXECUTION_TYPE = 'STAGE1_EXECUTION';</v>
      </c>
      <c r="O289" s="7" t="str">
        <f t="shared" si="36"/>
        <v>發送異動通知電文給CIP回傳錯誤碼:UP0090_00_V201,錯誤碼訊息:必要性檢核錯誤,錯誤訊息:[檢查有誤，顧客ID已停用]</v>
      </c>
      <c r="P289" s="7" t="str">
        <f t="shared" si="37"/>
        <v>請協助處理</v>
      </c>
      <c r="Q289" s="7" t="s">
        <v>162</v>
      </c>
      <c r="R289" s="7"/>
      <c r="S289" s="16" t="s">
        <v>299</v>
      </c>
      <c r="T289" s="4" t="s">
        <v>2734</v>
      </c>
      <c r="U289" s="4" t="s">
        <v>17</v>
      </c>
      <c r="V289" s="4" t="s">
        <v>1</v>
      </c>
      <c r="W289" s="4" t="s">
        <v>2700</v>
      </c>
      <c r="X289" s="4" t="s">
        <v>2975</v>
      </c>
      <c r="Y289" s="4" t="s">
        <v>2976</v>
      </c>
      <c r="Z289" s="4" t="s">
        <v>2735</v>
      </c>
      <c r="AA289" s="37" t="s">
        <v>2827</v>
      </c>
      <c r="AB289" s="4" t="s">
        <v>2576</v>
      </c>
      <c r="AC289" s="4" t="s">
        <v>2315</v>
      </c>
      <c r="AD289" s="4" t="s">
        <v>2736</v>
      </c>
      <c r="AE289" s="32" t="s">
        <v>2737</v>
      </c>
      <c r="AF289" s="4"/>
    </row>
    <row r="290" spans="1:33" x14ac:dyDescent="0.25">
      <c r="A290" s="4" t="str">
        <f t="shared" si="34"/>
        <v>'1634211498458210-9381310-51-02',</v>
      </c>
      <c r="B290" s="4" t="str">
        <f t="shared" si="35"/>
        <v>'1634211500187244-9388519-17-01',</v>
      </c>
      <c r="C290" s="15" t="s">
        <v>2753</v>
      </c>
      <c r="D290" s="5" t="s">
        <v>2749</v>
      </c>
      <c r="E290" s="5" t="s">
        <v>2751</v>
      </c>
      <c r="F290" s="5" t="s">
        <v>2752</v>
      </c>
      <c r="G290" s="29"/>
      <c r="H290" s="5"/>
      <c r="I290" s="22" t="s">
        <v>2753</v>
      </c>
      <c r="J290" s="16"/>
      <c r="K290" s="25"/>
      <c r="L290" s="16" t="s">
        <v>289</v>
      </c>
      <c r="M290" s="16" t="str">
        <f t="shared" si="38"/>
        <v>沒有對應</v>
      </c>
      <c r="N290" s="16" t="str">
        <f t="shared" si="39"/>
        <v>SELECT EXECUTION_TYPE,SERVICE_INTERCHANGE_ID,CIRCI_KEY,EXECUTION_STATE FROM CIFX.TB_SERVICE_EXECUTION_CONTROL WHERE SERVICE_EXECUTION_CONTROL_ID IN ('1634211498498361-9381310-98-02') AND EXECUTION_TYPE = 'STAGE1_EXECUTION';</v>
      </c>
      <c r="O290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funcId=01, custName=李忠潔, companyEstablishDate=null, circiKey=A120870929, creditCardKey=null, certNo=A120870929, certDate=Sat Apr 19 00:00:00 GMT+08:00 1980,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goldenRecordItemContent=李忠潔],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goldenRecordItemContent=039322017],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goldenRecordItemContent=039325192],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goldenRecordItemContent=039322017],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goldenRecordItemContent=0966873937],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goldenRecordItemContent=sun012929@yahoo.com.tw],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goldenRecordItemContent=宜蘭縣],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goldenRecordItemContent=新民路１５２號ｆ棟５樓],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goldenRecordItemContent=260],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goldenRecordItemContent=宜蘭市],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goldenRecordItemContent=1980-04-19],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[custId=380431, custType=P, certTypeCode=00, partyKind=P, oldRestart=false, customerTag=null, idChangeState=null, creditCardKey=null, circiKey=null, birthDay=null]；ServiceInterchange:ServiceInterchange [serviceInterchangeId=1634211498870402581, serviceInterchangeTime=Thu Oct 14 11:38:18 GMT+08:00 2021, msgNo=TS0116_00_20211014113818_18611, serviceName=CATEGORY_002, operationName=writeCustomerInfo, txnCode=AQF0308, txnTime=Thu Oct 14 11:38:18 GMT+08:00 2021, senderCode=TS0116_00, receiverCode=UP0090_00, operatorCode=LA, unitCode=9008, authorizerCode=null, serviceResponse=null, queryResponseLineitems=[]], Exception : ]</v>
      </c>
      <c r="P290" s="7" t="str">
        <f t="shared" si="37"/>
        <v>請協助處理</v>
      </c>
      <c r="Q290" s="7"/>
      <c r="R290" s="7"/>
      <c r="S290" s="16"/>
      <c r="T290" s="4" t="s">
        <v>2744</v>
      </c>
      <c r="U290" s="4" t="s">
        <v>17</v>
      </c>
      <c r="V290" s="4" t="s">
        <v>2743</v>
      </c>
      <c r="W290" s="4" t="s">
        <v>2700</v>
      </c>
      <c r="X290" s="4" t="s">
        <v>2745</v>
      </c>
      <c r="Y290" s="4" t="s">
        <v>2750</v>
      </c>
      <c r="Z290" s="4" t="s">
        <v>2746</v>
      </c>
      <c r="AA290" s="37" t="s">
        <v>2747</v>
      </c>
      <c r="AB290" s="4" t="s">
        <v>2571</v>
      </c>
      <c r="AC290" s="4" t="s">
        <v>2315</v>
      </c>
      <c r="AD290" s="4" t="s">
        <v>2748</v>
      </c>
      <c r="AE290" s="4"/>
      <c r="AF290" s="4"/>
    </row>
    <row r="291" spans="1:33" x14ac:dyDescent="0.25">
      <c r="A291" s="4" t="str">
        <f t="shared" si="34"/>
        <v>'1634816202904730-0729976-57-02',</v>
      </c>
      <c r="B291" s="4" t="str">
        <f t="shared" si="35"/>
        <v>'1634816203114035-0729979-41-02',</v>
      </c>
      <c r="C291" s="15" t="s">
        <v>2877</v>
      </c>
      <c r="D291" s="5" t="s">
        <v>2774</v>
      </c>
      <c r="E291" s="5" t="s">
        <v>2792</v>
      </c>
      <c r="F291" s="5" t="s">
        <v>2966</v>
      </c>
      <c r="G291" s="29"/>
      <c r="H291" s="5"/>
      <c r="I291" s="22" t="s">
        <v>2971</v>
      </c>
      <c r="J291" s="16" t="s">
        <v>2967</v>
      </c>
      <c r="K291" s="25" t="s">
        <v>2789</v>
      </c>
      <c r="L291" s="16" t="s">
        <v>2786</v>
      </c>
      <c r="M291" s="16" t="str">
        <f t="shared" si="38"/>
        <v>UPDATE CIFX.TB_SERVICE_EXECUTION_CONTROL SET EXECUTION_STATE = 'TO_EXECUTE',RESULT_CODE = NULL,EXECUTING_TIMESTAMP = null,EXECUTED_TIMESTAMP = null,ap_server_EXECUTING = NULL WHERE SERVICE_EXECUTION_CONTROL_ID IN ('1634816202944760-0729976-09-02') AND EXECUTION_TYPE = 'STAGE1_EXECUTION';</v>
      </c>
      <c r="N291" s="16" t="str">
        <f t="shared" si="39"/>
        <v>SELECT EXECUTION_TYPE,SERVICE_INTERCHANGE_ID,CIRCI_KEY,EXECUTION_STATE FROM CIFX.TB_SERVICE_EXECUTION_CONTROL WHERE SERVICE_EXECUTION_CONTROL_ID IN ('1634816202944760-0729976-09-02') AND EXECUTION_TYPE = 'STAGE1_EXECUTION';</v>
      </c>
      <c r="O291" s="7" t="str">
        <f t="shared" si="36"/>
        <v>發送異動通知電文給CIP回傳錯誤碼:UP0090_00_V201,錯誤碼訊息:必要性檢核錯誤,錯誤訊息:[DEL00000000000001007 顧客 TS0116_00 已刪除，但全行未刪除，無法進行異動建檔]</v>
      </c>
      <c r="P291" s="7" t="str">
        <f t="shared" si="37"/>
        <v>請協助處理</v>
      </c>
      <c r="Q291" s="7" t="s">
        <v>162</v>
      </c>
      <c r="R291" s="7"/>
      <c r="S291" s="16" t="s">
        <v>299</v>
      </c>
      <c r="T291" s="4" t="s">
        <v>2758</v>
      </c>
      <c r="U291" s="4" t="s">
        <v>17</v>
      </c>
      <c r="V291" s="4" t="s">
        <v>2759</v>
      </c>
      <c r="W291" s="4" t="s">
        <v>2700</v>
      </c>
      <c r="X291" s="4" t="s">
        <v>2973</v>
      </c>
      <c r="Y291" s="4" t="s">
        <v>2974</v>
      </c>
      <c r="Z291" s="4" t="s">
        <v>2760</v>
      </c>
      <c r="AA291" s="37" t="s">
        <v>2965</v>
      </c>
      <c r="AB291" s="4" t="s">
        <v>2576</v>
      </c>
      <c r="AC291" s="4" t="s">
        <v>2315</v>
      </c>
      <c r="AD291" s="4" t="s">
        <v>2761</v>
      </c>
      <c r="AE291" s="4" t="s">
        <v>2763</v>
      </c>
      <c r="AF291" s="4" t="s">
        <v>2762</v>
      </c>
    </row>
    <row r="292" spans="1:33" x14ac:dyDescent="0.25">
      <c r="A292" s="4" t="str">
        <f t="shared" si="34"/>
        <v>'1634890974482415-0897334-42-01',</v>
      </c>
      <c r="B292" s="4" t="str">
        <f t="shared" si="35"/>
        <v>'1634891004858324-0892329-33-02',</v>
      </c>
      <c r="C292" s="15" t="s">
        <v>2795</v>
      </c>
      <c r="D292" s="5" t="s">
        <v>2777</v>
      </c>
      <c r="E292" s="5" t="s">
        <v>2794</v>
      </c>
      <c r="F292" s="5" t="s">
        <v>2793</v>
      </c>
      <c r="G292" s="29"/>
      <c r="H292" s="5"/>
      <c r="I292" s="22" t="s">
        <v>2828</v>
      </c>
      <c r="J292" s="16"/>
      <c r="K292" s="25" t="s">
        <v>2776</v>
      </c>
      <c r="L292" s="16" t="s">
        <v>809</v>
      </c>
      <c r="M292" s="16" t="str">
        <f t="shared" si="38"/>
        <v>沒有對應</v>
      </c>
      <c r="N292" s="16" t="str">
        <f t="shared" si="39"/>
        <v>SELECT EXECUTION_TYPE,SERVICE_INTERCHANGE_ID,CIRCI_KEY,EXECUTION_STATE FROM CIFX.TB_SERVICE_EXECUTION_CONTROL WHERE SERVICE_EXECUTION_CONTROL_ID IN ('1634890974632765-0897334-52-01') AND EXECUTION_TYPE = 'STAGE1_EXECUTION';</v>
      </c>
      <c r="O292" s="7" t="str">
        <f t="shared" si="36"/>
        <v>發送異動通知電文，未回傳resultCode!!,回傳代碼描述:,錯誤訊息:[]</v>
      </c>
      <c r="P292" s="7" t="str">
        <f>IF(O292="","","請協助確認是否有收到此同步電文")</f>
        <v>請協助確認是否有收到此同步電文</v>
      </c>
      <c r="Q292" s="7" t="s">
        <v>162</v>
      </c>
      <c r="R292" s="7"/>
      <c r="S292" s="16" t="s">
        <v>299</v>
      </c>
      <c r="T292" s="4" t="s">
        <v>2764</v>
      </c>
      <c r="U292" s="4" t="s">
        <v>17</v>
      </c>
      <c r="V292" s="4" t="s">
        <v>900</v>
      </c>
      <c r="W292" s="4" t="s">
        <v>2700</v>
      </c>
      <c r="X292" s="4" t="s">
        <v>2770</v>
      </c>
      <c r="Y292" s="4" t="s">
        <v>2778</v>
      </c>
      <c r="Z292" s="4" t="s">
        <v>2775</v>
      </c>
      <c r="AA292" s="37" t="s">
        <v>2765</v>
      </c>
      <c r="AB292" s="4" t="s">
        <v>2771</v>
      </c>
      <c r="AC292" s="4" t="s">
        <v>2315</v>
      </c>
      <c r="AD292" s="4"/>
      <c r="AE292" s="4"/>
      <c r="AF292" s="4"/>
    </row>
    <row r="293" spans="1:33" ht="33" x14ac:dyDescent="0.25">
      <c r="A293" s="4" t="str">
        <f t="shared" si="34"/>
        <v>'1634860635799657-0829179-63-02',</v>
      </c>
      <c r="B293" s="4" t="str">
        <f t="shared" si="35"/>
        <v>'1634860636100936-0829182-69-02',</v>
      </c>
      <c r="C293" s="15" t="s">
        <v>2831</v>
      </c>
      <c r="D293" s="5" t="s">
        <v>3254</v>
      </c>
      <c r="E293" s="5" t="s">
        <v>2829</v>
      </c>
      <c r="F293" s="5" t="s">
        <v>2830</v>
      </c>
      <c r="G293" s="29"/>
      <c r="H293" s="5"/>
      <c r="I293" s="22" t="s">
        <v>2831</v>
      </c>
      <c r="J293" s="16"/>
      <c r="K293" s="25" t="s">
        <v>2790</v>
      </c>
      <c r="L293" s="16" t="s">
        <v>2784</v>
      </c>
      <c r="M293" s="16" t="str">
        <f t="shared" si="38"/>
        <v>UPDATE CIFX.TB_SERVICE_EXECUTION_CONTROL SET EXECUTION_STATE = 'EXECUTED', ap_server_EXECUTING = NULL WHERE SERVICE_EXECUTION_CONTROL_ID IN ('1634860635869316-0829180-67-02') and execution_type = 'STAGE1_EXECUTION';</v>
      </c>
      <c r="N293" s="16" t="str">
        <f t="shared" si="39"/>
        <v>SELECT EXECUTION_TYPE,SERVICE_INTERCHANGE_ID,CIRCI_KEY,EXECUTION_STATE FROM CIFX.TB_SERVICE_EXECUTION_CONTROL WHERE SERVICE_EXECUTION_CONTROL_ID IN ('1634860635869316-0829180-67-02') AND EXECUTION_TYPE = 'STAGE1_EXECUTION';</v>
      </c>
      <c r="O293" s="7" t="str">
        <f t="shared" si="36"/>
        <v>發送異動通知電文給CIP回傳錯誤碼:UP0090_00_V201,錯誤碼訊息:必要性檢核錯誤,錯誤訊息:[檢查有誤，顧客ID已停用]</v>
      </c>
      <c r="P293" s="7" t="str">
        <f t="shared" si="37"/>
        <v>請協助處理</v>
      </c>
      <c r="Q293" s="7" t="s">
        <v>162</v>
      </c>
      <c r="R293" s="7"/>
      <c r="S293" s="16" t="s">
        <v>299</v>
      </c>
      <c r="T293" s="4" t="s">
        <v>2766</v>
      </c>
      <c r="U293" s="4" t="s">
        <v>17</v>
      </c>
      <c r="V293" s="4" t="s">
        <v>1</v>
      </c>
      <c r="W293" s="4" t="s">
        <v>2701</v>
      </c>
      <c r="X293" s="4" t="s">
        <v>2767</v>
      </c>
      <c r="Y293" s="4" t="s">
        <v>2791</v>
      </c>
      <c r="Z293" s="4" t="s">
        <v>2768</v>
      </c>
      <c r="AA293" s="37" t="s">
        <v>3246</v>
      </c>
      <c r="AB293" s="4" t="s">
        <v>2783</v>
      </c>
      <c r="AC293" s="4" t="s">
        <v>2315</v>
      </c>
      <c r="AD293" s="4" t="s">
        <v>2769</v>
      </c>
      <c r="AE293" s="32" t="s">
        <v>2801</v>
      </c>
      <c r="AF293" s="4" t="s">
        <v>2773</v>
      </c>
    </row>
    <row r="294" spans="1:33" x14ac:dyDescent="0.25">
      <c r="A294" s="4" t="str">
        <f t="shared" si="34"/>
        <v>'1634816206131124-0722841-74-01',</v>
      </c>
      <c r="B294" s="4" t="str">
        <f t="shared" si="35"/>
        <v>'1634903412946658-0926404-16-02',</v>
      </c>
      <c r="C294" s="15" t="s">
        <v>2972</v>
      </c>
      <c r="D294" s="5" t="s">
        <v>2774</v>
      </c>
      <c r="E294" s="5" t="s">
        <v>2971</v>
      </c>
      <c r="F294" s="5" t="s">
        <v>2970</v>
      </c>
      <c r="G294" s="29"/>
      <c r="H294" s="5"/>
      <c r="I294" s="22" t="s">
        <v>2971</v>
      </c>
      <c r="J294" s="16" t="s">
        <v>2968</v>
      </c>
      <c r="K294" s="25" t="s">
        <v>2789</v>
      </c>
      <c r="L294" s="16" t="s">
        <v>2786</v>
      </c>
      <c r="M294" s="16" t="str">
        <f t="shared" si="38"/>
        <v>UPDATE CIFX.TB_SERVICE_EXECUTION_CONTROL SET EXECUTION_STATE = 'TO_EXECUTE',RESULT_CODE = NULL,EXECUTING_TIMESTAMP = null,EXECUTED_TIMESTAMP = null,ap_server_EXECUTING = NULL WHERE SERVICE_EXECUTION_CONTROL_ID IN ('1634816206134521-0722841-76-01') AND EXECUTION_TYPE = 'STAGE1_EXECUTION';</v>
      </c>
      <c r="N294" s="16" t="str">
        <f t="shared" si="39"/>
        <v>SELECT EXECUTION_TYPE,SERVICE_INTERCHANGE_ID,CIRCI_KEY,EXECUTION_STATE FROM CIFX.TB_SERVICE_EXECUTION_CONTROL WHERE SERVICE_EXECUTION_CONTROL_ID IN ('1634816206134521-0722841-76-01') AND EXECUTION_TYPE = 'STAGE1_EXECUTION';</v>
      </c>
      <c r="O294" s="7" t="str">
        <f t="shared" si="36"/>
        <v>發送異動通知電文給CIP回傳錯誤碼:UP0090_00_V201,錯誤碼訊息:必要性檢核錯誤,錯誤訊息:[CIP顧客識別取號:當系統為TS0116_00時顧客姓名不可為空值]</v>
      </c>
      <c r="P294" s="7" t="str">
        <f t="shared" si="37"/>
        <v>請協助處理</v>
      </c>
      <c r="Q294" s="7"/>
      <c r="R294" s="7"/>
      <c r="S294" s="16"/>
      <c r="T294" s="4" t="s">
        <v>2779</v>
      </c>
      <c r="U294" s="4" t="s">
        <v>17</v>
      </c>
      <c r="V294" s="4" t="s">
        <v>67</v>
      </c>
      <c r="W294" s="4" t="s">
        <v>2700</v>
      </c>
      <c r="X294" s="4" t="s">
        <v>2780</v>
      </c>
      <c r="Y294" s="4" t="s">
        <v>2969</v>
      </c>
      <c r="Z294" s="4" t="s">
        <v>2964</v>
      </c>
      <c r="AA294" s="37" t="s">
        <v>2965</v>
      </c>
      <c r="AB294" s="4" t="s">
        <v>1977</v>
      </c>
      <c r="AC294" s="4" t="s">
        <v>2315</v>
      </c>
      <c r="AD294" s="4" t="s">
        <v>2781</v>
      </c>
      <c r="AE294" s="4"/>
      <c r="AF294" s="4"/>
    </row>
    <row r="295" spans="1:33" ht="33" x14ac:dyDescent="0.25">
      <c r="A295" s="4" t="str">
        <f t="shared" si="34"/>
        <v>'1634860639427904-0829179-92-02',</v>
      </c>
      <c r="B295" s="4" t="str">
        <f t="shared" si="35"/>
        <v>'1634919260014218-0964289-08-02',</v>
      </c>
      <c r="C295" s="15" t="s">
        <v>3256</v>
      </c>
      <c r="D295" s="5" t="s">
        <v>3255</v>
      </c>
      <c r="E295" s="5" t="s">
        <v>3256</v>
      </c>
      <c r="F295" s="5" t="s">
        <v>3253</v>
      </c>
      <c r="G295" s="29"/>
      <c r="H295" s="5"/>
      <c r="I295" s="22" t="s">
        <v>3257</v>
      </c>
      <c r="J295" s="16"/>
      <c r="K295" s="25" t="s">
        <v>2803</v>
      </c>
      <c r="L295" s="16" t="s">
        <v>2784</v>
      </c>
      <c r="M295" s="16" t="str">
        <f t="shared" si="38"/>
        <v>UPDATE CIFX.TB_SERVICE_EXECUTION_CONTROL SET EXECUTION_STATE = 'EXECUTED', ap_server_EXECUTING = NULL WHERE SERVICE_EXECUTION_CONTROL_ID IN ('1634860639438433-0829179-98-02') and execution_type = 'STAGE1_EXECUTION';</v>
      </c>
      <c r="N295" s="16" t="str">
        <f t="shared" si="39"/>
        <v>SELECT EXECUTION_TYPE,SERVICE_INTERCHANGE_ID,CIRCI_KEY,EXECUTION_STATE FROM CIFX.TB_SERVICE_EXECUTION_CONTROL WHERE SERVICE_EXECUTION_CONTROL_ID IN ('1634860639438433-0829179-98-02') AND EXECUTION_TYPE = 'STAGE1_EXECUTION';</v>
      </c>
      <c r="O295" s="7" t="str">
        <f t="shared" si="36"/>
        <v>發送異動通知電文給CIP回傳錯誤碼:UP0090_00_V201</v>
      </c>
      <c r="P295" s="7" t="str">
        <f>IF(O295="","","請協助處理")</f>
        <v>請協助處理</v>
      </c>
      <c r="Q295" s="7" t="s">
        <v>162</v>
      </c>
      <c r="R295" s="7"/>
      <c r="S295" s="16" t="s">
        <v>299</v>
      </c>
      <c r="T295" s="4" t="s">
        <v>2797</v>
      </c>
      <c r="U295" s="4" t="s">
        <v>17</v>
      </c>
      <c r="V295" s="4" t="s">
        <v>1748</v>
      </c>
      <c r="W295" s="4" t="s">
        <v>2363</v>
      </c>
      <c r="X295" s="4" t="s">
        <v>2798</v>
      </c>
      <c r="Y295" s="4" t="s">
        <v>3252</v>
      </c>
      <c r="Z295" s="4" t="s">
        <v>2799</v>
      </c>
      <c r="AA295" s="37" t="s">
        <v>2782</v>
      </c>
      <c r="AB295" s="4" t="s">
        <v>2802</v>
      </c>
      <c r="AC295" s="4" t="s">
        <v>2315</v>
      </c>
      <c r="AD295" s="4" t="s">
        <v>2800</v>
      </c>
      <c r="AE295" s="32" t="s">
        <v>3213</v>
      </c>
      <c r="AF295" s="4" t="s">
        <v>278</v>
      </c>
      <c r="AG295" t="s">
        <v>2579</v>
      </c>
    </row>
    <row r="296" spans="1:33" ht="33" x14ac:dyDescent="0.25">
      <c r="A296" s="4" t="str">
        <f t="shared" si="34"/>
        <v>'1635268213702674-1715981-98-02',</v>
      </c>
      <c r="B296" s="4" t="str">
        <f t="shared" si="35"/>
        <v>'1635268220859426-1716577-23-02',</v>
      </c>
      <c r="C296" s="15" t="s">
        <v>3191</v>
      </c>
      <c r="D296" s="5" t="s">
        <v>2983</v>
      </c>
      <c r="E296" s="5" t="s">
        <v>3192</v>
      </c>
      <c r="F296" s="5" t="s">
        <v>3193</v>
      </c>
      <c r="G296" s="29"/>
      <c r="H296" s="5"/>
      <c r="I296" s="22" t="s">
        <v>3189</v>
      </c>
      <c r="J296" s="16" t="s">
        <v>2982</v>
      </c>
      <c r="K296" s="25" t="s">
        <v>2981</v>
      </c>
      <c r="L296" s="16" t="s">
        <v>2784</v>
      </c>
      <c r="M296" s="16" t="str">
        <f t="shared" si="38"/>
        <v>UPDATE CIFX.TB_SERVICE_EXECUTION_CONTROL SET EXECUTION_STATE = 'EXECUTED', ap_server_EXECUTING = NULL WHERE SERVICE_EXECUTION_CONTROL_ID IN ('1635268213705085-1715981-02-02') and execution_type = 'STAGE1_EXECUTION';</v>
      </c>
      <c r="N296" s="16" t="str">
        <f t="shared" si="39"/>
        <v>SELECT EXECUTION_TYPE,SERVICE_INTERCHANGE_ID,CIRCI_KEY,EXECUTION_STATE FROM CIFX.TB_SERVICE_EXECUTION_CONTROL WHERE SERVICE_EXECUTION_CONTROL_ID IN ('1635268213705085-1715981-02-02') AND EXECUTION_TYPE = 'STAGE1_EXECUTION';</v>
      </c>
      <c r="O296" s="7" t="str">
        <f t="shared" si="36"/>
        <v>發送異動通知電文給CIP回傳錯誤碼:UP0090_00_V201,錯誤碼訊息:必要性檢核錯誤,錯誤訊息:[檢查有誤，顧客ID已停用]</v>
      </c>
      <c r="P296" s="7" t="str">
        <f t="shared" si="37"/>
        <v>請協助處理</v>
      </c>
      <c r="Q296" s="7" t="s">
        <v>162</v>
      </c>
      <c r="R296" s="7"/>
      <c r="S296" s="16" t="s">
        <v>299</v>
      </c>
      <c r="T296" s="4" t="s">
        <v>2824</v>
      </c>
      <c r="U296" s="4" t="s">
        <v>17</v>
      </c>
      <c r="V296" s="4" t="s">
        <v>1</v>
      </c>
      <c r="W296" s="4" t="s">
        <v>2363</v>
      </c>
      <c r="X296" s="4" t="s">
        <v>2818</v>
      </c>
      <c r="Y296" s="4" t="s">
        <v>2984</v>
      </c>
      <c r="Z296" s="4" t="s">
        <v>2819</v>
      </c>
      <c r="AA296" s="37" t="s">
        <v>2823</v>
      </c>
      <c r="AB296" s="4" t="s">
        <v>2822</v>
      </c>
      <c r="AC296" s="4" t="s">
        <v>2315</v>
      </c>
      <c r="AD296" s="4" t="s">
        <v>2820</v>
      </c>
      <c r="AE296" s="32" t="s">
        <v>2821</v>
      </c>
      <c r="AF296" s="4" t="s">
        <v>2817</v>
      </c>
    </row>
    <row r="297" spans="1:33" ht="33" x14ac:dyDescent="0.25">
      <c r="A297" s="4" t="str">
        <f t="shared" si="34"/>
        <v>'1635267258496271-1715759-02-02',</v>
      </c>
      <c r="B297" s="4" t="str">
        <f t="shared" si="35"/>
        <v>'1635267258703843-1715676-26-02',</v>
      </c>
      <c r="C297" s="15" t="s">
        <v>3191</v>
      </c>
      <c r="D297" s="5" t="s">
        <v>2841</v>
      </c>
      <c r="E297" s="5" t="s">
        <v>3187</v>
      </c>
      <c r="F297" s="5" t="s">
        <v>2986</v>
      </c>
      <c r="G297" s="29"/>
      <c r="H297" s="5"/>
      <c r="I297" s="22" t="s">
        <v>3187</v>
      </c>
      <c r="J297" s="16" t="s">
        <v>2982</v>
      </c>
      <c r="K297" s="25" t="s">
        <v>2981</v>
      </c>
      <c r="L297" s="16" t="s">
        <v>2784</v>
      </c>
      <c r="M297" s="16" t="str">
        <f t="shared" ref="M297:M350" si="40">IF($L297&lt;&gt;"",IF($L297="清除單筆同步失敗註記","UPDATE CIFX.TB_SERVICE_EXECUTION_CONTROL SET EXECUTION_STATE = "&amp;"'"&amp;"EXECUTED"&amp;"'"&amp;", ap_server_EXECUTING = NULL WHERE SERVICE_EXECUTION_CONTROL_ID IN ("&amp;"'"&amp;$Y297&amp;"'"&amp;") and execution_type = "&amp;"'"&amp;"STAGE1_EXECUTION"&amp;"';"&amp;"",IF($L297="重送單筆CIP電文","UPDATE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("&amp;"'"&amp;$Y297&amp;"'"&amp;") AND EXECUTION_TYPE = "&amp;"'"&amp;"STAGE1_EXECUTION"&amp;"'"&amp;";",IF($L297="清除顧客下同步任務","update cifx.tb_service_execution_control sec set sec.EXECUTION_STATE = "&amp;"'"&amp;"EXECUTED"&amp;"'"&amp;"  where sec.circi_key ="&amp;"'"&amp;AA297&amp;"';",IF($L297="重送顧客下特定同步任務","update cifx.tb_service_execution_control sec set sec.EXECUTION_STATE = "&amp;"'"&amp;"TO_EXECUTE"&amp;"'"&amp;"  where sec.SERVICE_EXECUTION_CONTROL_ID IN ();","沒有對應")))),"")</f>
        <v>UPDATE CIFX.TB_SERVICE_EXECUTION_CONTROL SET EXECUTION_STATE = 'EXECUTED', ap_server_EXECUTING = NULL WHERE SERVICE_EXECUTION_CONTROL_ID IN ('1635267258523049-1715759-24-02') and execution_type = 'STAGE1_EXECUTION';</v>
      </c>
      <c r="N297" s="16" t="str">
        <f t="shared" ref="N297:N350" si="41">IF($L297&lt;&gt;"",IF($L297&lt;&gt;"清除顧客下同步任務","SELECT EXECUTION_TYPE,SERVICE_INTERCHANGE_ID,CIRCI_KEY,EXECUTION_STATE FROM CIFX.TB_SERVICE_EXECUTION_CONTROL WHERE SERVICE_EXECUTION_CONTROL_ID IN ("&amp;"'"&amp;$Y297&amp;"'"&amp;") AND EXECUTION_TYPE = "&amp;"'"&amp;"STAGE1_EXECUTION"&amp;"'"&amp;";","SELECT EXECUTION_TYPE,SERVICE_INTERCHANGE_ID,CIRCI_KEY,EXECUTION_STATE FROM CIFX.TB_SERVICE_EXECUTION_CONTROL SEC   where sec.circi_key ="&amp;"'"&amp;AA297&amp;"'order by req_timestamp desc ;"),"")</f>
        <v>SELECT EXECUTION_TYPE,SERVICE_INTERCHANGE_ID,CIRCI_KEY,EXECUTION_STATE FROM CIFX.TB_SERVICE_EXECUTION_CONTROL WHERE SERVICE_EXECUTION_CONTROL_ID IN ('1635267258523049-1715759-24-02') AND EXECUTION_TYPE = 'STAGE1_EXECUTION';</v>
      </c>
      <c r="O297" s="7" t="str">
        <f t="shared" si="36"/>
        <v>發送異動通知電文給CIP回傳錯誤碼:UP0090_00_V201,錯誤碼訊息:必要性檢核錯誤,錯誤訊息:[檢查有誤，顧客ID已停用]</v>
      </c>
      <c r="P297" s="7" t="str">
        <f t="shared" si="37"/>
        <v>請協助處理</v>
      </c>
      <c r="Q297" s="7" t="s">
        <v>162</v>
      </c>
      <c r="R297" s="7"/>
      <c r="S297" s="16" t="s">
        <v>3247</v>
      </c>
      <c r="T297" s="4" t="s">
        <v>2811</v>
      </c>
      <c r="U297" s="4" t="s">
        <v>17</v>
      </c>
      <c r="V297" s="4" t="s">
        <v>1</v>
      </c>
      <c r="W297" s="4" t="s">
        <v>2363</v>
      </c>
      <c r="X297" s="4" t="s">
        <v>2812</v>
      </c>
      <c r="Y297" s="4" t="s">
        <v>2985</v>
      </c>
      <c r="Z297" s="4" t="s">
        <v>2813</v>
      </c>
      <c r="AA297" s="37" t="s">
        <v>2815</v>
      </c>
      <c r="AB297" s="4" t="s">
        <v>1979</v>
      </c>
      <c r="AC297" s="4" t="s">
        <v>2315</v>
      </c>
      <c r="AD297" s="4" t="s">
        <v>2814</v>
      </c>
      <c r="AE297" s="32" t="s">
        <v>2816</v>
      </c>
      <c r="AF297" s="4" t="s">
        <v>2817</v>
      </c>
    </row>
    <row r="298" spans="1:33" x14ac:dyDescent="0.25">
      <c r="A298" s="4" t="str">
        <f t="shared" si="34"/>
        <v>'1635162461802361-1469849-05-02',</v>
      </c>
      <c r="B298" s="4" t="str">
        <f t="shared" si="35"/>
        <v>'1635162462700959-1469852-90-02',</v>
      </c>
      <c r="C298" s="15" t="s">
        <v>3191</v>
      </c>
      <c r="D298" s="5" t="s">
        <v>2841</v>
      </c>
      <c r="E298" s="5" t="s">
        <v>2839</v>
      </c>
      <c r="F298" s="5" t="s">
        <v>2838</v>
      </c>
      <c r="G298" s="29"/>
      <c r="H298" s="5"/>
      <c r="I298" s="22" t="s">
        <v>2840</v>
      </c>
      <c r="J298" s="16"/>
      <c r="K298" s="25" t="s">
        <v>2810</v>
      </c>
      <c r="L298" s="16" t="s">
        <v>2784</v>
      </c>
      <c r="M298" s="16" t="str">
        <f t="shared" si="40"/>
        <v>UPDATE CIFX.TB_SERVICE_EXECUTION_CONTROL SET EXECUTION_STATE = 'EXECUTED', ap_server_EXECUTING = NULL WHERE SERVICE_EXECUTION_CONTROL_ID IN ('1635162461838884-1469849-46-02') and execution_type = 'STAGE1_EXECUTION';</v>
      </c>
      <c r="N298" s="16" t="str">
        <f t="shared" si="41"/>
        <v>SELECT EXECUTION_TYPE,SERVICE_INTERCHANGE_ID,CIRCI_KEY,EXECUTION_STATE FROM CIFX.TB_SERVICE_EXECUTION_CONTROL WHERE SERVICE_EXECUTION_CONTROL_ID IN ('1635162461838884-1469849-46-02') AND EXECUTION_TYPE = 'STAGE1_EXECUTION';</v>
      </c>
      <c r="O298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funcId=01, custName=江欣芷, companyEstablishDate=null, circiKey=F226787573, creditCardKey=null, certNo=F226787573, certDate=Sun Nov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goldenRecordItemContent=D131],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goldenRecordItemContent=江欣芷],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goldenRecordItemContent=D131],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goldenRecordItemContent=0953051101],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goldenRecordItemContent=061610],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goldenRecordItemContent=0953051101],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goldenRecordItemContent=自強路６２巷６號７樓],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goldenRecordItemContent=中和區],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[custId=10183842, custType=P, certTypeCode=00, partyKind=P, oldRestart=false, customerTag=null, idChangeState=null, creditCardKey=null, circiKey=null, birthDay=null]；ServiceInterchange:ServiceInterchange [serviceInterchangeId=1635162461997758482, serviceInterchangeTime=Mon Oct 25 11:47:41 GMT+08:00 2021, msgNo=TS0116_00_20211025114741_3812, serviceName=CATEGORY_002, operationName=writeCustomerInfo, txnCode=AQF0308, txnTime=Mon Oct 25 11:47:41 GMT+08:00 2021, senderCode=TS0116_00, receiverCode=UP0090_00, operatorCode=LA, unitCode=D131, authorizerCode=null, serviceResponse=null, queryResponseLineitems=[]], Exception : ]</v>
      </c>
      <c r="P298" s="7" t="str">
        <f t="shared" si="37"/>
        <v>請協助處理</v>
      </c>
      <c r="Q298" s="7"/>
      <c r="R298" s="7"/>
      <c r="S298" s="16"/>
      <c r="T298" s="4" t="s">
        <v>2805</v>
      </c>
      <c r="U298" s="4" t="s">
        <v>17</v>
      </c>
      <c r="V298" s="4" t="s">
        <v>2804</v>
      </c>
      <c r="W298" s="4" t="s">
        <v>2796</v>
      </c>
      <c r="X298" s="4" t="s">
        <v>2825</v>
      </c>
      <c r="Y298" s="4" t="s">
        <v>2826</v>
      </c>
      <c r="Z298" s="4" t="s">
        <v>2806</v>
      </c>
      <c r="AA298" s="37" t="s">
        <v>2809</v>
      </c>
      <c r="AB298" s="4" t="s">
        <v>2808</v>
      </c>
      <c r="AC298" s="4" t="s">
        <v>2315</v>
      </c>
      <c r="AD298" s="4" t="s">
        <v>2807</v>
      </c>
      <c r="AE298" s="4"/>
      <c r="AF298" s="4"/>
    </row>
    <row r="299" spans="1:33" ht="33" x14ac:dyDescent="0.25">
      <c r="A299" s="4" t="str">
        <f t="shared" si="34"/>
        <v>'1635429437340581-2074951-26-02',</v>
      </c>
      <c r="B299" s="4" t="str">
        <f t="shared" si="35"/>
        <v>'1635429437834779-2074948-62-02',</v>
      </c>
      <c r="C299" s="15" t="s">
        <v>3240</v>
      </c>
      <c r="D299" s="5" t="s">
        <v>3250</v>
      </c>
      <c r="E299" s="5" t="s">
        <v>3241</v>
      </c>
      <c r="F299" s="5" t="s">
        <v>3258</v>
      </c>
      <c r="G299" s="29"/>
      <c r="H299" s="5"/>
      <c r="I299" s="22" t="s">
        <v>3256</v>
      </c>
      <c r="J299" s="16"/>
      <c r="K299" s="25" t="s">
        <v>3249</v>
      </c>
      <c r="L299" s="16" t="s">
        <v>2784</v>
      </c>
      <c r="M299" s="16" t="str">
        <f t="shared" si="40"/>
        <v>UPDATE CIFX.TB_SERVICE_EXECUTION_CONTROL SET EXECUTION_STATE = 'EXECUTED', ap_server_EXECUTING = NULL WHERE SERVICE_EXECUTION_CONTROL_ID IN ('1635429437474705-2074907-43-02') and execution_type = 'STAGE1_EXECUTION';</v>
      </c>
      <c r="N299" s="16" t="str">
        <f t="shared" si="41"/>
        <v>SELECT EXECUTION_TYPE,SERVICE_INTERCHANGE_ID,CIRCI_KEY,EXECUTION_STATE FROM CIFX.TB_SERVICE_EXECUTION_CONTROL WHERE SERVICE_EXECUTION_CONTROL_ID IN ('1635429437474705-2074907-43-02') AND EXECUTION_TYPE = 'STAGE1_EXECUTION';</v>
      </c>
      <c r="O299" s="7" t="str">
        <f t="shared" si="36"/>
        <v>發送異動通知電文給CIP回傳錯誤碼:UP0090_00_V201,錯誤碼訊息:必要性檢核錯誤,錯誤訊息:[檢查有誤，AC00018256 顧客曾經執行過ID改號]</v>
      </c>
      <c r="P299" s="7" t="str">
        <f t="shared" si="37"/>
        <v>請協助處理</v>
      </c>
      <c r="Q299" s="7" t="s">
        <v>162</v>
      </c>
      <c r="R299" s="7"/>
      <c r="S299" s="16" t="s">
        <v>3248</v>
      </c>
      <c r="T299" s="4" t="s">
        <v>2833</v>
      </c>
      <c r="U299" s="4" t="s">
        <v>17</v>
      </c>
      <c r="V299" s="4" t="s">
        <v>2832</v>
      </c>
      <c r="W299" s="4" t="s">
        <v>2363</v>
      </c>
      <c r="X299" s="4" t="s">
        <v>2834</v>
      </c>
      <c r="Y299" s="4" t="s">
        <v>3251</v>
      </c>
      <c r="Z299" s="4" t="s">
        <v>2835</v>
      </c>
      <c r="AA299" s="37" t="s">
        <v>3212</v>
      </c>
      <c r="AB299" s="4" t="s">
        <v>3245</v>
      </c>
      <c r="AC299" s="4" t="s">
        <v>2315</v>
      </c>
      <c r="AD299" s="4" t="s">
        <v>2836</v>
      </c>
      <c r="AE299" s="32" t="s">
        <v>2837</v>
      </c>
      <c r="AF299" s="4" t="s">
        <v>2817</v>
      </c>
    </row>
    <row r="300" spans="1:33" x14ac:dyDescent="0.25">
      <c r="A300" s="4" t="str">
        <f t="shared" si="34"/>
        <v>'1635530180955802-2290392-03-01',</v>
      </c>
      <c r="B300" s="4" t="str">
        <f t="shared" si="35"/>
        <v>'1635530214488685-2289635-79-01',</v>
      </c>
      <c r="C300" s="15"/>
      <c r="D300" s="5"/>
      <c r="E300" s="5"/>
      <c r="F300" s="5"/>
      <c r="G300" s="29"/>
      <c r="H300" s="5"/>
      <c r="I300" s="22" t="s">
        <v>3189</v>
      </c>
      <c r="J300" s="16"/>
      <c r="K300" s="25"/>
      <c r="L300" s="16" t="s">
        <v>2784</v>
      </c>
      <c r="M300" s="16" t="str">
        <f t="shared" si="40"/>
        <v>UPDATE CIFX.TB_SERVICE_EXECUTION_CONTROL SET EXECUTION_STATE = 'EXECUTED', ap_server_EXECUTING = NULL WHERE SERVICE_EXECUTION_CONTROL_ID IN ('1635530180965038-2290392-07-01') and execution_type = 'STAGE1_EXECUTION';</v>
      </c>
      <c r="N300" s="16" t="str">
        <f t="shared" si="41"/>
        <v>SELECT EXECUTION_TYPE,SERVICE_INTERCHANGE_ID,CIRCI_KEY,EXECUTION_STATE FROM CIFX.TB_SERVICE_EXECUTION_CONTROL WHERE SERVICE_EXECUTION_CONTROL_ID IN ('1635530180965038-2290392-07-01') AND EXECUTION_TYPE = 'STAGE1_EXECUTION';</v>
      </c>
      <c r="O300" s="7" t="str">
        <f t="shared" si="36"/>
        <v>發送異動通知電文給CIP回傳錯誤碼:UP0090_00_V201,錯誤碼訊息:必要性檢核錯誤,錯誤訊息:[檢查有誤，顧客ID已停用]</v>
      </c>
      <c r="P300" s="7" t="str">
        <f t="shared" si="37"/>
        <v>請協助處理</v>
      </c>
      <c r="Q300" s="7"/>
      <c r="R300" s="7"/>
      <c r="S300" s="16"/>
      <c r="T300" s="4" t="s">
        <v>2842</v>
      </c>
      <c r="U300" s="4" t="s">
        <v>17</v>
      </c>
      <c r="V300" s="4" t="s">
        <v>1</v>
      </c>
      <c r="W300" s="4" t="s">
        <v>2859</v>
      </c>
      <c r="X300" s="4" t="s">
        <v>2878</v>
      </c>
      <c r="Y300" s="4" t="s">
        <v>2879</v>
      </c>
      <c r="Z300" s="4" t="s">
        <v>2880</v>
      </c>
      <c r="AA300" s="37" t="s">
        <v>2881</v>
      </c>
      <c r="AB300" s="4" t="s">
        <v>2197</v>
      </c>
      <c r="AC300" s="4" t="s">
        <v>2315</v>
      </c>
      <c r="AD300" s="4" t="s">
        <v>2882</v>
      </c>
      <c r="AE300" s="4"/>
      <c r="AF300" s="4" t="s">
        <v>2963</v>
      </c>
    </row>
    <row r="301" spans="1:33" x14ac:dyDescent="0.25">
      <c r="A301" s="4" t="str">
        <f t="shared" si="34"/>
        <v>'1635530180283326-2290392-40-01',</v>
      </c>
      <c r="B301" s="4" t="str">
        <f t="shared" si="35"/>
        <v>'1635530212400534-2297038-77-02',</v>
      </c>
      <c r="C301" s="15"/>
      <c r="D301" s="5"/>
      <c r="E301" s="5"/>
      <c r="F301" s="5"/>
      <c r="G301" s="29"/>
      <c r="H301" s="5"/>
      <c r="I301" s="22" t="s">
        <v>3189</v>
      </c>
      <c r="J301" s="16"/>
      <c r="K301" s="25"/>
      <c r="L301" s="16" t="s">
        <v>2784</v>
      </c>
      <c r="M301" s="16" t="str">
        <f t="shared" si="40"/>
        <v>UPDATE CIFX.TB_SERVICE_EXECUTION_CONTROL SET EXECUTION_STATE = 'EXECUTED', ap_server_EXECUTING = NULL WHERE SERVICE_EXECUTION_CONTROL_ID IN ('1635530180292369-2290392-44-01') and execution_type = 'STAGE1_EXECUTION';</v>
      </c>
      <c r="N301" s="16" t="str">
        <f t="shared" si="41"/>
        <v>SELECT EXECUTION_TYPE,SERVICE_INTERCHANGE_ID,CIRCI_KEY,EXECUTION_STATE FROM CIFX.TB_SERVICE_EXECUTION_CONTROL WHERE SERVICE_EXECUTION_CONTROL_ID IN ('1635530180292369-2290392-44-01') AND EXECUTION_TYPE = 'STAGE1_EXECUTION';</v>
      </c>
      <c r="O301" s="7" t="str">
        <f t="shared" si="36"/>
        <v>發送異動通知電文給CIP回傳錯誤碼:UP0090_00_V201,錯誤碼訊息:必要性檢核錯誤,錯誤訊息:[檢查有誤，顧客ID已停用]</v>
      </c>
      <c r="P301" s="7" t="str">
        <f t="shared" si="37"/>
        <v>請協助處理</v>
      </c>
      <c r="Q301" s="7"/>
      <c r="R301" s="7"/>
      <c r="S301" s="16"/>
      <c r="T301" s="4" t="s">
        <v>2843</v>
      </c>
      <c r="U301" s="4" t="s">
        <v>17</v>
      </c>
      <c r="V301" s="4" t="s">
        <v>1</v>
      </c>
      <c r="W301" s="4" t="s">
        <v>2860</v>
      </c>
      <c r="X301" s="4" t="s">
        <v>2883</v>
      </c>
      <c r="Y301" s="4" t="s">
        <v>2884</v>
      </c>
      <c r="Z301" s="4" t="s">
        <v>2885</v>
      </c>
      <c r="AA301" s="37" t="s">
        <v>2886</v>
      </c>
      <c r="AB301" s="4" t="s">
        <v>2197</v>
      </c>
      <c r="AC301" s="4" t="s">
        <v>2315</v>
      </c>
      <c r="AD301" s="4" t="s">
        <v>2887</v>
      </c>
      <c r="AE301" s="4"/>
      <c r="AF301" s="4"/>
    </row>
    <row r="302" spans="1:33" x14ac:dyDescent="0.25">
      <c r="A302" s="4" t="str">
        <f t="shared" si="34"/>
        <v>'1635530179258095-2290392-98-01',</v>
      </c>
      <c r="B302" s="4" t="str">
        <f t="shared" si="35"/>
        <v>'1635530208433509-2297038-21-02',</v>
      </c>
      <c r="C302" s="15"/>
      <c r="D302" s="5"/>
      <c r="E302" s="5"/>
      <c r="F302" s="5"/>
      <c r="G302" s="29"/>
      <c r="H302" s="5"/>
      <c r="I302" s="22" t="s">
        <v>3189</v>
      </c>
      <c r="J302" s="16"/>
      <c r="K302" s="25"/>
      <c r="L302" s="16" t="s">
        <v>2784</v>
      </c>
      <c r="M302" s="16" t="str">
        <f t="shared" si="40"/>
        <v>UPDATE CIFX.TB_SERVICE_EXECUTION_CONTROL SET EXECUTION_STATE = 'EXECUTED', ap_server_EXECUTING = NULL WHERE SERVICE_EXECUTION_CONTROL_ID IN ('1635530179267426-2290392-03-01') and execution_type = 'STAGE1_EXECUTION';</v>
      </c>
      <c r="N302" s="16" t="str">
        <f t="shared" si="41"/>
        <v>SELECT EXECUTION_TYPE,SERVICE_INTERCHANGE_ID,CIRCI_KEY,EXECUTION_STATE FROM CIFX.TB_SERVICE_EXECUTION_CONTROL WHERE SERVICE_EXECUTION_CONTROL_ID IN ('1635530179267426-2290392-03-01') AND EXECUTION_TYPE = 'STAGE1_EXECUTION';</v>
      </c>
      <c r="O302" s="7" t="str">
        <f t="shared" si="36"/>
        <v>發送異動通知電文給CIP回傳錯誤碼:UP0090_00_V201,錯誤碼訊息:必要性檢核錯誤,錯誤訊息:[檢查有誤，顧客ID已停用]</v>
      </c>
      <c r="P302" s="7" t="str">
        <f t="shared" si="37"/>
        <v>請協助處理</v>
      </c>
      <c r="Q302" s="7"/>
      <c r="R302" s="7"/>
      <c r="S302" s="16"/>
      <c r="T302" s="4" t="s">
        <v>2844</v>
      </c>
      <c r="U302" s="4" t="s">
        <v>17</v>
      </c>
      <c r="V302" s="4" t="s">
        <v>1</v>
      </c>
      <c r="W302" s="4" t="s">
        <v>2861</v>
      </c>
      <c r="X302" s="4" t="s">
        <v>2888</v>
      </c>
      <c r="Y302" s="4" t="s">
        <v>2889</v>
      </c>
      <c r="Z302" s="4" t="s">
        <v>2890</v>
      </c>
      <c r="AA302" s="37" t="s">
        <v>2891</v>
      </c>
      <c r="AB302" s="4" t="s">
        <v>2197</v>
      </c>
      <c r="AC302" s="4" t="s">
        <v>2315</v>
      </c>
      <c r="AD302" s="4" t="s">
        <v>2892</v>
      </c>
      <c r="AE302" s="4"/>
      <c r="AF302" s="4"/>
    </row>
    <row r="303" spans="1:33" x14ac:dyDescent="0.25">
      <c r="A303" s="4" t="str">
        <f t="shared" si="34"/>
        <v>'1635530178778999-2290392-91-01',</v>
      </c>
      <c r="B303" s="4" t="str">
        <f t="shared" si="35"/>
        <v>'1635530206806696-2297005-93-02',</v>
      </c>
      <c r="C303" s="15"/>
      <c r="D303" s="5"/>
      <c r="E303" s="5"/>
      <c r="F303" s="5"/>
      <c r="G303" s="29"/>
      <c r="H303" s="5"/>
      <c r="I303" s="22" t="s">
        <v>3189</v>
      </c>
      <c r="J303" s="16"/>
      <c r="K303" s="25"/>
      <c r="L303" s="16" t="s">
        <v>2784</v>
      </c>
      <c r="M303" s="16" t="str">
        <f t="shared" si="40"/>
        <v>UPDATE CIFX.TB_SERVICE_EXECUTION_CONTROL SET EXECUTION_STATE = 'EXECUTED', ap_server_EXECUTING = NULL WHERE SERVICE_EXECUTION_CONTROL_ID IN ('1635530178788727-2290392-95-01') and execution_type = 'STAGE1_EXECUTION';</v>
      </c>
      <c r="N303" s="16" t="str">
        <f t="shared" si="41"/>
        <v>SELECT EXECUTION_TYPE,SERVICE_INTERCHANGE_ID,CIRCI_KEY,EXECUTION_STATE FROM CIFX.TB_SERVICE_EXECUTION_CONTROL WHERE SERVICE_EXECUTION_CONTROL_ID IN ('1635530178788727-2290392-95-01') AND EXECUTION_TYPE = 'STAGE1_EXECUTION';</v>
      </c>
      <c r="O303" s="7" t="str">
        <f t="shared" si="36"/>
        <v>發送異動通知電文給CIP回傳錯誤碼:UP0090_00_V201,錯誤碼訊息:必要性檢核錯誤,錯誤訊息:[檢查有誤，顧客ID已停用]</v>
      </c>
      <c r="P303" s="7" t="str">
        <f t="shared" si="37"/>
        <v>請協助處理</v>
      </c>
      <c r="Q303" s="7"/>
      <c r="R303" s="7"/>
      <c r="S303" s="16"/>
      <c r="T303" s="4" t="s">
        <v>2845</v>
      </c>
      <c r="U303" s="4" t="s">
        <v>17</v>
      </c>
      <c r="V303" s="4" t="s">
        <v>1</v>
      </c>
      <c r="W303" s="4" t="s">
        <v>2862</v>
      </c>
      <c r="X303" s="4" t="s">
        <v>2893</v>
      </c>
      <c r="Y303" s="4" t="s">
        <v>2894</v>
      </c>
      <c r="Z303" s="4" t="s">
        <v>2895</v>
      </c>
      <c r="AA303" s="37" t="s">
        <v>2896</v>
      </c>
      <c r="AB303" s="4" t="s">
        <v>2197</v>
      </c>
      <c r="AC303" s="4" t="s">
        <v>2315</v>
      </c>
      <c r="AD303" s="4" t="s">
        <v>2897</v>
      </c>
      <c r="AE303" s="4"/>
      <c r="AF303" s="4"/>
    </row>
    <row r="304" spans="1:33" x14ac:dyDescent="0.25">
      <c r="A304" s="4" t="str">
        <f t="shared" si="34"/>
        <v>'1635530178210626-2290392-47-01',</v>
      </c>
      <c r="B304" s="4" t="str">
        <f t="shared" si="35"/>
        <v>'1635530204318294-2289440-93-01',</v>
      </c>
      <c r="C304" s="15"/>
      <c r="D304" s="5"/>
      <c r="E304" s="5"/>
      <c r="F304" s="5"/>
      <c r="G304" s="29"/>
      <c r="H304" s="5"/>
      <c r="I304" s="22" t="s">
        <v>3189</v>
      </c>
      <c r="J304" s="16"/>
      <c r="K304" s="25"/>
      <c r="L304" s="16" t="s">
        <v>2784</v>
      </c>
      <c r="M304" s="16" t="str">
        <f t="shared" si="40"/>
        <v>UPDATE CIFX.TB_SERVICE_EXECUTION_CONTROL SET EXECUTION_STATE = 'EXECUTED', ap_server_EXECUTING = NULL WHERE SERVICE_EXECUTION_CONTROL_ID IN ('1635530178220102-2290392-51-01') and execution_type = 'STAGE1_EXECUTION';</v>
      </c>
      <c r="N304" s="16" t="str">
        <f t="shared" si="41"/>
        <v>SELECT EXECUTION_TYPE,SERVICE_INTERCHANGE_ID,CIRCI_KEY,EXECUTION_STATE FROM CIFX.TB_SERVICE_EXECUTION_CONTROL WHERE SERVICE_EXECUTION_CONTROL_ID IN ('1635530178220102-2290392-51-01') AND EXECUTION_TYPE = 'STAGE1_EXECUTION';</v>
      </c>
      <c r="O304" s="7" t="str">
        <f t="shared" si="36"/>
        <v>發送異動通知電文給CIP回傳錯誤碼:UP0090_00_V201,錯誤碼訊息:必要性檢核錯誤,錯誤訊息:[檢查有誤，顧客ID已停用]</v>
      </c>
      <c r="P304" s="7" t="str">
        <f t="shared" si="37"/>
        <v>請協助處理</v>
      </c>
      <c r="Q304" s="7"/>
      <c r="R304" s="7"/>
      <c r="S304" s="16"/>
      <c r="T304" s="4" t="s">
        <v>2846</v>
      </c>
      <c r="U304" s="4" t="s">
        <v>17</v>
      </c>
      <c r="V304" s="4" t="s">
        <v>1</v>
      </c>
      <c r="W304" s="4" t="s">
        <v>2863</v>
      </c>
      <c r="X304" s="4" t="s">
        <v>2898</v>
      </c>
      <c r="Y304" s="4" t="s">
        <v>2899</v>
      </c>
      <c r="Z304" s="4" t="s">
        <v>2900</v>
      </c>
      <c r="AA304" s="37" t="s">
        <v>2901</v>
      </c>
      <c r="AB304" s="4" t="s">
        <v>2197</v>
      </c>
      <c r="AC304" s="4" t="s">
        <v>2315</v>
      </c>
      <c r="AD304" s="4" t="s">
        <v>2902</v>
      </c>
      <c r="AE304" s="4"/>
      <c r="AF304" s="4"/>
    </row>
    <row r="305" spans="1:32" x14ac:dyDescent="0.25">
      <c r="A305" s="4" t="str">
        <f t="shared" si="34"/>
        <v>'1635530177662961-2290392-20-01',</v>
      </c>
      <c r="B305" s="4" t="str">
        <f t="shared" si="35"/>
        <v>'1635530201230881-2297038-81-02',</v>
      </c>
      <c r="C305" s="15"/>
      <c r="D305" s="5"/>
      <c r="E305" s="5"/>
      <c r="F305" s="5"/>
      <c r="G305" s="29"/>
      <c r="H305" s="5"/>
      <c r="I305" s="22" t="s">
        <v>3189</v>
      </c>
      <c r="J305" s="16"/>
      <c r="K305" s="25"/>
      <c r="L305" s="16" t="s">
        <v>2784</v>
      </c>
      <c r="M305" s="16" t="str">
        <f t="shared" si="40"/>
        <v>UPDATE CIFX.TB_SERVICE_EXECUTION_CONTROL SET EXECUTION_STATE = 'EXECUTED', ap_server_EXECUTING = NULL WHERE SERVICE_EXECUTION_CONTROL_ID IN ('1635530177672335-2290392-24-01') and execution_type = 'STAGE1_EXECUTION';</v>
      </c>
      <c r="N305" s="16" t="str">
        <f t="shared" si="41"/>
        <v>SELECT EXECUTION_TYPE,SERVICE_INTERCHANGE_ID,CIRCI_KEY,EXECUTION_STATE FROM CIFX.TB_SERVICE_EXECUTION_CONTROL WHERE SERVICE_EXECUTION_CONTROL_ID IN ('1635530177672335-2290392-24-01') AND EXECUTION_TYPE = 'STAGE1_EXECUTION';</v>
      </c>
      <c r="O305" s="7" t="str">
        <f t="shared" si="36"/>
        <v>發送異動通知電文給CIP回傳錯誤碼:UP0090_00_V201,錯誤碼訊息:必要性檢核錯誤,錯誤訊息:[檢查有誤，顧客ID已停用]</v>
      </c>
      <c r="P305" s="7" t="str">
        <f t="shared" si="37"/>
        <v>請協助處理</v>
      </c>
      <c r="Q305" s="7"/>
      <c r="R305" s="7"/>
      <c r="S305" s="16"/>
      <c r="T305" s="4" t="s">
        <v>2847</v>
      </c>
      <c r="U305" s="4" t="s">
        <v>17</v>
      </c>
      <c r="V305" s="4" t="s">
        <v>1</v>
      </c>
      <c r="W305" s="4" t="s">
        <v>2864</v>
      </c>
      <c r="X305" s="4" t="s">
        <v>2903</v>
      </c>
      <c r="Y305" s="4" t="s">
        <v>2904</v>
      </c>
      <c r="Z305" s="4" t="s">
        <v>2905</v>
      </c>
      <c r="AA305" s="37" t="s">
        <v>2906</v>
      </c>
      <c r="AB305" s="4" t="s">
        <v>2197</v>
      </c>
      <c r="AC305" s="4" t="s">
        <v>2315</v>
      </c>
      <c r="AD305" s="4" t="s">
        <v>2907</v>
      </c>
      <c r="AE305" s="4"/>
      <c r="AF305" s="4"/>
    </row>
    <row r="306" spans="1:32" x14ac:dyDescent="0.25">
      <c r="A306" s="4" t="str">
        <f t="shared" si="34"/>
        <v>'1635530177390731-2290392-10-01',</v>
      </c>
      <c r="B306" s="4" t="str">
        <f t="shared" si="35"/>
        <v>'1635530200204000-2296900-86-02',</v>
      </c>
      <c r="C306" s="15"/>
      <c r="D306" s="5"/>
      <c r="E306" s="5"/>
      <c r="F306" s="5"/>
      <c r="G306" s="29"/>
      <c r="H306" s="5"/>
      <c r="I306" s="22" t="s">
        <v>3189</v>
      </c>
      <c r="J306" s="16"/>
      <c r="K306" s="25"/>
      <c r="L306" s="16" t="s">
        <v>2784</v>
      </c>
      <c r="M306" s="16" t="str">
        <f t="shared" si="40"/>
        <v>UPDATE CIFX.TB_SERVICE_EXECUTION_CONTROL SET EXECUTION_STATE = 'EXECUTED', ap_server_EXECUTING = NULL WHERE SERVICE_EXECUTION_CONTROL_ID IN ('1635530177401355-2290392-14-01') and execution_type = 'STAGE1_EXECUTION';</v>
      </c>
      <c r="N306" s="16" t="str">
        <f t="shared" si="41"/>
        <v>SELECT EXECUTION_TYPE,SERVICE_INTERCHANGE_ID,CIRCI_KEY,EXECUTION_STATE FROM CIFX.TB_SERVICE_EXECUTION_CONTROL WHERE SERVICE_EXECUTION_CONTROL_ID IN ('1635530177401355-2290392-14-01') AND EXECUTION_TYPE = 'STAGE1_EXECUTION';</v>
      </c>
      <c r="O306" s="7" t="str">
        <f t="shared" si="36"/>
        <v>發送異動通知電文給CIP回傳錯誤碼:UP0090_00_V201,錯誤碼訊息:必要性檢核錯誤,錯誤訊息:[檢查有誤，顧客ID已停用]</v>
      </c>
      <c r="P306" s="7" t="str">
        <f t="shared" si="37"/>
        <v>請協助處理</v>
      </c>
      <c r="Q306" s="7"/>
      <c r="R306" s="7"/>
      <c r="S306" s="16"/>
      <c r="T306" s="4" t="s">
        <v>2848</v>
      </c>
      <c r="U306" s="4" t="s">
        <v>17</v>
      </c>
      <c r="V306" s="4" t="s">
        <v>1</v>
      </c>
      <c r="W306" s="4" t="s">
        <v>2865</v>
      </c>
      <c r="X306" s="4" t="s">
        <v>2908</v>
      </c>
      <c r="Y306" s="4" t="s">
        <v>2909</v>
      </c>
      <c r="Z306" s="4" t="s">
        <v>2910</v>
      </c>
      <c r="AA306" s="37" t="s">
        <v>2911</v>
      </c>
      <c r="AB306" s="4" t="s">
        <v>2197</v>
      </c>
      <c r="AC306" s="4" t="s">
        <v>2315</v>
      </c>
      <c r="AD306" s="4" t="s">
        <v>2912</v>
      </c>
      <c r="AE306" s="4"/>
      <c r="AF306" s="4"/>
    </row>
    <row r="307" spans="1:32" x14ac:dyDescent="0.25">
      <c r="A307" s="4" t="str">
        <f t="shared" si="34"/>
        <v>'1635530176016074-2290392-70-01',</v>
      </c>
      <c r="B307" s="4" t="str">
        <f t="shared" si="35"/>
        <v>'1635530195281959-2296960-48-02',</v>
      </c>
      <c r="C307" s="15"/>
      <c r="D307" s="5"/>
      <c r="E307" s="5"/>
      <c r="F307" s="5"/>
      <c r="G307" s="29"/>
      <c r="H307" s="5"/>
      <c r="I307" s="22" t="s">
        <v>3189</v>
      </c>
      <c r="J307" s="16"/>
      <c r="K307" s="25"/>
      <c r="L307" s="16" t="s">
        <v>2784</v>
      </c>
      <c r="M307" s="16" t="str">
        <f t="shared" si="40"/>
        <v>UPDATE CIFX.TB_SERVICE_EXECUTION_CONTROL SET EXECUTION_STATE = 'EXECUTED', ap_server_EXECUTING = NULL WHERE SERVICE_EXECUTION_CONTROL_ID IN ('1635530176025031-2290392-76-01') and execution_type = 'STAGE1_EXECUTION';</v>
      </c>
      <c r="N307" s="16" t="str">
        <f t="shared" si="41"/>
        <v>SELECT EXECUTION_TYPE,SERVICE_INTERCHANGE_ID,CIRCI_KEY,EXECUTION_STATE FROM CIFX.TB_SERVICE_EXECUTION_CONTROL WHERE SERVICE_EXECUTION_CONTROL_ID IN ('1635530176025031-2290392-76-01') AND EXECUTION_TYPE = 'STAGE1_EXECUTION';</v>
      </c>
      <c r="O307" s="7" t="str">
        <f t="shared" si="36"/>
        <v>發送異動通知電文給CIP回傳錯誤碼:UP0090_00_V201,錯誤碼訊息:必要性檢核錯誤,錯誤訊息:[檢查有誤，顧客ID已停用]</v>
      </c>
      <c r="P307" s="7" t="str">
        <f t="shared" si="37"/>
        <v>請協助處理</v>
      </c>
      <c r="Q307" s="7"/>
      <c r="R307" s="7"/>
      <c r="S307" s="16"/>
      <c r="T307" s="4" t="s">
        <v>2849</v>
      </c>
      <c r="U307" s="4" t="s">
        <v>17</v>
      </c>
      <c r="V307" s="4" t="s">
        <v>1</v>
      </c>
      <c r="W307" s="4" t="s">
        <v>2866</v>
      </c>
      <c r="X307" s="4" t="s">
        <v>2913</v>
      </c>
      <c r="Y307" s="4" t="s">
        <v>2914</v>
      </c>
      <c r="Z307" s="4" t="s">
        <v>2915</v>
      </c>
      <c r="AA307" s="37" t="s">
        <v>2916</v>
      </c>
      <c r="AB307" s="4" t="s">
        <v>2197</v>
      </c>
      <c r="AC307" s="4" t="s">
        <v>2315</v>
      </c>
      <c r="AD307" s="4" t="s">
        <v>2917</v>
      </c>
      <c r="AE307" s="4"/>
      <c r="AF307" s="4"/>
    </row>
    <row r="308" spans="1:32" x14ac:dyDescent="0.25">
      <c r="A308" s="4" t="str">
        <f t="shared" si="34"/>
        <v>'1635530175077176-2290392-67-01',</v>
      </c>
      <c r="B308" s="4" t="str">
        <f t="shared" si="35"/>
        <v>'1635530190710644-2296960-58-02',</v>
      </c>
      <c r="C308" s="15"/>
      <c r="D308" s="5"/>
      <c r="E308" s="5"/>
      <c r="F308" s="5"/>
      <c r="G308" s="29"/>
      <c r="H308" s="5"/>
      <c r="I308" s="22" t="s">
        <v>3189</v>
      </c>
      <c r="J308" s="16"/>
      <c r="K308" s="25"/>
      <c r="L308" s="16" t="s">
        <v>2784</v>
      </c>
      <c r="M308" s="16" t="str">
        <f t="shared" si="40"/>
        <v>UPDATE CIFX.TB_SERVICE_EXECUTION_CONTROL SET EXECUTION_STATE = 'EXECUTED', ap_server_EXECUTING = NULL WHERE SERVICE_EXECUTION_CONTROL_ID IN ('1635530175087202-2290392-75-01') and execution_type = 'STAGE1_EXECUTION';</v>
      </c>
      <c r="N308" s="16" t="str">
        <f t="shared" si="41"/>
        <v>SELECT EXECUTION_TYPE,SERVICE_INTERCHANGE_ID,CIRCI_KEY,EXECUTION_STATE FROM CIFX.TB_SERVICE_EXECUTION_CONTROL WHERE SERVICE_EXECUTION_CONTROL_ID IN ('1635530175087202-2290392-75-01') AND EXECUTION_TYPE = 'STAGE1_EXECUTION';</v>
      </c>
      <c r="O308" s="7" t="str">
        <f t="shared" si="36"/>
        <v>發送異動通知電文給CIP回傳錯誤碼:UP0090_00_V201,錯誤碼訊息:必要性檢核錯誤,錯誤訊息:[檢查有誤，顧客ID已停用]</v>
      </c>
      <c r="P308" s="7" t="str">
        <f t="shared" si="37"/>
        <v>請協助處理</v>
      </c>
      <c r="Q308" s="7"/>
      <c r="R308" s="7"/>
      <c r="S308" s="16"/>
      <c r="T308" s="4" t="s">
        <v>2850</v>
      </c>
      <c r="U308" s="4" t="s">
        <v>17</v>
      </c>
      <c r="V308" s="4" t="s">
        <v>1</v>
      </c>
      <c r="W308" s="4" t="s">
        <v>2867</v>
      </c>
      <c r="X308" s="4" t="s">
        <v>2918</v>
      </c>
      <c r="Y308" s="4" t="s">
        <v>2919</v>
      </c>
      <c r="Z308" s="4" t="s">
        <v>2920</v>
      </c>
      <c r="AA308" s="37" t="s">
        <v>2921</v>
      </c>
      <c r="AB308" s="4" t="s">
        <v>2197</v>
      </c>
      <c r="AC308" s="4" t="s">
        <v>2315</v>
      </c>
      <c r="AD308" s="4" t="s">
        <v>2922</v>
      </c>
      <c r="AE308" s="4"/>
      <c r="AF308" s="4"/>
    </row>
    <row r="309" spans="1:32" x14ac:dyDescent="0.25">
      <c r="A309" s="4" t="str">
        <f t="shared" si="34"/>
        <v>'1635530173936707-2290392-84-01',</v>
      </c>
      <c r="B309" s="4" t="str">
        <f t="shared" si="35"/>
        <v>'1635530187080266-2289707-87-01',</v>
      </c>
      <c r="C309" s="15"/>
      <c r="D309" s="5"/>
      <c r="E309" s="5"/>
      <c r="F309" s="5"/>
      <c r="G309" s="29"/>
      <c r="H309" s="5"/>
      <c r="I309" s="22" t="s">
        <v>3189</v>
      </c>
      <c r="J309" s="16"/>
      <c r="K309" s="25"/>
      <c r="L309" s="16" t="s">
        <v>2784</v>
      </c>
      <c r="M309" s="16" t="str">
        <f t="shared" si="40"/>
        <v>UPDATE CIFX.TB_SERVICE_EXECUTION_CONTROL SET EXECUTION_STATE = 'EXECUTED', ap_server_EXECUTING = NULL WHERE SERVICE_EXECUTION_CONTROL_ID IN ('1635530173946422-2290392-88-01') and execution_type = 'STAGE1_EXECUTION';</v>
      </c>
      <c r="N309" s="16" t="str">
        <f t="shared" si="41"/>
        <v>SELECT EXECUTION_TYPE,SERVICE_INTERCHANGE_ID,CIRCI_KEY,EXECUTION_STATE FROM CIFX.TB_SERVICE_EXECUTION_CONTROL WHERE SERVICE_EXECUTION_CONTROL_ID IN ('1635530173946422-2290392-88-01') AND EXECUTION_TYPE = 'STAGE1_EXECUTION';</v>
      </c>
      <c r="O309" s="7" t="str">
        <f t="shared" si="36"/>
        <v>發送異動通知電文給CIP回傳錯誤碼:UP0090_00_V201,錯誤碼訊息:必要性檢核錯誤,錯誤訊息:[檢查有誤，顧客ID已停用]</v>
      </c>
      <c r="P309" s="7" t="str">
        <f t="shared" si="37"/>
        <v>請協助處理</v>
      </c>
      <c r="Q309" s="7"/>
      <c r="R309" s="7"/>
      <c r="S309" s="16"/>
      <c r="T309" s="4" t="s">
        <v>2851</v>
      </c>
      <c r="U309" s="4" t="s">
        <v>17</v>
      </c>
      <c r="V309" s="4" t="s">
        <v>1</v>
      </c>
      <c r="W309" s="4" t="s">
        <v>2868</v>
      </c>
      <c r="X309" s="4" t="s">
        <v>2923</v>
      </c>
      <c r="Y309" s="4" t="s">
        <v>2924</v>
      </c>
      <c r="Z309" s="4" t="s">
        <v>2925</v>
      </c>
      <c r="AA309" s="37" t="s">
        <v>2926</v>
      </c>
      <c r="AB309" s="4" t="s">
        <v>2197</v>
      </c>
      <c r="AC309" s="4" t="s">
        <v>2315</v>
      </c>
      <c r="AD309" s="4" t="s">
        <v>2927</v>
      </c>
      <c r="AE309" s="4"/>
      <c r="AF309" s="4"/>
    </row>
    <row r="310" spans="1:32" x14ac:dyDescent="0.25">
      <c r="A310" s="4" t="str">
        <f t="shared" si="34"/>
        <v>'1635530173922594-2290392-79-01',</v>
      </c>
      <c r="B310" s="4" t="str">
        <f t="shared" si="35"/>
        <v>'1635530186918369-2296900-77-02',</v>
      </c>
      <c r="C310" s="15"/>
      <c r="D310" s="5"/>
      <c r="E310" s="5"/>
      <c r="F310" s="5"/>
      <c r="G310" s="29"/>
      <c r="H310" s="5"/>
      <c r="I310" s="22" t="s">
        <v>3189</v>
      </c>
      <c r="J310" s="16"/>
      <c r="K310" s="25"/>
      <c r="L310" s="16" t="s">
        <v>2784</v>
      </c>
      <c r="M310" s="16" t="str">
        <f t="shared" si="40"/>
        <v>UPDATE CIFX.TB_SERVICE_EXECUTION_CONTROL SET EXECUTION_STATE = 'EXECUTED', ap_server_EXECUTING = NULL WHERE SERVICE_EXECUTION_CONTROL_ID IN ('1635530173932189-2290392-83-01') and execution_type = 'STAGE1_EXECUTION';</v>
      </c>
      <c r="N310" s="16" t="str">
        <f t="shared" si="41"/>
        <v>SELECT EXECUTION_TYPE,SERVICE_INTERCHANGE_ID,CIRCI_KEY,EXECUTION_STATE FROM CIFX.TB_SERVICE_EXECUTION_CONTROL WHERE SERVICE_EXECUTION_CONTROL_ID IN ('1635530173932189-2290392-83-01') AND EXECUTION_TYPE = 'STAGE1_EXECUTION';</v>
      </c>
      <c r="O310" s="7" t="str">
        <f t="shared" si="36"/>
        <v>發送異動通知電文給CIP回傳錯誤碼:UP0090_00_V201,錯誤碼訊息:必要性檢核錯誤,錯誤訊息:[檢查有誤，顧客ID已停用]</v>
      </c>
      <c r="P310" s="7" t="str">
        <f t="shared" si="37"/>
        <v>請協助處理</v>
      </c>
      <c r="Q310" s="7"/>
      <c r="R310" s="7"/>
      <c r="S310" s="16"/>
      <c r="T310" s="4" t="s">
        <v>2852</v>
      </c>
      <c r="U310" s="4" t="s">
        <v>17</v>
      </c>
      <c r="V310" s="4" t="s">
        <v>1</v>
      </c>
      <c r="W310" s="4" t="s">
        <v>2869</v>
      </c>
      <c r="X310" s="4" t="s">
        <v>2928</v>
      </c>
      <c r="Y310" s="4" t="s">
        <v>2929</v>
      </c>
      <c r="Z310" s="4" t="s">
        <v>2930</v>
      </c>
      <c r="AA310" s="37" t="s">
        <v>2931</v>
      </c>
      <c r="AB310" s="4" t="s">
        <v>2197</v>
      </c>
      <c r="AC310" s="4" t="s">
        <v>2315</v>
      </c>
      <c r="AD310" s="4" t="s">
        <v>2932</v>
      </c>
      <c r="AE310" s="4"/>
      <c r="AF310" s="4"/>
    </row>
    <row r="311" spans="1:32" x14ac:dyDescent="0.25">
      <c r="A311" s="4" t="str">
        <f t="shared" si="34"/>
        <v>'1635530173357661-2290392-50-01',</v>
      </c>
      <c r="B311" s="4" t="str">
        <f t="shared" si="35"/>
        <v>'1635530185195920-2296959-67-02',</v>
      </c>
      <c r="C311" s="15"/>
      <c r="D311" s="5"/>
      <c r="E311" s="5"/>
      <c r="F311" s="5"/>
      <c r="G311" s="29"/>
      <c r="H311" s="5"/>
      <c r="I311" s="22" t="s">
        <v>3189</v>
      </c>
      <c r="J311" s="16"/>
      <c r="K311" s="25"/>
      <c r="L311" s="16" t="s">
        <v>2784</v>
      </c>
      <c r="M311" s="16" t="str">
        <f t="shared" si="40"/>
        <v>UPDATE CIFX.TB_SERVICE_EXECUTION_CONTROL SET EXECUTION_STATE = 'EXECUTED', ap_server_EXECUTING = NULL WHERE SERVICE_EXECUTION_CONTROL_ID IN ('1635530173368049-2290392-55-01') and execution_type = 'STAGE1_EXECUTION';</v>
      </c>
      <c r="N311" s="16" t="str">
        <f t="shared" si="41"/>
        <v>SELECT EXECUTION_TYPE,SERVICE_INTERCHANGE_ID,CIRCI_KEY,EXECUTION_STATE FROM CIFX.TB_SERVICE_EXECUTION_CONTROL WHERE SERVICE_EXECUTION_CONTROL_ID IN ('1635530173368049-2290392-55-01') AND EXECUTION_TYPE = 'STAGE1_EXECUTION';</v>
      </c>
      <c r="O311" s="7" t="str">
        <f t="shared" si="36"/>
        <v>發送異動通知電文給CIP回傳錯誤碼:UP0090_00_V201,錯誤碼訊息:必要性檢核錯誤,錯誤訊息:[檢查有誤，顧客ID已停用]</v>
      </c>
      <c r="P311" s="7" t="str">
        <f t="shared" si="37"/>
        <v>請協助處理</v>
      </c>
      <c r="Q311" s="7"/>
      <c r="R311" s="7"/>
      <c r="S311" s="16"/>
      <c r="T311" s="4" t="s">
        <v>2853</v>
      </c>
      <c r="U311" s="4" t="s">
        <v>17</v>
      </c>
      <c r="V311" s="4" t="s">
        <v>1</v>
      </c>
      <c r="W311" s="4" t="s">
        <v>2870</v>
      </c>
      <c r="X311" s="4" t="s">
        <v>2933</v>
      </c>
      <c r="Y311" s="4" t="s">
        <v>2934</v>
      </c>
      <c r="Z311" s="4" t="s">
        <v>2935</v>
      </c>
      <c r="AA311" s="37" t="s">
        <v>2936</v>
      </c>
      <c r="AB311" s="4" t="s">
        <v>2197</v>
      </c>
      <c r="AC311" s="4" t="s">
        <v>2315</v>
      </c>
      <c r="AD311" s="4" t="s">
        <v>2937</v>
      </c>
      <c r="AE311" s="4"/>
      <c r="AF311" s="4"/>
    </row>
    <row r="312" spans="1:32" x14ac:dyDescent="0.25">
      <c r="A312" s="4" t="str">
        <f t="shared" si="34"/>
        <v>'1635530173316472-2290392-34-01',</v>
      </c>
      <c r="B312" s="4" t="str">
        <f t="shared" si="35"/>
        <v>'1635530185134695-2289767-65-01',</v>
      </c>
      <c r="C312" s="15"/>
      <c r="D312" s="5"/>
      <c r="E312" s="5"/>
      <c r="F312" s="5"/>
      <c r="G312" s="29"/>
      <c r="H312" s="5"/>
      <c r="I312" s="22" t="s">
        <v>3189</v>
      </c>
      <c r="J312" s="16"/>
      <c r="K312" s="25"/>
      <c r="L312" s="16" t="s">
        <v>2784</v>
      </c>
      <c r="M312" s="16" t="str">
        <f t="shared" si="40"/>
        <v>UPDATE CIFX.TB_SERVICE_EXECUTION_CONTROL SET EXECUTION_STATE = 'EXECUTED', ap_server_EXECUTING = NULL WHERE SERVICE_EXECUTION_CONTROL_ID IN ('1635530173325334-2290392-38-01') and execution_type = 'STAGE1_EXECUTION';</v>
      </c>
      <c r="N312" s="16" t="str">
        <f t="shared" si="41"/>
        <v>SELECT EXECUTION_TYPE,SERVICE_INTERCHANGE_ID,CIRCI_KEY,EXECUTION_STATE FROM CIFX.TB_SERVICE_EXECUTION_CONTROL WHERE SERVICE_EXECUTION_CONTROL_ID IN ('1635530173325334-2290392-38-01') AND EXECUTION_TYPE = 'STAGE1_EXECUTION';</v>
      </c>
      <c r="O312" s="7" t="str">
        <f t="shared" si="36"/>
        <v>發送異動通知電文給CIP回傳錯誤碼:UP0090_00_V201,錯誤碼訊息:必要性檢核錯誤,錯誤訊息:[檢查有誤，顧客ID已停用]</v>
      </c>
      <c r="P312" s="7" t="str">
        <f t="shared" si="37"/>
        <v>請協助處理</v>
      </c>
      <c r="Q312" s="7"/>
      <c r="R312" s="7"/>
      <c r="S312" s="16"/>
      <c r="T312" s="4" t="s">
        <v>2854</v>
      </c>
      <c r="U312" s="4" t="s">
        <v>17</v>
      </c>
      <c r="V312" s="4" t="s">
        <v>1</v>
      </c>
      <c r="W312" s="4" t="s">
        <v>2871</v>
      </c>
      <c r="X312" s="4" t="s">
        <v>2938</v>
      </c>
      <c r="Y312" s="4" t="s">
        <v>2939</v>
      </c>
      <c r="Z312" s="4" t="s">
        <v>2940</v>
      </c>
      <c r="AA312" s="37" t="s">
        <v>2941</v>
      </c>
      <c r="AB312" s="4" t="s">
        <v>2197</v>
      </c>
      <c r="AC312" s="4" t="s">
        <v>2315</v>
      </c>
      <c r="AD312" s="4" t="s">
        <v>2942</v>
      </c>
      <c r="AE312" s="4"/>
      <c r="AF312" s="4"/>
    </row>
    <row r="313" spans="1:32" x14ac:dyDescent="0.25">
      <c r="A313" s="4" t="str">
        <f t="shared" si="34"/>
        <v>'1635530173301687-2290392-29-01',</v>
      </c>
      <c r="B313" s="4" t="str">
        <f t="shared" si="35"/>
        <v>'1635530184969434-2289436-43-01',</v>
      </c>
      <c r="C313" s="15"/>
      <c r="D313" s="5"/>
      <c r="E313" s="5"/>
      <c r="F313" s="5"/>
      <c r="G313" s="29"/>
      <c r="H313" s="5"/>
      <c r="I313" s="22" t="s">
        <v>3189</v>
      </c>
      <c r="J313" s="16"/>
      <c r="K313" s="25"/>
      <c r="L313" s="16" t="s">
        <v>2784</v>
      </c>
      <c r="M313" s="16" t="str">
        <f t="shared" si="40"/>
        <v>UPDATE CIFX.TB_SERVICE_EXECUTION_CONTROL SET EXECUTION_STATE = 'EXECUTED', ap_server_EXECUTING = NULL WHERE SERVICE_EXECUTION_CONTROL_ID IN ('1635530173312251-2290392-33-01') and execution_type = 'STAGE1_EXECUTION';</v>
      </c>
      <c r="N313" s="16" t="str">
        <f t="shared" si="41"/>
        <v>SELECT EXECUTION_TYPE,SERVICE_INTERCHANGE_ID,CIRCI_KEY,EXECUTION_STATE FROM CIFX.TB_SERVICE_EXECUTION_CONTROL WHERE SERVICE_EXECUTION_CONTROL_ID IN ('1635530173312251-2290392-33-01') AND EXECUTION_TYPE = 'STAGE1_EXECUTION';</v>
      </c>
      <c r="O313" s="7" t="str">
        <f t="shared" si="36"/>
        <v>發送異動通知電文給CIP回傳錯誤碼:UP0090_00_V201,錯誤碼訊息:必要性檢核錯誤,錯誤訊息:[檢查有誤，顧客ID已停用]</v>
      </c>
      <c r="P313" s="7" t="str">
        <f t="shared" si="37"/>
        <v>請協助處理</v>
      </c>
      <c r="Q313" s="7"/>
      <c r="R313" s="7"/>
      <c r="S313" s="16"/>
      <c r="T313" s="4" t="s">
        <v>2855</v>
      </c>
      <c r="U313" s="4" t="s">
        <v>17</v>
      </c>
      <c r="V313" s="4" t="s">
        <v>1</v>
      </c>
      <c r="W313" s="4" t="s">
        <v>2872</v>
      </c>
      <c r="X313" s="4" t="s">
        <v>2943</v>
      </c>
      <c r="Y313" s="4" t="s">
        <v>2944</v>
      </c>
      <c r="Z313" s="4" t="s">
        <v>2945</v>
      </c>
      <c r="AA313" s="37" t="s">
        <v>2946</v>
      </c>
      <c r="AB313" s="4" t="s">
        <v>2197</v>
      </c>
      <c r="AC313" s="4" t="s">
        <v>2315</v>
      </c>
      <c r="AD313" s="4" t="s">
        <v>2947</v>
      </c>
      <c r="AE313" s="4"/>
      <c r="AF313" s="4"/>
    </row>
    <row r="314" spans="1:32" x14ac:dyDescent="0.25">
      <c r="A314" s="4" t="str">
        <f t="shared" si="34"/>
        <v>'1635530173214268-2290392-91-01',</v>
      </c>
      <c r="B314" s="4" t="str">
        <f t="shared" si="35"/>
        <v>'1635530184622428-2289440-37-01',</v>
      </c>
      <c r="C314" s="15"/>
      <c r="D314" s="5"/>
      <c r="E314" s="5"/>
      <c r="F314" s="5"/>
      <c r="G314" s="29"/>
      <c r="H314" s="5"/>
      <c r="I314" s="22" t="s">
        <v>3189</v>
      </c>
      <c r="J314" s="16"/>
      <c r="K314" s="25"/>
      <c r="L314" s="16" t="s">
        <v>2784</v>
      </c>
      <c r="M314" s="16" t="str">
        <f t="shared" si="40"/>
        <v>UPDATE CIFX.TB_SERVICE_EXECUTION_CONTROL SET EXECUTION_STATE = 'EXECUTED', ap_server_EXECUTING = NULL WHERE SERVICE_EXECUTION_CONTROL_ID IN ('1635530173225127-2290392-95-01') and execution_type = 'STAGE1_EXECUTION';</v>
      </c>
      <c r="N314" s="16" t="str">
        <f t="shared" si="41"/>
        <v>SELECT EXECUTION_TYPE,SERVICE_INTERCHANGE_ID,CIRCI_KEY,EXECUTION_STATE FROM CIFX.TB_SERVICE_EXECUTION_CONTROL WHERE SERVICE_EXECUTION_CONTROL_ID IN ('1635530173225127-2290392-95-01') AND EXECUTION_TYPE = 'STAGE1_EXECUTION';</v>
      </c>
      <c r="O314" s="7" t="str">
        <f t="shared" si="36"/>
        <v>發送異動通知電文給CIP回傳錯誤碼:UP0090_00_V201,錯誤碼訊息:必要性檢核錯誤,錯誤訊息:[檢查有誤，顧客ID已停用]</v>
      </c>
      <c r="P314" s="7" t="str">
        <f t="shared" si="37"/>
        <v>請協助處理</v>
      </c>
      <c r="Q314" s="7"/>
      <c r="R314" s="7"/>
      <c r="S314" s="16"/>
      <c r="T314" s="4" t="s">
        <v>2856</v>
      </c>
      <c r="U314" s="4" t="s">
        <v>17</v>
      </c>
      <c r="V314" s="4" t="s">
        <v>1</v>
      </c>
      <c r="W314" s="4" t="s">
        <v>2873</v>
      </c>
      <c r="X314" s="4" t="s">
        <v>2948</v>
      </c>
      <c r="Y314" s="4" t="s">
        <v>2949</v>
      </c>
      <c r="Z314" s="4" t="s">
        <v>2950</v>
      </c>
      <c r="AA314" s="37" t="s">
        <v>2951</v>
      </c>
      <c r="AB314" s="4" t="s">
        <v>2197</v>
      </c>
      <c r="AC314" s="4" t="s">
        <v>2315</v>
      </c>
      <c r="AD314" s="4" t="s">
        <v>2952</v>
      </c>
      <c r="AE314" s="4"/>
      <c r="AF314" s="4"/>
    </row>
    <row r="315" spans="1:32" x14ac:dyDescent="0.25">
      <c r="A315" s="4" t="str">
        <f t="shared" si="34"/>
        <v>'1635530172967101-2290392-84-01',</v>
      </c>
      <c r="B315" s="4" t="str">
        <f t="shared" si="35"/>
        <v>'1635530183536156-2289458-86-01',</v>
      </c>
      <c r="C315" s="15"/>
      <c r="D315" s="5"/>
      <c r="E315" s="5"/>
      <c r="F315" s="5"/>
      <c r="G315" s="29"/>
      <c r="H315" s="5"/>
      <c r="I315" s="22" t="s">
        <v>3189</v>
      </c>
      <c r="J315" s="16"/>
      <c r="K315" s="25"/>
      <c r="L315" s="16" t="s">
        <v>2784</v>
      </c>
      <c r="M315" s="16" t="str">
        <f t="shared" si="40"/>
        <v>UPDATE CIFX.TB_SERVICE_EXECUTION_CONTROL SET EXECUTION_STATE = 'EXECUTED', ap_server_EXECUTING = NULL WHERE SERVICE_EXECUTION_CONTROL_ID IN ('1635530172977667-2290392-88-01') and execution_type = 'STAGE1_EXECUTION';</v>
      </c>
      <c r="N315" s="16" t="str">
        <f t="shared" si="41"/>
        <v>SELECT EXECUTION_TYPE,SERVICE_INTERCHANGE_ID,CIRCI_KEY,EXECUTION_STATE FROM CIFX.TB_SERVICE_EXECUTION_CONTROL WHERE SERVICE_EXECUTION_CONTROL_ID IN ('1635530172977667-2290392-88-01') AND EXECUTION_TYPE = 'STAGE1_EXECUTION';</v>
      </c>
      <c r="O315" s="7" t="str">
        <f t="shared" si="36"/>
        <v>發送異動通知電文給CIP回傳錯誤碼:UP0090_00_V201,錯誤碼訊息:必要性檢核錯誤,錯誤訊息:[檢查有誤，顧客ID已停用]</v>
      </c>
      <c r="P315" s="7" t="str">
        <f t="shared" si="37"/>
        <v>請協助處理</v>
      </c>
      <c r="Q315" s="7"/>
      <c r="R315" s="7"/>
      <c r="S315" s="16"/>
      <c r="T315" s="4" t="s">
        <v>2857</v>
      </c>
      <c r="U315" s="4" t="s">
        <v>17</v>
      </c>
      <c r="V315" s="4" t="s">
        <v>1</v>
      </c>
      <c r="W315" s="4" t="s">
        <v>2874</v>
      </c>
      <c r="X315" s="4" t="s">
        <v>2953</v>
      </c>
      <c r="Y315" s="4" t="s">
        <v>2954</v>
      </c>
      <c r="Z315" s="4" t="s">
        <v>2955</v>
      </c>
      <c r="AA315" s="37" t="s">
        <v>2956</v>
      </c>
      <c r="AB315" s="4" t="s">
        <v>2197</v>
      </c>
      <c r="AC315" s="4" t="s">
        <v>2315</v>
      </c>
      <c r="AD315" s="4" t="s">
        <v>2957</v>
      </c>
      <c r="AE315" s="4"/>
      <c r="AF315" s="4"/>
    </row>
    <row r="316" spans="1:32" x14ac:dyDescent="0.25">
      <c r="A316" s="4" t="str">
        <f t="shared" si="34"/>
        <v>'1635530170681473-2290392-75-01',</v>
      </c>
      <c r="B316" s="4" t="str">
        <f t="shared" si="35"/>
        <v>'1635530172921411-2289721-69-01',</v>
      </c>
      <c r="C316" s="15"/>
      <c r="D316" s="5"/>
      <c r="E316" s="5"/>
      <c r="F316" s="5"/>
      <c r="G316" s="29"/>
      <c r="H316" s="5"/>
      <c r="I316" s="22" t="s">
        <v>3189</v>
      </c>
      <c r="J316" s="16"/>
      <c r="K316" s="25"/>
      <c r="L316" s="16" t="s">
        <v>2784</v>
      </c>
      <c r="M316" s="16" t="str">
        <f t="shared" si="40"/>
        <v>UPDATE CIFX.TB_SERVICE_EXECUTION_CONTROL SET EXECUTION_STATE = 'EXECUTED', ap_server_EXECUTING = NULL WHERE SERVICE_EXECUTION_CONTROL_ID IN ('1635530170691469-2290392-80-01') and execution_type = 'STAGE1_EXECUTION';</v>
      </c>
      <c r="N316" s="16" t="str">
        <f t="shared" si="41"/>
        <v>SELECT EXECUTION_TYPE,SERVICE_INTERCHANGE_ID,CIRCI_KEY,EXECUTION_STATE FROM CIFX.TB_SERVICE_EXECUTION_CONTROL WHERE SERVICE_EXECUTION_CONTROL_ID IN ('1635530170691469-2290392-80-01') AND EXECUTION_TYPE = 'STAGE1_EXECUTION';</v>
      </c>
      <c r="O316" s="7" t="str">
        <f t="shared" si="36"/>
        <v>發送異動通知電文給CIP回傳錯誤碼:UP0090_00_V201,錯誤碼訊息:必要性檢核錯誤,錯誤訊息:[檢查有誤，顧客ID已停用]</v>
      </c>
      <c r="P316" s="7" t="str">
        <f t="shared" si="37"/>
        <v>請協助處理</v>
      </c>
      <c r="Q316" s="7"/>
      <c r="R316" s="7"/>
      <c r="S316" s="16"/>
      <c r="T316" s="4" t="s">
        <v>2858</v>
      </c>
      <c r="U316" s="4" t="s">
        <v>17</v>
      </c>
      <c r="V316" s="4" t="s">
        <v>1</v>
      </c>
      <c r="W316" s="4" t="s">
        <v>2875</v>
      </c>
      <c r="X316" s="4" t="s">
        <v>2958</v>
      </c>
      <c r="Y316" s="4" t="s">
        <v>2959</v>
      </c>
      <c r="Z316" s="4" t="s">
        <v>2960</v>
      </c>
      <c r="AA316" s="37" t="s">
        <v>2961</v>
      </c>
      <c r="AB316" s="4" t="s">
        <v>2197</v>
      </c>
      <c r="AC316" s="4" t="s">
        <v>2315</v>
      </c>
      <c r="AD316" s="4" t="s">
        <v>2962</v>
      </c>
      <c r="AE316" s="4"/>
      <c r="AF316" s="4"/>
    </row>
    <row r="317" spans="1:32" x14ac:dyDescent="0.25">
      <c r="A317" s="4" t="s">
        <v>2989</v>
      </c>
      <c r="B317" s="4" t="s">
        <v>2989</v>
      </c>
      <c r="C317" s="15" t="s">
        <v>3187</v>
      </c>
      <c r="D317" s="5" t="s">
        <v>3141</v>
      </c>
      <c r="E317" s="5" t="s">
        <v>2991</v>
      </c>
      <c r="F317" s="5" t="s">
        <v>2990</v>
      </c>
      <c r="G317" s="29"/>
      <c r="H317" s="5"/>
      <c r="I317" s="22" t="s">
        <v>3159</v>
      </c>
      <c r="J317" s="16"/>
      <c r="K317" s="25"/>
      <c r="L317" s="16" t="s">
        <v>2784</v>
      </c>
      <c r="M317" s="16" t="str">
        <f t="shared" si="40"/>
        <v>UPDATE CIFX.TB_SERVICE_EXECUTION_CONTROL SET EXECUTION_STATE = 'EXECUTED', ap_server_EXECUTING = NULL WHERE SERVICE_EXECUTION_CONTROL_ID IN ('1635793966409094-2858393-86-02') and execution_type = 'STAGE1_EXECUTION';</v>
      </c>
      <c r="N317" s="16" t="str">
        <f t="shared" si="41"/>
        <v>SELECT EXECUTION_TYPE,SERVICE_INTERCHANGE_ID,CIRCI_KEY,EXECUTION_STATE FROM CIFX.TB_SERVICE_EXECUTION_CONTROL WHERE SERVICE_EXECUTION_CONTROL_ID IN ('1635793966409094-2858393-86-02') AND EXECUTION_TYPE = 'STAGE1_EXECUTION';</v>
      </c>
      <c r="O317" s="7" t="str">
        <f t="shared" si="36"/>
        <v/>
      </c>
      <c r="P317" s="7" t="str">
        <f t="shared" si="37"/>
        <v/>
      </c>
      <c r="Q317" s="7"/>
      <c r="R317" s="7"/>
      <c r="S317" s="16"/>
      <c r="T317" s="4" t="s">
        <v>2989</v>
      </c>
      <c r="U317" s="4"/>
      <c r="V317" s="4"/>
      <c r="W317" s="4"/>
      <c r="X317" s="4"/>
      <c r="Y317" s="4" t="s">
        <v>2988</v>
      </c>
      <c r="Z317" s="4"/>
      <c r="AA317" s="37" t="s">
        <v>2987</v>
      </c>
      <c r="AB317" s="4"/>
      <c r="AC317" s="4"/>
      <c r="AD317" s="4"/>
      <c r="AE317" s="4"/>
      <c r="AF317" s="4"/>
    </row>
    <row r="318" spans="1:32" x14ac:dyDescent="0.25">
      <c r="A318" s="4" t="str">
        <f t="shared" si="34"/>
        <v>'1635805855583469-2872301-87-01',</v>
      </c>
      <c r="B318" s="4" t="str">
        <f t="shared" si="35"/>
        <v>'1635819051065158-2916908-78-02',</v>
      </c>
      <c r="C318" s="15" t="s">
        <v>3189</v>
      </c>
      <c r="D318" s="5" t="s">
        <v>3141</v>
      </c>
      <c r="E318" s="5" t="s">
        <v>3157</v>
      </c>
      <c r="F318" s="5" t="s">
        <v>3158</v>
      </c>
      <c r="G318" s="29"/>
      <c r="H318" s="5"/>
      <c r="I318" s="22" t="s">
        <v>3190</v>
      </c>
      <c r="J318" s="16"/>
      <c r="K318" s="25"/>
      <c r="L318" s="16" t="s">
        <v>2784</v>
      </c>
      <c r="M318" s="16" t="str">
        <f t="shared" si="40"/>
        <v>UPDATE CIFX.TB_SERVICE_EXECUTION_CONTROL SET EXECUTION_STATE = 'EXECUTED', ap_server_EXECUTING = NULL WHERE SERVICE_EXECUTION_CONTROL_ID IN ('1635805855609394-2872301-37-01') and execution_type = 'STAGE1_EXECUTION';</v>
      </c>
      <c r="N318" s="16" t="str">
        <f t="shared" si="41"/>
        <v>SELECT EXECUTION_TYPE,SERVICE_INTERCHANGE_ID,CIRCI_KEY,EXECUTION_STATE FROM CIFX.TB_SERVICE_EXECUTION_CONTROL WHERE SERVICE_EXECUTION_CONTROL_ID IN ('1635805855609394-2872301-37-01') AND EXECUTION_TYPE = 'STAGE1_EXECUTION';</v>
      </c>
      <c r="O318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funcId=01, custName=鄭孟芳, companyEstablishDate=null, circiKey=R224329956, creditCardKey=null, certNo=R224329956, certDate=Fri Mar 28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goldenRecordItemContent=0680],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goldenRecordItemContent=鄭孟芳],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goldenRecordItemContent=0680],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goldenRecordItemContent=0933403406],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MENG 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goldenRecordItemContent=0424719884],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goldenRecordItemContent=179],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goldenRecordItemContent=0224228881],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goldenRecordItemContent=0424719884],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goldenRecordItemContent=0933403406],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goldenRecordItemContent=MOLLY328603@GMAIL.COM],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goldenRecordItemContent=同心里１８鄰大墩三街１６７巷６號],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goldenRecordItemContent=408],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goldenRecordItemContent=南屯區],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goldenRecordItemContent=陽明海運],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goldenRecordItemContent=1997-03-28],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[custId=7473267, custType=P, certTypeCode=00, partyKind=P, oldRestart=false, customerTag=CustomerTag [custId=7473267, custType=P, removalPredicate=null, removalSystemCode=null, refToCustId=0, refDatetime=null, disabledDatetime=null, identityCertTypeCode=00, disabled=null, disabledSystemCode=null], idChangeState=null, creditCardKey=R224329956, circiKey=null, birthDay=1997-03-28 00:00:00.0]；ServiceInterchange:ServiceInterchange [serviceInterchangeId=1635819049298837061, serviceInterchangeTime=Tue Nov 02 02:10:49 GMT+08:00 2021, msgNo=TS0116_00_20211102021049_91812, serviceName=CATEGORY_002, operationName=writeCustomerInfo, txnCode=digiAccOpening, txnTime=Mon Nov 01 22:30:55 GMT+08:00 2021, senderCode=TS0116_00, receiverCode=UP0090_00, operatorCode=TS0116_00, unitCode=0680, authorizerCode=null, serviceResponse=null, queryResponseLineitems=[]], Exception : ]</v>
      </c>
      <c r="P318" s="7" t="str">
        <f t="shared" si="37"/>
        <v>請協助處理</v>
      </c>
      <c r="Q318" s="7"/>
      <c r="R318" s="7"/>
      <c r="S318" s="16"/>
      <c r="T318" s="4" t="s">
        <v>3037</v>
      </c>
      <c r="U318" s="4" t="s">
        <v>17</v>
      </c>
      <c r="V318" s="4" t="s">
        <v>2992</v>
      </c>
      <c r="W318" s="4" t="s">
        <v>2999</v>
      </c>
      <c r="X318" s="4" t="s">
        <v>3041</v>
      </c>
      <c r="Y318" s="4" t="s">
        <v>3038</v>
      </c>
      <c r="Z318" s="4" t="s">
        <v>3039</v>
      </c>
      <c r="AA318" s="37" t="s">
        <v>3142</v>
      </c>
      <c r="AB318" s="4" t="s">
        <v>1973</v>
      </c>
      <c r="AC318" s="4" t="s">
        <v>2315</v>
      </c>
      <c r="AD318" s="4" t="s">
        <v>3040</v>
      </c>
      <c r="AE318" s="4"/>
      <c r="AF318" s="4"/>
    </row>
    <row r="319" spans="1:32" x14ac:dyDescent="0.25">
      <c r="A319" s="4" t="str">
        <f t="shared" si="34"/>
        <v>'1635804108470948-2870372-86-01',</v>
      </c>
      <c r="B319" s="4" t="str">
        <f t="shared" si="35"/>
        <v>'1635818567138303-2908432-64-01',</v>
      </c>
      <c r="C319" s="15" t="s">
        <v>3189</v>
      </c>
      <c r="D319" s="5" t="s">
        <v>3141</v>
      </c>
      <c r="E319" s="5" t="s">
        <v>3157</v>
      </c>
      <c r="F319" s="5" t="s">
        <v>3158</v>
      </c>
      <c r="G319" s="29"/>
      <c r="H319" s="5"/>
      <c r="I319" s="22" t="s">
        <v>3189</v>
      </c>
      <c r="J319" s="16"/>
      <c r="K319" s="25"/>
      <c r="L319" s="16" t="s">
        <v>2784</v>
      </c>
      <c r="M319" s="16" t="str">
        <f t="shared" si="40"/>
        <v>UPDATE CIFX.TB_SERVICE_EXECUTION_CONTROL SET EXECUTION_STATE = 'EXECUTED', ap_server_EXECUTING = NULL WHERE SERVICE_EXECUTION_CONTROL_ID IN ('1635804108500963-2870372-41-01') and execution_type = 'STAGE1_EXECUTION';</v>
      </c>
      <c r="N319" s="16" t="str">
        <f t="shared" si="41"/>
        <v>SELECT EXECUTION_TYPE,SERVICE_INTERCHANGE_ID,CIRCI_KEY,EXECUTION_STATE FROM CIFX.TB_SERVICE_EXECUTION_CONTROL WHERE SERVICE_EXECUTION_CONTROL_ID IN ('1635804108500963-2870372-41-01') AND EXECUTION_TYPE = 'STAGE1_EXECUTION';</v>
      </c>
      <c r="O319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funcId=01, custName=曾偉銓, companyEstablishDate=null, circiKey=N125660620, creditCardKey=null, certNo=N125660620, certDate=Wed Jul 26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goldenRecordItemContent=0392],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goldenRecordItemContent=曾偉銓],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goldenRecordItemContent=13],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goldenRecordItemContent=0392],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goldenRecordItemContent=0975010136],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goldenRecordItemContent=TSENG, WEI-CHUAN],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goldenRecordItemContent=048950569],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goldenRecordItemContent=0224313131],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goldenRecordItemContent=048950569],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goldenRecordItemContent=0975010136],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goldenRecordItemContent=CONNECT199507@GMAIL.COM],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goldenRecordItemContent=南光里２５鄰安和街２２巷１７號],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goldenRecordItemContent=二林鎮],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goldenRecordItemContent=長庚醫療財團法人],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goldenRecordItemContent=專業人員（具專業執],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goldenRecordItemContent=1995-07-26],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[custId=10168477, custType=P, certTypeCode=00, partyKind=P, oldRestart=false, customerTag=CustomerTag [custId=10168477, custType=P, removalPredicate=null, removalSystemCode=null, refToCustId=0, refDatetime=null, disabledDatetime=null, identityCertTypeCode=00, disabled=null, disabledSystemCode=null], idChangeState=null, creditCardKey=N125660620, circiKey=null, birthDay=1995-07-26 00:00:00.0]；ServiceInterchange:ServiceInterchange [serviceInterchangeId=1635818566224855132, serviceInterchangeTime=Tue Nov 02 02:02:46 GMT+08:00 2021, msgNo=TS0116_00_20211102020246_24822, serviceName=CATEGORY_002, operationName=writeCustomerInfo, txnCode=digiAccOpening, txnTime=Mon Nov 01 22:01:48 GMT+08:00 2021, senderCode=TS0116_00, receiverCode=UP0090_00, operatorCode=TS0116_00, unitCode=0392, authorizerCode=null, serviceResponse=null, queryResponseLineitems=[]], Exception : ]</v>
      </c>
      <c r="P319" s="7" t="str">
        <f t="shared" si="37"/>
        <v>請協助處理</v>
      </c>
      <c r="Q319" s="7"/>
      <c r="R319" s="7"/>
      <c r="S319" s="16"/>
      <c r="T319" s="4" t="s">
        <v>3042</v>
      </c>
      <c r="U319" s="4" t="s">
        <v>17</v>
      </c>
      <c r="V319" s="4" t="s">
        <v>2993</v>
      </c>
      <c r="W319" s="4" t="s">
        <v>3000</v>
      </c>
      <c r="X319" s="4" t="s">
        <v>3043</v>
      </c>
      <c r="Y319" s="4" t="s">
        <v>3044</v>
      </c>
      <c r="Z319" s="4" t="s">
        <v>3045</v>
      </c>
      <c r="AA319" s="37" t="s">
        <v>3143</v>
      </c>
      <c r="AB319" s="4" t="s">
        <v>1973</v>
      </c>
      <c r="AC319" s="4" t="s">
        <v>2315</v>
      </c>
      <c r="AD319" s="4" t="s">
        <v>3046</v>
      </c>
      <c r="AE319" s="4"/>
      <c r="AF319" s="4"/>
    </row>
    <row r="320" spans="1:32" x14ac:dyDescent="0.25">
      <c r="A320" s="4" t="str">
        <f t="shared" si="34"/>
        <v>'1635804049727579-2878189-10-02',</v>
      </c>
      <c r="B320" s="4" t="str">
        <f t="shared" si="35"/>
        <v>'1635818550686527-2908315-02-01',</v>
      </c>
      <c r="C320" s="15" t="s">
        <v>3189</v>
      </c>
      <c r="D320" s="5" t="s">
        <v>3141</v>
      </c>
      <c r="E320" s="5" t="s">
        <v>3157</v>
      </c>
      <c r="F320" s="5" t="s">
        <v>3158</v>
      </c>
      <c r="G320" s="29"/>
      <c r="H320" s="5"/>
      <c r="I320" s="22" t="s">
        <v>3188</v>
      </c>
      <c r="J320" s="16"/>
      <c r="K320" s="25"/>
      <c r="L320" s="16" t="s">
        <v>2784</v>
      </c>
      <c r="M320" s="16" t="str">
        <f t="shared" si="40"/>
        <v>UPDATE CIFX.TB_SERVICE_EXECUTION_CONTROL SET EXECUTION_STATE = 'EXECUTED', ap_server_EXECUTING = NULL WHERE SERVICE_EXECUTION_CONTROL_ID IN ('1635804049760919-2878189-60-02') and execution_type = 'STAGE1_EXECUTION';</v>
      </c>
      <c r="N320" s="16" t="str">
        <f t="shared" si="41"/>
        <v>SELECT EXECUTION_TYPE,SERVICE_INTERCHANGE_ID,CIRCI_KEY,EXECUTION_STATE FROM CIFX.TB_SERVICE_EXECUTION_CONTROL WHERE SERVICE_EXECUTION_CONTROL_ID IN ('1635804049760919-2878189-60-02') AND EXECUTION_TYPE = 'STAGE1_EXECUTION';</v>
      </c>
      <c r="O320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funcId=01, custName=陳熙寰, companyEstablishDate=null, circiKey=M122615328, creditCardKey=null, certNo=M122615328, certDate=Sun Nov 14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goldenRecordItemContent=1285],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goldenRecordItemContent=陳熙寰],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goldenRecordItemContent=1285],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goldenRecordItemContent=0911311367],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XI HUAN],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goldenRecordItemContent=0425223787],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goldenRecordItemContent=207],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goldenRecordItemContent=0422545333],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goldenRecordItemContent=0425223787],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goldenRecordItemContent=0911311367],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goldenRecordItemContent=a25223787@gmail.com],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goldenRecordItemContent=西安里１６鄰圓環南路１９９巷１７號],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goldenRecordItemContent=豐原區],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goldenRecordItemContent=中國信託],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goldenRecordItemContent=1993-11-14],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[custId=5553029, custType=P, certTypeCode=00, partyKind=P, oldRestart=false, customerTag=null, idChangeState=null, creditCardKey=null, circiKey=null, birthDay=Sun Nov 14 00:00:00 GMT+08:00 1993]；ServiceInterchange:ServiceInterchange [serviceInterchangeId=1635818548727234412, serviceInterchangeTime=Tue Nov 02 02:02:28 GMT+08:00 2021, msgNo=TS0116_00_20211102020228_58361, serviceName=CATEGORY_002, operationName=writeCustomerInfo, txnCode=digiAccOpening, txnTime=Mon Nov 01 22:00:49 GMT+08:00 2021, senderCode=TS0116_00, receiverCode=UP0090_00, operatorCode=TS0116_00, unitCode=1285, authorizerCode=null, serviceResponse=null, queryResponseLineitems=[]], Exception : ]</v>
      </c>
      <c r="P320" s="7" t="str">
        <f t="shared" si="37"/>
        <v>請協助處理</v>
      </c>
      <c r="Q320" s="7"/>
      <c r="R320" s="7"/>
      <c r="S320" s="16"/>
      <c r="T320" s="4" t="s">
        <v>3047</v>
      </c>
      <c r="U320" s="4" t="s">
        <v>17</v>
      </c>
      <c r="V320" s="4" t="s">
        <v>2994</v>
      </c>
      <c r="W320" s="4" t="s">
        <v>3001</v>
      </c>
      <c r="X320" s="4" t="s">
        <v>3048</v>
      </c>
      <c r="Y320" s="4" t="s">
        <v>3049</v>
      </c>
      <c r="Z320" s="4" t="s">
        <v>3050</v>
      </c>
      <c r="AA320" s="37" t="s">
        <v>3137</v>
      </c>
      <c r="AB320" s="4" t="s">
        <v>1973</v>
      </c>
      <c r="AC320" s="4" t="s">
        <v>2315</v>
      </c>
      <c r="AD320" s="4" t="s">
        <v>3051</v>
      </c>
      <c r="AE320" s="4"/>
      <c r="AF320" s="4"/>
    </row>
    <row r="321" spans="1:32" x14ac:dyDescent="0.25">
      <c r="A321" s="4" t="str">
        <f t="shared" si="34"/>
        <v>'1635803750566933-2878186-33-02',</v>
      </c>
      <c r="B321" s="4" t="str">
        <f t="shared" si="35"/>
        <v>'1635818471944084-2916602-32-02',</v>
      </c>
      <c r="C321" s="15" t="s">
        <v>3189</v>
      </c>
      <c r="D321" s="5" t="s">
        <v>3141</v>
      </c>
      <c r="E321" s="5" t="s">
        <v>3157</v>
      </c>
      <c r="F321" s="5" t="s">
        <v>3158</v>
      </c>
      <c r="G321" s="29"/>
      <c r="H321" s="5"/>
      <c r="I321" s="22" t="s">
        <v>3189</v>
      </c>
      <c r="J321" s="16"/>
      <c r="K321" s="25"/>
      <c r="L321" s="16" t="s">
        <v>2784</v>
      </c>
      <c r="M321" s="16" t="str">
        <f t="shared" si="40"/>
        <v>UPDATE CIFX.TB_SERVICE_EXECUTION_CONTROL SET EXECUTION_STATE = 'EXECUTED', ap_server_EXECUTING = NULL WHERE SERVICE_EXECUTION_CONTROL_ID IN ('1635803750596308-2878186-82-02') and execution_type = 'STAGE1_EXECUTION';</v>
      </c>
      <c r="N321" s="16" t="str">
        <f t="shared" si="41"/>
        <v>SELECT EXECUTION_TYPE,SERVICE_INTERCHANGE_ID,CIRCI_KEY,EXECUTION_STATE FROM CIFX.TB_SERVICE_EXECUTION_CONTROL WHERE SERVICE_EXECUTION_CONTROL_ID IN ('1635803750596308-2878186-82-02') AND EXECUTION_TYPE = 'STAGE1_EXECUTION';</v>
      </c>
      <c r="O321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funcId=01, custName=紀凱倫, companyEstablishDate=null, circiKey=P222439957, creditCardKey=null, certNo=P222439957, certDate=Sun Jul 01 00:00:00 GMT+08:00 1979,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goldenRecordItemContent=0174],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goldenRecordItemContent=紀凱倫],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goldenRecordItemContent=0174],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goldenRecordItemContent=0921854032],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goldenRecordItemContent=CHIKAILUN],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goldenRecordItemContent=0921854032],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goldenRecordItemContent=808],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goldenRecordItemContent=0227996558],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goldenRecordItemContent=三民路二段１８１巷２號４樓],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goldenRecordItemContent=板橋區],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goldenRecordItemContent=0921854032],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goldenRecordItemContent=0921854032],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goldenRecordItemContent=KAREN71969@YAHOO.COM],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goldenRecordItemContent=雲林縣],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goldenRecordItemContent=水南村１９鄰新興南路２８號],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goldenRecordItemContent=652],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goldenRecordItemContent=水林鄉],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goldenRecordItemContent=台灣艾富克股份有限公司],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goldenRecordItemContent=1979-07-01],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[custId=9685106, custType=P, certTypeCode=00, partyKind=P, oldRestart=false, customerTag=null, idChangeState=null, creditCardKey=null, circiKey=null, birthDay=Sun Jul 01 00:00:00 GMT+08:00 1979]；ServiceInterchange:ServiceInterchange [serviceInterchangeId=1635818470648063472, serviceInterchangeTime=Tue Nov 02 02:01:10 GMT+08:00 2021, msgNo=TS0116_00_20211102020110_77412, serviceName=CATEGORY_002, operationName=writeCustomerInfo, txnCode=digiAccOpening, txnTime=Mon Nov 01 21:55:50 GMT+08:00 2021, senderCode=TS0116_00, receiverCode=UP0090_00, operatorCode=TS0116_00, unitCode=0174, authorizerCode=null, serviceResponse=null, queryResponseLineitems=[]], Exception : ]</v>
      </c>
      <c r="P321" s="7" t="str">
        <f t="shared" si="37"/>
        <v>請協助處理</v>
      </c>
      <c r="Q321" s="7"/>
      <c r="R321" s="7"/>
      <c r="S321" s="16"/>
      <c r="T321" s="4" t="s">
        <v>3052</v>
      </c>
      <c r="U321" s="4" t="s">
        <v>17</v>
      </c>
      <c r="V321" s="4" t="s">
        <v>2995</v>
      </c>
      <c r="W321" s="4" t="s">
        <v>3002</v>
      </c>
      <c r="X321" s="4" t="s">
        <v>3053</v>
      </c>
      <c r="Y321" s="4" t="s">
        <v>3054</v>
      </c>
      <c r="Z321" s="4" t="s">
        <v>3055</v>
      </c>
      <c r="AA321" s="37" t="s">
        <v>3144</v>
      </c>
      <c r="AB321" s="4" t="s">
        <v>1973</v>
      </c>
      <c r="AC321" s="4" t="s">
        <v>2315</v>
      </c>
      <c r="AD321" s="4" t="s">
        <v>3056</v>
      </c>
      <c r="AE321" s="4"/>
      <c r="AF321" s="4"/>
    </row>
    <row r="322" spans="1:32" x14ac:dyDescent="0.25">
      <c r="A322" s="4" t="str">
        <f t="shared" si="34"/>
        <v>'1635802914733926-2868945-63-01',</v>
      </c>
      <c r="B322" s="4" t="str">
        <f t="shared" si="35"/>
        <v>'1635818207039206-2908007-86-01',</v>
      </c>
      <c r="C322" s="15" t="s">
        <v>3189</v>
      </c>
      <c r="D322" s="5" t="s">
        <v>3141</v>
      </c>
      <c r="E322" s="5" t="s">
        <v>3157</v>
      </c>
      <c r="F322" s="5" t="s">
        <v>3158</v>
      </c>
      <c r="G322" s="29"/>
      <c r="H322" s="5"/>
      <c r="I322" s="22" t="s">
        <v>3189</v>
      </c>
      <c r="J322" s="16"/>
      <c r="K322" s="25"/>
      <c r="L322" s="16" t="s">
        <v>2784</v>
      </c>
      <c r="M322" s="16" t="str">
        <f t="shared" si="40"/>
        <v>UPDATE CIFX.TB_SERVICE_EXECUTION_CONTROL SET EXECUTION_STATE = 'EXECUTED', ap_server_EXECUTING = NULL WHERE SERVICE_EXECUTION_CONTROL_ID IN ('1635802914765879-2868945-12-01') and execution_type = 'STAGE1_EXECUTION';</v>
      </c>
      <c r="N322" s="16" t="str">
        <f t="shared" si="41"/>
        <v>SELECT EXECUTION_TYPE,SERVICE_INTERCHANGE_ID,CIRCI_KEY,EXECUTION_STATE FROM CIFX.TB_SERVICE_EXECUTION_CONTROL WHERE SERVICE_EXECUTION_CONTROL_ID IN ('1635802914765879-2868945-12-01') AND EXECUTION_TYPE = 'STAGE1_EXECUTION';</v>
      </c>
      <c r="O322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funcId=01, custName=蕭婷雲, companyEstablishDate=null, circiKey=N225948256, creditCardKey=null, certNo=N225948256, certDate=Sun Feb 01 00:00:00 GMT+08:00 1998,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goldenRecordItemContent=0925090817],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goldenRecordItemContent=蕭婷雲],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goldenRecordItemContent=07],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goldenRecordItemContent=0925090817],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goldenRecordItemContent=HSIAO,TING YUN],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goldenRecordItemContent=0925090817],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goldenRecordItemContent=111],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goldenRecordItemContent=0426933685],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goldenRecordItemContent=沙田路一段９２５號],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goldenRecordItemContent=0925090817],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goldenRecordItemContent=betty8220378@gmail.com],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goldenRecordItemContent=陸豐村５鄰漢光巷６４號],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goldenRecordItemContent=522],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goldenRecordItemContent=田尾鄉],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goldenRecordItemContent=宥興企業有限公司],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goldenRecordItemContent=1998-02-01],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[custId=10066171, custType=P, certTypeCode=00, partyKind=P, oldRestart=false, customerTag=null, idChangeState=null, creditCardKey=null, circiKey=null, birthDay=Sun Feb 01 00:00:00 GMT+08:00 1998]；ServiceInterchange:ServiceInterchange [serviceInterchangeId=1635818206329092921, serviceInterchangeTime=Tue Nov 02 01:56:46 GMT+08:00 2021, msgNo=TS0116_00_20211102015646_33812, serviceName=CATEGORY_002, operationName=writeCustomerInfo, txnCode=digiAccOpening, txnTime=Mon Nov 01 21:41:54 GMT+08:00 2021, senderCode=TS0116_00, receiverCode=UP0090_00, operatorCode=TS0116_00, unitCode=0336, authorizerCode=null, serviceResponse=null, queryResponseLineitems=[]], Exception : ]</v>
      </c>
      <c r="P322" s="7" t="str">
        <f t="shared" si="37"/>
        <v>請協助處理</v>
      </c>
      <c r="Q322" s="7"/>
      <c r="R322" s="7"/>
      <c r="S322" s="16"/>
      <c r="T322" s="4" t="s">
        <v>3057</v>
      </c>
      <c r="U322" s="4" t="s">
        <v>17</v>
      </c>
      <c r="V322" s="4" t="s">
        <v>2996</v>
      </c>
      <c r="W322" s="4" t="s">
        <v>3003</v>
      </c>
      <c r="X322" s="4" t="s">
        <v>3058</v>
      </c>
      <c r="Y322" s="4" t="s">
        <v>3059</v>
      </c>
      <c r="Z322" s="4" t="s">
        <v>3060</v>
      </c>
      <c r="AA322" s="37" t="s">
        <v>3145</v>
      </c>
      <c r="AB322" s="4" t="s">
        <v>1973</v>
      </c>
      <c r="AC322" s="4" t="s">
        <v>2352</v>
      </c>
      <c r="AD322" s="4" t="s">
        <v>3061</v>
      </c>
      <c r="AE322" s="4"/>
      <c r="AF322" s="4"/>
    </row>
    <row r="323" spans="1:32" x14ac:dyDescent="0.25">
      <c r="A323" s="4" t="str">
        <f t="shared" si="34"/>
        <v>'1635802704619397-2868730-28-01',</v>
      </c>
      <c r="B323" s="4" t="str">
        <f t="shared" si="35"/>
        <v>'1635818142392560-2907655-30-01',</v>
      </c>
      <c r="C323" s="15" t="s">
        <v>3189</v>
      </c>
      <c r="D323" s="5" t="s">
        <v>3141</v>
      </c>
      <c r="E323" s="5" t="s">
        <v>3157</v>
      </c>
      <c r="F323" s="5" t="s">
        <v>3158</v>
      </c>
      <c r="G323" s="29"/>
      <c r="H323" s="5"/>
      <c r="I323" s="22" t="s">
        <v>3189</v>
      </c>
      <c r="J323" s="16"/>
      <c r="K323" s="25"/>
      <c r="L323" s="16" t="s">
        <v>2784</v>
      </c>
      <c r="M323" s="16" t="str">
        <f t="shared" si="40"/>
        <v>UPDATE CIFX.TB_SERVICE_EXECUTION_CONTROL SET EXECUTION_STATE = 'EXECUTED', ap_server_EXECUTING = NULL WHERE SERVICE_EXECUTION_CONTROL_ID IN ('1635802704643151-2868730-76-01') and execution_type = 'STAGE1_EXECUTION';</v>
      </c>
      <c r="N323" s="16" t="str">
        <f t="shared" si="41"/>
        <v>SELECT EXECUTION_TYPE,SERVICE_INTERCHANGE_ID,CIRCI_KEY,EXECUTION_STATE FROM CIFX.TB_SERVICE_EXECUTION_CONTROL WHERE SERVICE_EXECUTION_CONTROL_ID IN ('1635802704643151-2868730-76-01') AND EXECUTION_TYPE = 'STAGE1_EXECUTION';</v>
      </c>
      <c r="O323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funcId=01, custName=劉軒伶, companyEstablishDate=null, circiKey=H225227123, creditCardKey=null, certNo=H225227123, certDate=Wed Apr 14 00:00:00 GMT+08:00 1999,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goldenRecordItemContent=北興村１５鄰中興路２２８巷２９號],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goldenRecordItemContent=龍潭區],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goldenRecordItemContent=川岳國際室內裝修設計有限公司],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goldenRecordItemContent=0473],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goldenRecordItemContent=劉軒伶],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goldenRecordItemContent=0473],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goldenRecordItemContent=0909190696],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goldenRecordItemContent=LIU,HSUAN LING],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goldenRecordItemContent=0909190696],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goldenRecordItemContent=0233229637],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goldenRecordItemContent=環西路二段３００巷６－２號７樓],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goldenRecordItemContent=中壢區],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goldenRecordItemContent=0909190696],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goldenRecordItemContent=0909190696],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goldenRecordItemContent=shang7230@gmail.com],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goldenRecordItemContent=1999-04-14]], custType=P, relationRemoval=null]；CustCipIdentity:CustCipIdentity [custId=9080010, custType=P, certTypeCode=00, partyKind=P, oldRestart=false, customerTag=null, idChangeState=null, creditCardKey=null, circiKey=null, birthDay=Wed Apr 14 00:00:00 GMT+08:00 1999]；ServiceInterchange:ServiceInterchange [serviceInterchangeId=1635818141673301921, serviceInterchangeTime=Tue Nov 02 01:55:41 GMT+08:00 2021, msgNo=TS0116_00_20211102015541_94032, serviceName=CATEGORY_002, operationName=writeCustomerInfo, txnCode=digiAccOpening, txnTime=Mon Nov 01 21:38:24 GMT+08:00 2021, senderCode=TS0116_00, receiverCode=UP0090_00, operatorCode=TS0116_00, unitCode=0473, authorizerCode=null, serviceResponse=null, queryResponseLineitems=[]], Exception : ]</v>
      </c>
      <c r="P323" s="7" t="str">
        <f t="shared" si="37"/>
        <v>請協助處理</v>
      </c>
      <c r="Q323" s="7"/>
      <c r="R323" s="7"/>
      <c r="S323" s="16"/>
      <c r="T323" s="4" t="s">
        <v>3062</v>
      </c>
      <c r="U323" s="4" t="s">
        <v>17</v>
      </c>
      <c r="V323" s="4" t="s">
        <v>2997</v>
      </c>
      <c r="W323" s="4" t="s">
        <v>3004</v>
      </c>
      <c r="X323" s="4" t="s">
        <v>3063</v>
      </c>
      <c r="Y323" s="4" t="s">
        <v>3064</v>
      </c>
      <c r="Z323" s="4" t="s">
        <v>3065</v>
      </c>
      <c r="AA323" s="37" t="s">
        <v>3146</v>
      </c>
      <c r="AB323" s="4" t="s">
        <v>1973</v>
      </c>
      <c r="AC323" s="4" t="s">
        <v>2352</v>
      </c>
      <c r="AD323" s="4" t="s">
        <v>3066</v>
      </c>
      <c r="AE323" s="4"/>
      <c r="AF323" s="4"/>
    </row>
    <row r="324" spans="1:32" x14ac:dyDescent="0.25">
      <c r="A324" s="4" t="str">
        <f t="shared" si="34"/>
        <v>'1635802479116213-2868541-63-01',</v>
      </c>
      <c r="B324" s="4" t="str">
        <f t="shared" si="35"/>
        <v>'1635818087870058-2907614-19-01',</v>
      </c>
      <c r="C324" s="15" t="s">
        <v>3189</v>
      </c>
      <c r="D324" s="5" t="s">
        <v>3141</v>
      </c>
      <c r="E324" s="5" t="s">
        <v>3157</v>
      </c>
      <c r="F324" s="5" t="s">
        <v>3158</v>
      </c>
      <c r="G324" s="29"/>
      <c r="H324" s="5"/>
      <c r="I324" s="22" t="s">
        <v>3189</v>
      </c>
      <c r="J324" s="16"/>
      <c r="K324" s="25"/>
      <c r="L324" s="16" t="s">
        <v>2784</v>
      </c>
      <c r="M324" s="16" t="str">
        <f t="shared" si="40"/>
        <v>UPDATE CIFX.TB_SERVICE_EXECUTION_CONTROL SET EXECUTION_STATE = 'EXECUTED', ap_server_EXECUTING = NULL WHERE SERVICE_EXECUTION_CONTROL_ID IN ('1635802479158172-2868541-14-01') and execution_type = 'STAGE1_EXECUTION';</v>
      </c>
      <c r="N324" s="16" t="str">
        <f t="shared" si="41"/>
        <v>SELECT EXECUTION_TYPE,SERVICE_INTERCHANGE_ID,CIRCI_KEY,EXECUTION_STATE FROM CIFX.TB_SERVICE_EXECUTION_CONTROL WHERE SERVICE_EXECUTION_CONTROL_ID IN ('1635802479158172-2868541-14-01') AND EXECUTION_TYPE = 'STAGE1_EXECUTION';</v>
      </c>
      <c r="O324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funcId=01, custName=李佩諭, companyEstablishDate=null, circiKey=F228283210, creditCardKey=null, certNo=F228283210, certDate=Wed Oct 05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goldenRecordItemContent=1045],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goldenRecordItemContent=李佩諭],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goldenRecordItemContent=1045],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goldenRecordItemContent=0932160489],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goldenRecordItemContent=LI,PEI-YU],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goldenRecordItemContent=0226727243],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goldenRecordItemContent=033188515],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goldenRecordItemContent=安坑里１５鄰安坑１３－７號],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goldenRecordItemContent=三峽區],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goldenRecordItemContent=0226727243],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goldenRecordItemContent=0932160489],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goldenRecordItemContent=T15677@YAHOO.COM.TW],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goldenRecordItemContent=興仁里３３鄰中正路１５０號六樓],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goldenRecordItemContent=八德區],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goldenRecordItemContent=法務部矯正署],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goldenRecordItemContent=[C6]],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goldenRecordItemContent=1994-10-05],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[custId=3540818, custType=P, certTypeCode=00, partyKind=P, oldRestart=false, customerTag=null, idChangeState=null, creditCardKey=null, circiKey=null, birthDay=Wed Oct 05 00:00:00 GMT+08:00 1994]；ServiceInterchange:ServiceInterchange [serviceInterchangeId=1635818085971383322, serviceInterchangeTime=Tue Nov 02 01:54:45 GMT+08:00 2021, msgNo=TS0116_00_20211102015445_46622, serviceName=CATEGORY_002, operationName=writeCustomerInfo, txnCode=digiAccOpening, txnTime=Mon Nov 01 21:34:39 GMT+08:00 2021, senderCode=TS0116_00, receiverCode=UP0090_00, operatorCode=TS0116_00, unitCode=1045, authorizerCode=null, serviceResponse=null, queryResponseLineitems=[]], Exception : ]</v>
      </c>
      <c r="P324" s="7" t="str">
        <f t="shared" si="37"/>
        <v>請協助處理</v>
      </c>
      <c r="Q324" s="7"/>
      <c r="R324" s="7"/>
      <c r="S324" s="16"/>
      <c r="T324" s="4" t="s">
        <v>3067</v>
      </c>
      <c r="U324" s="4" t="s">
        <v>17</v>
      </c>
      <c r="V324" s="4" t="s">
        <v>2998</v>
      </c>
      <c r="W324" s="4" t="s">
        <v>3005</v>
      </c>
      <c r="X324" s="4" t="s">
        <v>3068</v>
      </c>
      <c r="Y324" s="4" t="s">
        <v>3069</v>
      </c>
      <c r="Z324" s="4" t="s">
        <v>3070</v>
      </c>
      <c r="AA324" s="37" t="s">
        <v>3147</v>
      </c>
      <c r="AB324" s="4" t="s">
        <v>1973</v>
      </c>
      <c r="AC324" s="4" t="s">
        <v>2315</v>
      </c>
      <c r="AD324" s="4" t="s">
        <v>3071</v>
      </c>
      <c r="AE324" s="4"/>
      <c r="AF324" s="4"/>
    </row>
    <row r="325" spans="1:32" x14ac:dyDescent="0.25">
      <c r="A325" s="4" t="str">
        <f t="shared" si="34"/>
        <v>'1635800964858011-2866802-46-01',</v>
      </c>
      <c r="B325" s="4" t="str">
        <f t="shared" si="35"/>
        <v>'1635817637072917-2906715-81-01',</v>
      </c>
      <c r="C325" s="15" t="s">
        <v>3189</v>
      </c>
      <c r="D325" s="5" t="s">
        <v>3141</v>
      </c>
      <c r="E325" s="5" t="s">
        <v>3157</v>
      </c>
      <c r="F325" s="5" t="s">
        <v>3158</v>
      </c>
      <c r="G325" s="29"/>
      <c r="H325" s="5"/>
      <c r="I325" s="22" t="s">
        <v>3189</v>
      </c>
      <c r="J325" s="16"/>
      <c r="K325" s="25"/>
      <c r="L325" s="16" t="s">
        <v>2784</v>
      </c>
      <c r="M325" s="16" t="str">
        <f t="shared" si="40"/>
        <v>UPDATE CIFX.TB_SERVICE_EXECUTION_CONTROL SET EXECUTION_STATE = 'EXECUTED', ap_server_EXECUTING = NULL WHERE SERVICE_EXECUTION_CONTROL_ID IN ('1635800964887529-2866802-94-01') and execution_type = 'STAGE1_EXECUTION';</v>
      </c>
      <c r="N325" s="16" t="str">
        <f t="shared" si="41"/>
        <v>SELECT EXECUTION_TYPE,SERVICE_INTERCHANGE_ID,CIRCI_KEY,EXECUTION_STATE FROM CIFX.TB_SERVICE_EXECUTION_CONTROL WHERE SERVICE_EXECUTION_CONTROL_ID IN ('1635800964887529-2866802-94-01') AND EXECUTION_TYPE = 'STAGE1_EXECUTION';</v>
      </c>
      <c r="O325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funcId=01, custName=孫爰晴, companyEstablishDate=null, circiKey=E224731821, creditCardKey=null, certNo=E224731821, certDate=Thu Aug 01 00:00:00 GMT+08:00 1996,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goldenRecordItemContent=0908903082],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goldenRecordItemContent=jkh850801@gmail.com],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goldenRecordItemContent=后里區],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goldenRecordItemContent=0908903082],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goldenRecordItemContent=0381],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goldenRecordItemContent=孫爰晴],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goldenRecordItemContent=0381],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goldenRecordItemContent=0908903082],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goldenRecordItemContent=SUN YUAN CHING],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goldenRecordItemContent=0908903082],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goldenRecordItemContent=墩南里１鄰南村路４５６巷７號],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goldenRecordItemContent=1996-08-01]], custType=P, relationRemoval=null]；CustCipIdentity:CustCipIdentity [custId=9453884, custType=P, certTypeCode=00, partyKind=P, oldRestart=false, customerTag=null, idChangeState=null, creditCardKey=null, circiKey=null, birthDay=Thu Aug 01 00:00:00 GMT+08:00 1996]；ServiceInterchange:ServiceInterchange [serviceInterchangeId=1635817635475467952, serviceInterchangeTime=Tue Nov 02 01:47:15 GMT+08:00 2021, msgNo=TS0116_00_20211102014715_13032, serviceName=CATEGORY_002, operationName=writeCustomerInfo, txnCode=digiAccOpening, txnTime=Mon Nov 01 21:09:24 GMT+08:00 2021, senderCode=TS0116_00, receiverCode=UP0090_00, operatorCode=TS0116_00, unitCode=0381, authorizerCode=null, serviceResponse=null, queryResponseLineitems=[]], Exception : ]</v>
      </c>
      <c r="P325" s="7" t="str">
        <f t="shared" si="37"/>
        <v>請協助處理</v>
      </c>
      <c r="Q325" s="7"/>
      <c r="R325" s="7"/>
      <c r="S325" s="16"/>
      <c r="T325" s="4" t="s">
        <v>3074</v>
      </c>
      <c r="U325" s="4" t="s">
        <v>17</v>
      </c>
      <c r="V325" s="4" t="s">
        <v>3006</v>
      </c>
      <c r="W325" s="4" t="s">
        <v>3007</v>
      </c>
      <c r="X325" s="4" t="s">
        <v>3072</v>
      </c>
      <c r="Y325" s="4" t="s">
        <v>3073</v>
      </c>
      <c r="Z325" s="4" t="s">
        <v>3075</v>
      </c>
      <c r="AA325" s="37" t="s">
        <v>3148</v>
      </c>
      <c r="AB325" s="4" t="s">
        <v>1973</v>
      </c>
      <c r="AC325" s="4" t="s">
        <v>2352</v>
      </c>
      <c r="AD325" s="4" t="s">
        <v>3076</v>
      </c>
      <c r="AE325" s="4"/>
      <c r="AF325" s="4"/>
    </row>
    <row r="326" spans="1:32" x14ac:dyDescent="0.25">
      <c r="A326" s="4" t="str">
        <f t="shared" si="34"/>
        <v>'1635800833942120-2866664-91-01',</v>
      </c>
      <c r="B326" s="4" t="str">
        <f t="shared" si="35"/>
        <v>'1635817594499174-2914900-82-02',</v>
      </c>
      <c r="C326" s="15" t="s">
        <v>3189</v>
      </c>
      <c r="D326" s="5" t="s">
        <v>3141</v>
      </c>
      <c r="E326" s="5" t="s">
        <v>3157</v>
      </c>
      <c r="F326" s="5" t="s">
        <v>3158</v>
      </c>
      <c r="G326" s="29"/>
      <c r="H326" s="5"/>
      <c r="I326" s="22" t="s">
        <v>3189</v>
      </c>
      <c r="J326" s="16"/>
      <c r="K326" s="25"/>
      <c r="L326" s="16" t="s">
        <v>2784</v>
      </c>
      <c r="M326" s="16" t="str">
        <f t="shared" si="40"/>
        <v>UPDATE CIFX.TB_SERVICE_EXECUTION_CONTROL SET EXECUTION_STATE = 'EXECUTED', ap_server_EXECUTING = NULL WHERE SERVICE_EXECUTION_CONTROL_ID IN ('1635800833965870-2866664-41-01') and execution_type = 'STAGE1_EXECUTION';</v>
      </c>
      <c r="N326" s="16" t="str">
        <f t="shared" si="41"/>
        <v>SELECT EXECUTION_TYPE,SERVICE_INTERCHANGE_ID,CIRCI_KEY,EXECUTION_STATE FROM CIFX.TB_SERVICE_EXECUTION_CONTROL WHERE SERVICE_EXECUTION_CONTROL_ID IN ('1635800833965870-2866664-41-01') AND EXECUTION_TYPE = 'STAGE1_EXECUTION';</v>
      </c>
      <c r="O326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funcId=01, custName=張竣翔, companyEstablishDate=null, circiKey=F129438726, creditCardKey=null, certNo=F129438726, certDate=Fri Apr 11 00:00:00 GMT+08:00 1997,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goldenRecordItemContent=公勝保險經紀人股份有限公司],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goldenRecordItemContent=0901],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goldenRecordItemContent=張竣翔],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goldenRecordItemContent=0901],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goldenRecordItemContent=0987784478],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goldenRecordItemContent=CHANG,CHUN-HSIANG],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goldenRecordItemContent=0987784478],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goldenRecordItemContent=0225551600],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goldenRecordItemContent=中央里６鄰中央四街５之１號四樓],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goldenRecordItemContent=新店區],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goldenRecordItemContent=0987784478],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goldenRecordItemContent=0987784478],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goldenRecordItemContent=calvin95123@gmail.com],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goldenRecordItemContent=1997-04-11]], custType=P, relationRemoval=null]；CustCipIdentity:CustCipIdentity [custId=3028614, custType=P, certTypeCode=00, partyKind=P, oldRestart=false, customerTag=CustomerTag [custId=3028614, custType=P, removalPredicate=null, removalSystemCode=null, refToCustId=0, refDatetime=null, disabledDatetime=null, identityCertTypeCode=00, disabled=null, disabledSystemCode=null], idChangeState=null, creditCardKey=F129438726, circiKey=null, birthDay=1997-04-11 00:00:00.0]；ServiceInterchange:ServiceInterchange [serviceInterchangeId=1635817592466507162, serviceInterchangeTime=Tue Nov 02 01:46:32 GMT+08:00 2021, msgNo=TS0116_00_20211102014632_29012, serviceName=CATEGORY_002, operationName=writeCustomerInfo, txnCode=digiAccOpening, txnTime=Mon Nov 01 21:07:13 GMT+08:00 2021, senderCode=TS0116_00, receiverCode=UP0090_00, operatorCode=TS0116_00, unitCode=0901, authorizerCode=null, serviceResponse=null, queryResponseLineitems=[]], Exception : ]</v>
      </c>
      <c r="P326" s="7" t="str">
        <f t="shared" si="37"/>
        <v>請協助處理</v>
      </c>
      <c r="Q326" s="7"/>
      <c r="R326" s="7"/>
      <c r="S326" s="16"/>
      <c r="T326" s="4" t="s">
        <v>3077</v>
      </c>
      <c r="U326" s="4" t="s">
        <v>17</v>
      </c>
      <c r="V326" s="4" t="s">
        <v>3008</v>
      </c>
      <c r="W326" s="4" t="s">
        <v>3009</v>
      </c>
      <c r="X326" s="4" t="s">
        <v>3078</v>
      </c>
      <c r="Y326" s="4" t="s">
        <v>3079</v>
      </c>
      <c r="Z326" s="4" t="s">
        <v>3080</v>
      </c>
      <c r="AA326" s="37" t="s">
        <v>3149</v>
      </c>
      <c r="AB326" s="4" t="s">
        <v>1973</v>
      </c>
      <c r="AC326" s="4" t="s">
        <v>2352</v>
      </c>
      <c r="AD326" s="4" t="s">
        <v>3081</v>
      </c>
      <c r="AE326" s="4"/>
      <c r="AF326" s="4"/>
    </row>
    <row r="327" spans="1:32" x14ac:dyDescent="0.25">
      <c r="A327" s="4" t="str">
        <f t="shared" si="34"/>
        <v>'1635800727610772-2866615-29-01',</v>
      </c>
      <c r="B327" s="4" t="str">
        <f t="shared" si="35"/>
        <v>'1635817563479933-2914969-59-02',</v>
      </c>
      <c r="C327" s="15" t="s">
        <v>3189</v>
      </c>
      <c r="D327" s="5" t="s">
        <v>3141</v>
      </c>
      <c r="E327" s="5" t="s">
        <v>3157</v>
      </c>
      <c r="F327" s="5" t="s">
        <v>3158</v>
      </c>
      <c r="G327" s="29"/>
      <c r="H327" s="5"/>
      <c r="I327" s="22" t="s">
        <v>3189</v>
      </c>
      <c r="J327" s="16"/>
      <c r="K327" s="25"/>
      <c r="L327" s="16" t="s">
        <v>2784</v>
      </c>
      <c r="M327" s="16" t="str">
        <f t="shared" si="40"/>
        <v>UPDATE CIFX.TB_SERVICE_EXECUTION_CONTROL SET EXECUTION_STATE = 'EXECUTED', ap_server_EXECUTING = NULL WHERE SERVICE_EXECUTION_CONTROL_ID IN ('1635800727643324-2866615-84-01') and execution_type = 'STAGE1_EXECUTION';</v>
      </c>
      <c r="N327" s="16" t="str">
        <f t="shared" si="41"/>
        <v>SELECT EXECUTION_TYPE,SERVICE_INTERCHANGE_ID,CIRCI_KEY,EXECUTION_STATE FROM CIFX.TB_SERVICE_EXECUTION_CONTROL WHERE SERVICE_EXECUTION_CONTROL_ID IN ('1635800727643324-2866615-84-01') AND EXECUTION_TYPE = 'STAGE1_EXECUTION';</v>
      </c>
      <c r="O327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funcId=01, custName=陳柏均, companyEstablishDate=null, circiKey=M122458770, creditCardKey=null, certNo=M122458770, certDate=Tue Jul 24 00:00:00 GMT+08:00 1990,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goldenRecordItemContent=0990],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goldenRecordItemContent=陳柏均],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goldenRecordItemContent=0990],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goldenRecordItemContent=0937798268],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PO CHUN],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goldenRecordItemContent=0937798268],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goldenRecordItemContent=0492270569],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goldenRecordItemContent=0937798268],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goldenRecordItemContent=0937798268],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goldenRecordItemContent=s1001850@gmail.com],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goldenRecordItemContent=南投縣],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goldenRecordItemContent=田仔村９鄰田仔巷４號],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goldenRecordItemContent=551],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goldenRecordItemContent=名間鄉],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goldenRecordItemContent=調前鳳梨果園],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goldenRecordItemContent=高階管理人員],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goldenRecordItemContent=1990-07-24],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[custId=5549112, custType=P, certTypeCode=00, partyKind=P, oldRestart=false, customerTag=CustomerTag [custId=5549112, custType=P, removalPredicate=null, removalSystemCode=null, refToCustId=0, refDatetime=null, disabledDatetime=null, identityCertTypeCode=00, disabled=null, disabledSystemCode=null], idChangeState=null, creditCardKey=M122458770, circiKey=null, birthDay=1990-07-24 00:00:00.0]；ServiceInterchange:ServiceInterchange [serviceInterchangeId=1635817561512017062, serviceInterchangeTime=Tue Nov 02 01:46:01 GMT+08:00 2021, msgNo=TS0116_00_20211102014601_97161, serviceName=CATEGORY_002, operationName=writeCustomerInfo, txnCode=digiAccOpening, txnTime=Mon Nov 01 21:05:27 GMT+08:00 2021, senderCode=TS0116_00, receiverCode=UP0090_00, operatorCode=TS0116_00, unitCode=0990, authorizerCode=null, serviceResponse=null, queryResponseLineitems=[]], Exception : ]</v>
      </c>
      <c r="P327" s="7" t="str">
        <f t="shared" si="37"/>
        <v>請協助處理</v>
      </c>
      <c r="Q327" s="7"/>
      <c r="R327" s="7"/>
      <c r="S327" s="16"/>
      <c r="T327" s="4" t="s">
        <v>3082</v>
      </c>
      <c r="U327" s="4" t="s">
        <v>17</v>
      </c>
      <c r="V327" s="4" t="s">
        <v>3010</v>
      </c>
      <c r="W327" s="4" t="s">
        <v>3011</v>
      </c>
      <c r="X327" s="4" t="s">
        <v>3083</v>
      </c>
      <c r="Y327" s="4" t="s">
        <v>3084</v>
      </c>
      <c r="Z327" s="4" t="s">
        <v>3085</v>
      </c>
      <c r="AA327" s="37" t="s">
        <v>3150</v>
      </c>
      <c r="AB327" s="4" t="s">
        <v>1973</v>
      </c>
      <c r="AC327" s="4" t="s">
        <v>2315</v>
      </c>
      <c r="AD327" s="4" t="s">
        <v>3086</v>
      </c>
      <c r="AE327" s="4"/>
      <c r="AF327" s="4"/>
    </row>
    <row r="328" spans="1:32" x14ac:dyDescent="0.25">
      <c r="A328" s="4" t="str">
        <f t="shared" si="34"/>
        <v>'1635800529944485-2866557-06-01',</v>
      </c>
      <c r="B328" s="4" t="str">
        <f t="shared" si="35"/>
        <v>'1635817505613170-2914900-40-02',</v>
      </c>
      <c r="C328" s="15" t="s">
        <v>3189</v>
      </c>
      <c r="D328" s="5" t="s">
        <v>3141</v>
      </c>
      <c r="E328" s="5" t="s">
        <v>3157</v>
      </c>
      <c r="F328" s="5" t="s">
        <v>3158</v>
      </c>
      <c r="G328" s="29"/>
      <c r="H328" s="5"/>
      <c r="I328" s="22" t="s">
        <v>3189</v>
      </c>
      <c r="J328" s="16"/>
      <c r="K328" s="25"/>
      <c r="L328" s="16" t="s">
        <v>2784</v>
      </c>
      <c r="M328" s="16" t="str">
        <f t="shared" si="40"/>
        <v>UPDATE CIFX.TB_SERVICE_EXECUTION_CONTROL SET EXECUTION_STATE = 'EXECUTED', ap_server_EXECUTING = NULL WHERE SERVICE_EXECUTION_CONTROL_ID IN ('1635800529973949-2866557-56-01') and execution_type = 'STAGE1_EXECUTION';</v>
      </c>
      <c r="N328" s="16" t="str">
        <f t="shared" si="41"/>
        <v>SELECT EXECUTION_TYPE,SERVICE_INTERCHANGE_ID,CIRCI_KEY,EXECUTION_STATE FROM CIFX.TB_SERVICE_EXECUTION_CONTROL WHERE SERVICE_EXECUTION_CONTROL_ID IN ('1635800529973949-2866557-56-01') AND EXECUTION_TYPE = 'STAGE1_EXECUTION';</v>
      </c>
      <c r="O328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funcId=01, custName=許雅筑, companyEstablishDate=null, circiKey=I200336993, creditCardKey=null, certNo=I200336993, certDate=Fri Oct 08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goldenRecordItemContent=0509],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goldenRecordItemContent=許雅筑],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goldenRecordItemContent=0509],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goldenRecordItemContent=0910595189],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goldenRecordItemContent=HSU YA CHU],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goldenRecordItemContent=0910595189],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goldenRecordItemContent=1691],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goldenRecordItemContent=27208889],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goldenRecordItemContent=0910595189],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goldenRecordItemContent=0910595189],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goldenRecordItemContent=wuwo1008@gmail.com],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goldenRecordItemContent=嘉義縣],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goldenRecordItemContent=和睦村１０鄰中華路８４６巷８號],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goldenRecordItemContent=606],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goldenRecordItemContent=中埔鄉],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goldenRecordItemContent=台北市政府],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goldenRecordItemContent=政府公職人員],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goldenRecordItemContent=1993-10-08],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[custId=4405666, custType=P, certTypeCode=00, partyKind=P, oldRestart=false, customerTag=null, idChangeState=null, creditCardKey=null, circiKey=null, birthDay=Fri Oct 08 00:00:00 GMT+08:00 1993]；ServiceInterchange:ServiceInterchange [serviceInterchangeId=1635817504450897212, serviceInterchangeTime=Tue Nov 02 01:45:04 GMT+08:00 2021, msgNo=TS0116_00_20211102014504_12412, serviceName=CATEGORY_002, operationName=writeCustomerInfo, txnCode=digiAccOpening, txnTime=Mon Nov 01 21:02:09 GMT+08:00 2021, senderCode=TS0116_00, receiverCode=UP0090_00, operatorCode=TS0116_00, unitCode=0509, authorizerCode=null, serviceResponse=null, queryResponseLineitems=[]], Exception : ]</v>
      </c>
      <c r="P328" s="7" t="str">
        <f t="shared" si="37"/>
        <v>請協助處理</v>
      </c>
      <c r="Q328" s="7"/>
      <c r="R328" s="7"/>
      <c r="S328" s="16"/>
      <c r="T328" s="4" t="s">
        <v>3087</v>
      </c>
      <c r="U328" s="4" t="s">
        <v>17</v>
      </c>
      <c r="V328" s="4" t="s">
        <v>3012</v>
      </c>
      <c r="W328" s="4" t="s">
        <v>3013</v>
      </c>
      <c r="X328" s="4" t="s">
        <v>3088</v>
      </c>
      <c r="Y328" s="4" t="s">
        <v>3089</v>
      </c>
      <c r="Z328" s="4" t="s">
        <v>3090</v>
      </c>
      <c r="AA328" s="37" t="s">
        <v>3151</v>
      </c>
      <c r="AB328" s="4" t="s">
        <v>1973</v>
      </c>
      <c r="AC328" s="4" t="s">
        <v>2315</v>
      </c>
      <c r="AD328" s="4" t="s">
        <v>3091</v>
      </c>
      <c r="AE328" s="4"/>
      <c r="AF328" s="4"/>
    </row>
    <row r="329" spans="1:32" x14ac:dyDescent="0.25">
      <c r="A329" s="4" t="str">
        <f t="shared" si="34"/>
        <v>'1635798807278812-2862463-07-02',</v>
      </c>
      <c r="B329" s="4" t="str">
        <f t="shared" si="35"/>
        <v>'1635816901910656-2905848-52-01',</v>
      </c>
      <c r="C329" s="15" t="s">
        <v>3189</v>
      </c>
      <c r="D329" s="5" t="s">
        <v>3141</v>
      </c>
      <c r="E329" s="5" t="s">
        <v>3157</v>
      </c>
      <c r="F329" s="5" t="s">
        <v>3158</v>
      </c>
      <c r="G329" s="29"/>
      <c r="H329" s="5"/>
      <c r="I329" s="22" t="s">
        <v>3189</v>
      </c>
      <c r="J329" s="16"/>
      <c r="K329" s="25"/>
      <c r="L329" s="16" t="s">
        <v>2784</v>
      </c>
      <c r="M329" s="16" t="str">
        <f t="shared" si="40"/>
        <v>UPDATE CIFX.TB_SERVICE_EXECUTION_CONTROL SET EXECUTION_STATE = 'EXECUTED', ap_server_EXECUTING = NULL WHERE SERVICE_EXECUTION_CONTROL_ID IN ('1635798807304268-2862463-56-02') and execution_type = 'STAGE1_EXECUTION';</v>
      </c>
      <c r="N329" s="16" t="str">
        <f t="shared" si="41"/>
        <v>SELECT EXECUTION_TYPE,SERVICE_INTERCHANGE_ID,CIRCI_KEY,EXECUTION_STATE FROM CIFX.TB_SERVICE_EXECUTION_CONTROL WHERE SERVICE_EXECUTION_CONTROL_ID IN ('1635798807304268-2862463-56-02') AND EXECUTION_TYPE = 'STAGE1_EXECUTION';</v>
      </c>
      <c r="O329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funcId=01, custName=林彥成, companyEstablishDate=null, circiKey=J122539698, creditCardKey=null, certNo=J122539698, certDate=Wed Feb 15 00:00:00 GMT+08:00 1989,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goldenRecordItemContent=035958171],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goldenRecordItemContent=0928222823],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goldenRecordItemContent=BREAKING0215@HOTMAIL.COM],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goldenRecordItemContent=新竹縣],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goldenRecordItemContent=竹東鎮],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goldenRecordItemContent=三竹資訊],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goldenRecordItemContent=專業技術人員],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goldenRecordItemContent=1344],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goldenRecordItemContent=林彥成],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goldenRecordItemContent=1344],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goldenRecordItemContent=0928222823],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goldenRecordItemContent=LIN YEN-CHENG],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goldenRecordItemContent=035958171],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goldenRecordItemContent=1563],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goldenRecordItemContent=0225639999],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goldenRecordItemContent=仁愛里２３鄰仁愛路４１９巷４弄５號],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goldenRecordItemContent=1989-02-15],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[custId=9592967, custType=P, certTypeCode=00, partyKind=P, oldRestart=false, customerTag=CustomerTag [custId=9592967, custType=P, removalPredicate=null, removalSystemCode=null, refToCustId=0, refDatetime=null, disabledDatetime=null, identityCertTypeCode=00, disabled=null, disabledSystemCode=null], idChangeState=null, creditCardKey=J122539698, circiKey=null, birthDay=1989-02-15 00:00:00.0]；ServiceInterchange:ServiceInterchange [serviceInterchangeId=1635816900300649872, serviceInterchangeTime=Tue Nov 02 01:35:00 GMT+08:00 2021, msgNo=TS0116_00_20211102013500_63722, serviceName=CATEGORY_002, operationName=writeCustomerInfo, txnCode=digiAccOpening, txnTime=Mon Nov 01 20:33:27 GMT+08:00 2021, senderCode=TS0116_00, receiverCode=UP0090_00, operatorCode=TS0116_00, unitCode=1344, authorizerCode=null, serviceResponse=null, queryResponseLineitems=[]], Exception : ]</v>
      </c>
      <c r="P329" s="7" t="str">
        <f t="shared" si="37"/>
        <v>請協助處理</v>
      </c>
      <c r="Q329" s="7"/>
      <c r="R329" s="7"/>
      <c r="S329" s="16"/>
      <c r="T329" s="4" t="s">
        <v>3094</v>
      </c>
      <c r="U329" s="4" t="s">
        <v>17</v>
      </c>
      <c r="V329" s="4" t="s">
        <v>3014</v>
      </c>
      <c r="W329" s="4" t="s">
        <v>3015</v>
      </c>
      <c r="X329" s="4" t="s">
        <v>3092</v>
      </c>
      <c r="Y329" s="4" t="s">
        <v>3093</v>
      </c>
      <c r="Z329" s="4" t="s">
        <v>3095</v>
      </c>
      <c r="AA329" s="37" t="s">
        <v>3140</v>
      </c>
      <c r="AB329" s="4" t="s">
        <v>1973</v>
      </c>
      <c r="AC329" s="4" t="s">
        <v>2352</v>
      </c>
      <c r="AD329" s="4" t="s">
        <v>3096</v>
      </c>
      <c r="AE329" s="4"/>
      <c r="AF329" s="4"/>
    </row>
    <row r="330" spans="1:32" x14ac:dyDescent="0.25">
      <c r="A330" s="4" t="str">
        <f t="shared" si="34"/>
        <v>'1635797883627955-2863645-42-01',</v>
      </c>
      <c r="B330" s="4" t="str">
        <f t="shared" si="35"/>
        <v>'1635816606259115-2905455-11-01',</v>
      </c>
      <c r="C330" s="15" t="s">
        <v>3189</v>
      </c>
      <c r="D330" s="5" t="s">
        <v>3141</v>
      </c>
      <c r="E330" s="5" t="s">
        <v>3157</v>
      </c>
      <c r="F330" s="5" t="s">
        <v>3158</v>
      </c>
      <c r="G330" s="29"/>
      <c r="H330" s="5"/>
      <c r="I330" s="22" t="s">
        <v>3189</v>
      </c>
      <c r="J330" s="16"/>
      <c r="K330" s="25"/>
      <c r="L330" s="16" t="s">
        <v>2784</v>
      </c>
      <c r="M330" s="16" t="str">
        <f t="shared" si="40"/>
        <v>UPDATE CIFX.TB_SERVICE_EXECUTION_CONTROL SET EXECUTION_STATE = 'EXECUTED', ap_server_EXECUTING = NULL WHERE SERVICE_EXECUTION_CONTROL_ID IN ('1635797883653914-2863645-96-01') and execution_type = 'STAGE1_EXECUTION';</v>
      </c>
      <c r="N330" s="16" t="str">
        <f t="shared" si="41"/>
        <v>SELECT EXECUTION_TYPE,SERVICE_INTERCHANGE_ID,CIRCI_KEY,EXECUTION_STATE FROM CIFX.TB_SERVICE_EXECUTION_CONTROL WHERE SERVICE_EXECUTION_CONTROL_ID IN ('1635797883653914-2863645-96-01') AND EXECUTION_TYPE = 'STAGE1_EXECUTION';</v>
      </c>
      <c r="O330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funcId=01, custName=施宏璋, companyEstablishDate=null, circiKey=A129099715, creditCardKey=null, certNo=A129099715, certDate=Fri Jun 28 00:00:00 GMT+08:00 1991,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goldenRecordItemContent=0864],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goldenRecordItemContent=施宏璋],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goldenRecordItemContent=0864],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goldenRecordItemContent=0988083628],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goldenRecordItemContent=SZU HUNG CHANG],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goldenRecordItemContent=0228919205],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goldenRecordItemContent=0228919205],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goldenRecordItemContent=0988083628],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goldenRecordItemContent=johnny_shih@msn.com],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goldenRecordItemContent=中央北路四段５７１號],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goldenRecordItemContent=無],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goldenRecordItemContent=1991-06-28],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[custId=9069347, custType=P, certTypeCode=00, partyKind=P, oldRestart=false, customerTag=null, idChangeState=null, creditCardKey=null, circiKey=null, birthDay=null]；ServiceInterchange:ServiceInterchange [serviceInterchangeId=1635816603305786372, serviceInterchangeTime=Tue Nov 02 01:30:03 GMT+08:00 2021, msgNo=TS0116_00_20211102013003_66612, serviceName=CATEGORY_002, operationName=writeCustomerInfo, txnCode=digiAccOpening, txnTime=Mon Nov 01 20:18:03 GMT+08:00 2021, senderCode=TS0116_00, receiverCode=UP0090_00, operatorCode=TS0116_00, unitCode=0864, authorizerCode=null, serviceResponse=null, queryResponseLineitems=[]], Exception : ]</v>
      </c>
      <c r="P330" s="7" t="str">
        <f t="shared" si="37"/>
        <v>請協助處理</v>
      </c>
      <c r="Q330" s="7"/>
      <c r="R330" s="7"/>
      <c r="S330" s="16"/>
      <c r="T330" s="4" t="s">
        <v>3099</v>
      </c>
      <c r="U330" s="4" t="s">
        <v>17</v>
      </c>
      <c r="V330" s="4" t="s">
        <v>3016</v>
      </c>
      <c r="W330" s="4" t="s">
        <v>3017</v>
      </c>
      <c r="X330" s="4" t="s">
        <v>3097</v>
      </c>
      <c r="Y330" s="4" t="s">
        <v>3098</v>
      </c>
      <c r="Z330" s="4" t="s">
        <v>3100</v>
      </c>
      <c r="AA330" s="37" t="s">
        <v>3152</v>
      </c>
      <c r="AB330" s="4" t="s">
        <v>1973</v>
      </c>
      <c r="AC330" s="4" t="s">
        <v>2315</v>
      </c>
      <c r="AD330" s="4" t="s">
        <v>3101</v>
      </c>
      <c r="AE330" s="4"/>
      <c r="AF330" s="4"/>
    </row>
    <row r="331" spans="1:32" x14ac:dyDescent="0.25">
      <c r="A331" s="4" t="str">
        <f t="shared" si="34"/>
        <v>'1635797469036451-2860769-61-02',</v>
      </c>
      <c r="B331" s="4" t="str">
        <f t="shared" si="35"/>
        <v>'1635816464410249-2912981-93-02',</v>
      </c>
      <c r="C331" s="15" t="s">
        <v>3189</v>
      </c>
      <c r="D331" s="5" t="s">
        <v>3141</v>
      </c>
      <c r="E331" s="5" t="s">
        <v>3157</v>
      </c>
      <c r="F331" s="5" t="s">
        <v>3158</v>
      </c>
      <c r="G331" s="29"/>
      <c r="H331" s="5"/>
      <c r="I331" s="22" t="s">
        <v>3189</v>
      </c>
      <c r="J331" s="16"/>
      <c r="K331" s="25"/>
      <c r="L331" s="16" t="s">
        <v>2784</v>
      </c>
      <c r="M331" s="16" t="str">
        <f t="shared" si="40"/>
        <v>UPDATE CIFX.TB_SERVICE_EXECUTION_CONTROL SET EXECUTION_STATE = 'EXECUTED', ap_server_EXECUTING = NULL WHERE SERVICE_EXECUTION_CONTROL_ID IN ('1635797469066954-2860769-15-02') and execution_type = 'STAGE1_EXECUTION';</v>
      </c>
      <c r="N331" s="16" t="str">
        <f t="shared" si="41"/>
        <v>SELECT EXECUTION_TYPE,SERVICE_INTERCHANGE_ID,CIRCI_KEY,EXECUTION_STATE FROM CIFX.TB_SERVICE_EXECUTION_CONTROL WHERE SERVICE_EXECUTION_CONTROL_ID IN ('1635797469066954-2860769-15-02') AND EXECUTION_TYPE = 'STAGE1_EXECUTION';</v>
      </c>
      <c r="O331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funcId=01, custName=邱秀雅, companyEstablishDate=null, circiKey=R221489311, creditCardKey=null, certNo=R221489311, certDate=Mon May 24 00:00:00 GMT+08:00 1971,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goldenRecordItemContent=1252],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goldenRecordItemContent=邱秀雅],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goldenRecordItemContent=15],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goldenRecordItemContent=1252],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goldenRecordItemContent=0983438440],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goldenRecordItemContent=CHIU HSIU YA],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goldenRecordItemContent=0426918520],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goldenRecordItemContent=0426918520],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goldenRecordItemContent=0426918520],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goldenRecordItemContent=0983438440],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goldenRecordItemContent=mama998861@yahoo.com.tw],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goldenRecordItemContent=蔗廊村１鄰中蔗路３之６之７號],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goldenRecordItemContent=大肚區],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goldenRecordItemContent=沒有],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goldenRecordItemContent=1971-05-24],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[custId=7345682, custType=P, certTypeCode=00, partyKind=P, oldRestart=false, customerTag=CustomerTag [custId=7345682, custType=P, removalPredicate=null, removalSystemCode=null, refToCustId=0, refDatetime=null, disabledDatetime=null, identityCertTypeCode=00, disabled=null, disabledSystemCode=null], idChangeState=null, creditCardKey=R221489311, circiKey=null, birthDay=1971-05-24 00:00:00.0]；ServiceInterchange:ServiceInterchange [serviceInterchangeId=1635816462427136202, serviceInterchangeTime=Tue Nov 02 01:27:42 GMT+08:00 2021, msgNo=TS0116_00_20211102012742_45412, serviceName=CATEGORY_002, operationName=writeCustomerInfo, txnCode=digiAccOpening, txnTime=Mon Nov 01 20:11:09 GMT+08:00 2021, senderCode=TS0116_00, receiverCode=UP0090_00, operatorCode=TS0116_00, unitCode=1252, authorizerCode=null, serviceResponse=null, queryResponseLineitems=[]], Exception : ]</v>
      </c>
      <c r="P331" s="7" t="str">
        <f t="shared" si="37"/>
        <v>請協助處理</v>
      </c>
      <c r="Q331" s="7"/>
      <c r="R331" s="7"/>
      <c r="S331" s="16"/>
      <c r="T331" s="4" t="s">
        <v>3102</v>
      </c>
      <c r="U331" s="4" t="s">
        <v>17</v>
      </c>
      <c r="V331" s="4" t="s">
        <v>3018</v>
      </c>
      <c r="W331" s="4" t="s">
        <v>3019</v>
      </c>
      <c r="X331" s="4" t="s">
        <v>3103</v>
      </c>
      <c r="Y331" s="4" t="s">
        <v>3104</v>
      </c>
      <c r="Z331" s="4" t="s">
        <v>3105</v>
      </c>
      <c r="AA331" s="37" t="s">
        <v>3138</v>
      </c>
      <c r="AB331" s="4" t="s">
        <v>1973</v>
      </c>
      <c r="AC331" s="4" t="s">
        <v>2315</v>
      </c>
      <c r="AD331" s="4" t="s">
        <v>3106</v>
      </c>
      <c r="AE331" s="4"/>
      <c r="AF331" s="4"/>
    </row>
    <row r="332" spans="1:32" x14ac:dyDescent="0.25">
      <c r="A332" s="4" t="str">
        <f t="shared" si="34"/>
        <v>'1635796676652408-2860480-54-02',</v>
      </c>
      <c r="B332" s="4" t="str">
        <f t="shared" si="35"/>
        <v>'1635816176268942-2904764-80-01',</v>
      </c>
      <c r="C332" s="15" t="s">
        <v>3189</v>
      </c>
      <c r="D332" s="5" t="s">
        <v>3141</v>
      </c>
      <c r="E332" s="5" t="s">
        <v>3157</v>
      </c>
      <c r="F332" s="5" t="s">
        <v>3158</v>
      </c>
      <c r="G332" s="29"/>
      <c r="H332" s="5"/>
      <c r="I332" s="22" t="s">
        <v>3189</v>
      </c>
      <c r="J332" s="16"/>
      <c r="K332" s="25"/>
      <c r="L332" s="16" t="s">
        <v>2784</v>
      </c>
      <c r="M332" s="16" t="str">
        <f t="shared" si="40"/>
        <v>UPDATE CIFX.TB_SERVICE_EXECUTION_CONTROL SET EXECUTION_STATE = 'EXECUTED', ap_server_EXECUTING = NULL WHERE SERVICE_EXECUTION_CONTROL_ID IN ('1635796676687785-2860480-03-02') and execution_type = 'STAGE1_EXECUTION';</v>
      </c>
      <c r="N332" s="16" t="str">
        <f t="shared" si="41"/>
        <v>SELECT EXECUTION_TYPE,SERVICE_INTERCHANGE_ID,CIRCI_KEY,EXECUTION_STATE FROM CIFX.TB_SERVICE_EXECUTION_CONTROL WHERE SERVICE_EXECUTION_CONTROL_ID IN ('1635796676687785-2860480-03-02') AND EXECUTION_TYPE = 'STAGE1_EXECUTION';</v>
      </c>
      <c r="O332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funcId=01, custName=呂欣芳, companyEstablishDate=null, circiKey=S224579215, creditCardKey=null, certNo=S224579215, certDate=Fri Sep 16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goldenRecordItemContent=0794],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goldenRecordItemContent=呂欣芳],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goldenRecordItemContent=0794],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goldenRecordItemContent=0976430837],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goldenRecordItemContent=LU SHINFANG],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goldenRecordItemContent=0976430837],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goldenRecordItemContent=6932222],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goldenRecordItemContent=0976430837],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goldenRecordItemContent=0976430837],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goldenRecordItemContent=b0233066@ems.niu.edu.tw],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goldenRecordItemContent=後鄉里１鄰順安路２８巷１２號],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goldenRecordItemContent=821],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goldenRecordItemContent=路竹區],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goldenRecordItemContent=善統工業股份有限公司],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goldenRecordItemContent=1994-09-16],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[custId=8002092, custType=P, certTypeCode=00, partyKind=P, oldRestart=false, customerTag=CustomerTag [custId=8002092, custType=P, removalPredicate=null, removalSystemCode=null, refToCustId=0, refDatetime=null, disabledDatetime=null, identityCertTypeCode=00, disabled=null, disabledSystemCode=null], idChangeState=null, creditCardKey=null, circiKey=null, birthDay=1994-09-16 00:00:00.0]；ServiceInterchange:ServiceInterchange [serviceInterchangeId=1635816175484557532, serviceInterchangeTime=Tue Nov 02 01:22:55 GMT+08:00 2021, msgNo=TS0116_00_20211102012255_76132, serviceName=CATEGORY_002, operationName=writeCustomerInfo, txnCode=digiAccOpening, txnTime=Mon Nov 01 19:57:56 GMT+08:00 2021, senderCode=TS0116_00, receiverCode=UP0090_00, operatorCode=TS0116_00, unitCode=0794, authorizerCode=null, serviceResponse=null, queryResponseLineitems=[]], Exception : ]</v>
      </c>
      <c r="P332" s="7" t="str">
        <f t="shared" si="37"/>
        <v>請協助處理</v>
      </c>
      <c r="Q332" s="7"/>
      <c r="R332" s="7"/>
      <c r="S332" s="16"/>
      <c r="T332" s="4" t="s">
        <v>3107</v>
      </c>
      <c r="U332" s="4" t="s">
        <v>17</v>
      </c>
      <c r="V332" s="4" t="s">
        <v>3020</v>
      </c>
      <c r="W332" s="4" t="s">
        <v>3021</v>
      </c>
      <c r="X332" s="4" t="s">
        <v>3108</v>
      </c>
      <c r="Y332" s="4" t="s">
        <v>3109</v>
      </c>
      <c r="Z332" s="4" t="s">
        <v>3110</v>
      </c>
      <c r="AA332" s="37" t="s">
        <v>3139</v>
      </c>
      <c r="AB332" s="4" t="s">
        <v>1973</v>
      </c>
      <c r="AC332" s="4" t="s">
        <v>2315</v>
      </c>
      <c r="AD332" s="4" t="s">
        <v>3111</v>
      </c>
      <c r="AE332" s="4"/>
      <c r="AF332" s="4"/>
    </row>
    <row r="333" spans="1:32" x14ac:dyDescent="0.25">
      <c r="A333" s="4" t="str">
        <f t="shared" ref="A333:A393" si="42">"'"&amp;X333&amp;"',"</f>
        <v>'1635796241126030-2851921-55-01',</v>
      </c>
      <c r="B333" s="4" t="str">
        <f t="shared" ref="B333:B393" si="43">"'"&amp;T333&amp;"',"</f>
        <v>'1635816022311747-2904375-16-01',</v>
      </c>
      <c r="C333" s="15" t="s">
        <v>3189</v>
      </c>
      <c r="D333" s="5" t="s">
        <v>3141</v>
      </c>
      <c r="E333" s="5" t="s">
        <v>3157</v>
      </c>
      <c r="F333" s="5" t="s">
        <v>3158</v>
      </c>
      <c r="G333" s="29"/>
      <c r="H333" s="5"/>
      <c r="I333" s="22" t="s">
        <v>3189</v>
      </c>
      <c r="J333" s="16"/>
      <c r="K333" s="25"/>
      <c r="L333" s="16" t="s">
        <v>2784</v>
      </c>
      <c r="M333" s="16" t="str">
        <f t="shared" si="40"/>
        <v>UPDATE CIFX.TB_SERVICE_EXECUTION_CONTROL SET EXECUTION_STATE = 'EXECUTED', ap_server_EXECUTING = NULL WHERE SERVICE_EXECUTION_CONTROL_ID IN ('1635796241155160-2851921-05-01') and execution_type = 'STAGE1_EXECUTION';</v>
      </c>
      <c r="N333" s="16" t="str">
        <f t="shared" si="41"/>
        <v>SELECT EXECUTION_TYPE,SERVICE_INTERCHANGE_ID,CIRCI_KEY,EXECUTION_STATE FROM CIFX.TB_SERVICE_EXECUTION_CONTROL WHERE SERVICE_EXECUTION_CONTROL_ID IN ('1635796241155160-2851921-05-01') AND EXECUTION_TYPE = 'STAGE1_EXECUTION';</v>
      </c>
      <c r="O333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funcId=01, custName=蔡孟哲, companyEstablishDate=null, circiKey=L123919324, creditCardKey=null, certNo=L123919324, certDate=Thu Nov 09 00:00:00 GMT+08:00 1995,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goldenRecordItemContent=1425],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goldenRecordItemContent=蔡孟哲],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goldenRecordItemContent=1425],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goldenRecordItemContent=0970622231],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goldenRecordItemContent=TSAI,MENG CHE],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goldenRecordItemContent=0970622231],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goldenRecordItemContent=3353],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goldenRecordItemContent=23590096],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goldenRecordItemContent=0970622231],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goldenRecordItemContent=0970622231],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goldenRecordItemContent=MARK015163@GMAIL.COM],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goldenRecordItemContent=臺中市],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goldenRecordItemContent=清水里１３鄰光華路５３巷２７號],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goldenRecordItemContent=436],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goldenRecordItemContent=清水區],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goldenRecordItemContent=環隆科技],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goldenRecordItemContent=1995-11-09],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[custId=9896935, custType=P, certTypeCode=00, partyKind=P, oldRestart=false, customerTag=null, idChangeState=null, creditCardKey=null, circiKey=null, birthDay=Thu Nov 09 00:00:00 GMT+08:00 1995]；ServiceInterchange:ServiceInterchange [serviceInterchangeId=1635816021152716082, serviceInterchangeTime=Tue Nov 02 01:20:21 GMT+08:00 2021, msgNo=TS0116_00_20211102012021_62361, serviceName=CATEGORY_002, operationName=writeCustomerInfo, txnCode=digiAccOpening, txnTime=Mon Nov 01 19:50:41 GMT+08:00 2021, senderCode=TS0116_00, receiverCode=UP0090_00, operatorCode=TS0116_00, unitCode=1425, authorizerCode=null, serviceResponse=null, queryResponseLineitems=[]], Exception : ]</v>
      </c>
      <c r="P333" s="7" t="str">
        <f t="shared" si="37"/>
        <v>請協助處理</v>
      </c>
      <c r="Q333" s="7"/>
      <c r="R333" s="7"/>
      <c r="S333" s="16"/>
      <c r="T333" s="4" t="s">
        <v>3114</v>
      </c>
      <c r="U333" s="4" t="s">
        <v>17</v>
      </c>
      <c r="V333" s="4" t="s">
        <v>3022</v>
      </c>
      <c r="W333" s="4" t="s">
        <v>3023</v>
      </c>
      <c r="X333" s="4" t="s">
        <v>3112</v>
      </c>
      <c r="Y333" s="4" t="s">
        <v>3113</v>
      </c>
      <c r="Z333" s="4" t="s">
        <v>3115</v>
      </c>
      <c r="AA333" s="37" t="s">
        <v>3153</v>
      </c>
      <c r="AB333" s="4" t="s">
        <v>1973</v>
      </c>
      <c r="AC333" s="4" t="s">
        <v>2315</v>
      </c>
      <c r="AD333" s="4" t="s">
        <v>3116</v>
      </c>
      <c r="AE333" s="4"/>
      <c r="AF333" s="4"/>
    </row>
    <row r="334" spans="1:32" x14ac:dyDescent="0.25">
      <c r="A334" s="4" t="str">
        <f t="shared" si="42"/>
        <v>'1635795765268319-2858965-51-02',</v>
      </c>
      <c r="B334" s="4" t="str">
        <f t="shared" si="43"/>
        <v>'1635815852664702-2902121-57-02',</v>
      </c>
      <c r="C334" s="15" t="s">
        <v>3189</v>
      </c>
      <c r="D334" s="5" t="s">
        <v>3141</v>
      </c>
      <c r="E334" s="5" t="s">
        <v>3157</v>
      </c>
      <c r="F334" s="5" t="s">
        <v>3158</v>
      </c>
      <c r="G334" s="29"/>
      <c r="H334" s="5"/>
      <c r="I334" s="22" t="s">
        <v>3189</v>
      </c>
      <c r="J334" s="16"/>
      <c r="K334" s="25"/>
      <c r="L334" s="16" t="s">
        <v>2784</v>
      </c>
      <c r="M334" s="16" t="str">
        <f t="shared" si="40"/>
        <v>UPDATE CIFX.TB_SERVICE_EXECUTION_CONTROL SET EXECUTION_STATE = 'EXECUTED', ap_server_EXECUTING = NULL WHERE SERVICE_EXECUTION_CONTROL_ID IN ('1635795765310528-2858965-01-02') and execution_type = 'STAGE1_EXECUTION';</v>
      </c>
      <c r="N334" s="16" t="str">
        <f t="shared" si="41"/>
        <v>SELECT EXECUTION_TYPE,SERVICE_INTERCHANGE_ID,CIRCI_KEY,EXECUTION_STATE FROM CIFX.TB_SERVICE_EXECUTION_CONTROL WHERE SERVICE_EXECUTION_CONTROL_ID IN ('1635795765310528-2858965-01-02') AND EXECUTION_TYPE = 'STAGE1_EXECUTION';</v>
      </c>
      <c r="O334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funcId=01, custName=劉淑綿, companyEstablishDate=null, circiKey=N221973879, creditCardKey=null, certNo=N221973879, certDate=Tue Jun 10 00:00:00 GMT+08:00 1969,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goldenRecordItemContent=1104],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goldenRecordItemContent=劉淑綿],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goldenRecordItemContent=1104],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goldenRecordItemContent=0972324208],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goldenRecordItemContent=LIU,SHU MIEN],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goldenRecordItemContent=048312592],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goldenRecordItemContent=8332466],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goldenRecordItemContent=048312592],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goldenRecordItemContent=0972324208],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goldenRecordItemContent=emily799619@icloud.com],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goldenRecordItemContent=林厝里１４鄰山腳路一段坡８巷４１弄２８號],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goldenRecordItemContent=510],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goldenRecordItemContent=員林市],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goldenRecordItemContent=寶島藥品],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goldenRecordItemContent=1969-06-10],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[custId=6016956, custType=P, certTypeCode=00, partyKind=P, oldRestart=false, customerTag=CustomerTag [custId=6016956, custType=P, removalPredicate=null, removalSystemCode=null, refToCustId=0, refDatetime=null, disabledDatetime=null, identityCertTypeCode=00, disabled=null, disabledSystemCode=null], idChangeState=null, creditCardKey=N221973879, circiKey=null, birthDay=1969-06-10 00:00:00.0]；ServiceInterchange:ServiceInterchange [serviceInterchangeId=1635815850794014011, serviceInterchangeTime=Tue Nov 02 01:17:30 GMT+08:00 2021, msgNo=TS0116_00_20211102011730_63512, serviceName=CATEGORY_002, operationName=writeCustomerInfo, txnCode=digiAccOpening, txnTime=Mon Nov 01 19:42:45 GMT+08:00 2021, senderCode=TS0116_00, receiverCode=UP0090_00, operatorCode=TS0116_00, unitCode=1104, authorizerCode=null, serviceResponse=null, queryResponseLineitems=[]], Exception : ]</v>
      </c>
      <c r="P334" s="7" t="str">
        <f t="shared" si="37"/>
        <v>請協助處理</v>
      </c>
      <c r="Q334" s="7"/>
      <c r="R334" s="7"/>
      <c r="S334" s="16"/>
      <c r="T334" s="4" t="s">
        <v>3119</v>
      </c>
      <c r="U334" s="4" t="s">
        <v>17</v>
      </c>
      <c r="V334" s="4" t="s">
        <v>3024</v>
      </c>
      <c r="W334" s="4" t="s">
        <v>3025</v>
      </c>
      <c r="X334" s="4" t="s">
        <v>3117</v>
      </c>
      <c r="Y334" s="4" t="s">
        <v>3118</v>
      </c>
      <c r="Z334" s="4" t="s">
        <v>3120</v>
      </c>
      <c r="AA334" s="37" t="s">
        <v>3154</v>
      </c>
      <c r="AB334" s="4" t="s">
        <v>1973</v>
      </c>
      <c r="AC334" s="4" t="s">
        <v>2315</v>
      </c>
      <c r="AD334" s="4" t="s">
        <v>3121</v>
      </c>
      <c r="AE334" s="4"/>
      <c r="AF334" s="4"/>
    </row>
    <row r="335" spans="1:32" x14ac:dyDescent="0.25">
      <c r="A335" s="4" t="str">
        <f t="shared" si="42"/>
        <v>'1635793630373352-2849001-30-01',</v>
      </c>
      <c r="B335" s="4" t="str">
        <f t="shared" si="43"/>
        <v>'1635809639328805-2895580-14-02',</v>
      </c>
      <c r="C335" s="15" t="s">
        <v>3189</v>
      </c>
      <c r="D335" s="5" t="s">
        <v>3141</v>
      </c>
      <c r="E335" s="5" t="s">
        <v>3157</v>
      </c>
      <c r="F335" s="5" t="s">
        <v>3158</v>
      </c>
      <c r="G335" s="29"/>
      <c r="H335" s="5"/>
      <c r="I335" s="22" t="s">
        <v>3189</v>
      </c>
      <c r="J335" s="16"/>
      <c r="K335" s="25"/>
      <c r="L335" s="16" t="s">
        <v>2784</v>
      </c>
      <c r="M335" s="16" t="str">
        <f t="shared" si="40"/>
        <v>UPDATE CIFX.TB_SERVICE_EXECUTION_CONTROL SET EXECUTION_STATE = 'EXECUTED', ap_server_EXECUTING = NULL WHERE SERVICE_EXECUTION_CONTROL_ID IN ('1635793630402601-2849001-98-01') and execution_type = 'STAGE1_EXECUTION';</v>
      </c>
      <c r="N335" s="16" t="str">
        <f t="shared" si="41"/>
        <v>SELECT EXECUTION_TYPE,SERVICE_INTERCHANGE_ID,CIRCI_KEY,EXECUTION_STATE FROM CIFX.TB_SERVICE_EXECUTION_CONTROL WHERE SERVICE_EXECUTION_CONTROL_ID IN ('1635793630402601-2849001-98-01') AND EXECUTION_TYPE = 'STAGE1_EXECUTION';</v>
      </c>
      <c r="O335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funcId=01, custName=鄭智恬, companyEstablishDate=null, circiKey=E223499922, creditCardKey=null, certNo=E223499922, certDate=Tue Sep 01 00:00:00 GMT+08:00 1987,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goldenRecordItemContent=0299],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goldenRecordItemContent=鄭智恬],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goldenRecordItemContent=0299],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goldenRecordItemContent=0912713903],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goldenRecordItemContent=CHENG CHIH TIEN],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goldenRecordItemContent=072216571],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goldenRecordItemContent=8874],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goldenRecordItemContent=076413701],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goldenRecordItemContent=072216571],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goldenRecordItemContent=0912713903],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goldenRecordItemContent=WONDERFUL78999@GMAIL.COM],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goldenRecordItemContent=高雄市],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goldenRecordItemContent=達明里１４鄰十全一路２５１號三樓],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goldenRecordItemContent=807],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goldenRecordItemContent=三民區],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goldenRecordItemContent=台灣中油股份有限公司],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goldenRecordItemContent=1987-09-01],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[custId=9252153, custType=P, certTypeCode=00, partyKind=P, oldRestart=false, customerTag=null, idChangeState=null, creditCardKey=null, circiKey=null, birthDay=Tue Sep 01 00:00:00 GMT+08:00 1987]；ServiceInterchange:ServiceInterchange [serviceInterchangeId=1635809637491973381, serviceInterchangeTime=Mon Nov 01 23:33:57 GMT+08:00 2021, msgNo=TS0116_00_20211101233357_71422, serviceName=CATEGORY_002, operationName=writeCustomerInfo, txnCode=digiAccOpening, txnTime=Mon Nov 01 19:07:10 GMT+08:00 2021, senderCode=TS0116_00, receiverCode=UP0090_00, operatorCode=TS0116_00, unitCode=0299, authorizerCode=null, serviceResponse=null, queryResponseLineitems=[]], Exception : ]</v>
      </c>
      <c r="P335" s="7" t="str">
        <f t="shared" si="37"/>
        <v>請協助處理</v>
      </c>
      <c r="Q335" s="7"/>
      <c r="R335" s="7"/>
      <c r="S335" s="16"/>
      <c r="T335" s="4" t="s">
        <v>3122</v>
      </c>
      <c r="U335" s="4" t="s">
        <v>17</v>
      </c>
      <c r="V335" s="4" t="s">
        <v>3026</v>
      </c>
      <c r="W335" s="4" t="s">
        <v>3027</v>
      </c>
      <c r="X335" s="4" t="s">
        <v>3123</v>
      </c>
      <c r="Y335" s="4" t="s">
        <v>3124</v>
      </c>
      <c r="Z335" s="4" t="s">
        <v>3125</v>
      </c>
      <c r="AA335" s="37" t="s">
        <v>3155</v>
      </c>
      <c r="AB335" s="4" t="s">
        <v>1973</v>
      </c>
      <c r="AC335" s="4" t="s">
        <v>2315</v>
      </c>
      <c r="AD335" s="4" t="s">
        <v>3126</v>
      </c>
      <c r="AE335" s="4"/>
      <c r="AF335" s="4"/>
    </row>
    <row r="336" spans="1:32" ht="15.6" customHeight="1" x14ac:dyDescent="0.25">
      <c r="A336" s="4" t="str">
        <f t="shared" si="42"/>
        <v>'1635793422999933-2856485-03-02',</v>
      </c>
      <c r="B336" s="4" t="str">
        <f t="shared" si="43"/>
        <v>'1635801590736260-2876581-56-02',</v>
      </c>
      <c r="C336" s="15" t="s">
        <v>3189</v>
      </c>
      <c r="D336" s="5" t="s">
        <v>3141</v>
      </c>
      <c r="E336" s="5" t="s">
        <v>3157</v>
      </c>
      <c r="F336" s="5" t="s">
        <v>3158</v>
      </c>
      <c r="G336" s="29"/>
      <c r="H336" s="5"/>
      <c r="I336" s="22" t="s">
        <v>3189</v>
      </c>
      <c r="J336" s="16"/>
      <c r="K336" s="25"/>
      <c r="L336" s="16" t="s">
        <v>2784</v>
      </c>
      <c r="M336" s="16" t="str">
        <f t="shared" si="40"/>
        <v>UPDATE CIFX.TB_SERVICE_EXECUTION_CONTROL SET EXECUTION_STATE = 'EXECUTED', ap_server_EXECUTING = NULL WHERE SERVICE_EXECUTION_CONTROL_ID IN ('1635793423039116-2856485-65-02') and execution_type = 'STAGE1_EXECUTION';</v>
      </c>
      <c r="N336" s="16" t="str">
        <f t="shared" si="41"/>
        <v>SELECT EXECUTION_TYPE,SERVICE_INTERCHANGE_ID,CIRCI_KEY,EXECUTION_STATE FROM CIFX.TB_SERVICE_EXECUTION_CONTROL WHERE SERVICE_EXECUTION_CONTROL_ID IN ('1635793423039116-2856485-65-02') AND EXECUTION_TYPE = 'STAGE1_EXECUTION';</v>
      </c>
      <c r="O336" s="7" t="str">
        <f t="shared" si="36"/>
        <v>發送異動通知電文給CIP回傳錯誤碼:UP0090_00_E301,錯誤碼訊息:服務執行期錯誤,錯誤訊息:[顧客識別寫入CI發生錯誤。ChangeRequest:ChangeRequest [serviceInterchange=ServiceInterchange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funcId=01, custName=陳昌佑, companyEstablishDate=null, circiKey=N125287729, creditCardKey=null, certNo=N125287729, certDate=Thu Jan 30 00:00:00 GMT+08:00 1992,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goldenRecordItemContent=0336],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goldenRecordItemContent=陳昌佑],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goldenRecordItemContent=06],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goldenRecordItemContent=0336],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goldenRecordItemContent=0905591388],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goldenRecordItemContent=CHEN CHANG YOU],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goldenRecordItemContent=0905591388],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goldenRecordItemContent=047227806],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goldenRecordItemContent=0905591388],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goldenRecordItemContent=0905591388],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goldenRecordItemContent=dora69858@yahoo.com.tw],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goldenRecordItemContent=彰化縣],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goldenRecordItemContent=埔崙里１１鄰永心８３巷３５號],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goldenRecordItemContent=505],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goldenRecordItemContent=鹿港鎮],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goldenRecordItemContent=玉華珍餅行],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goldenRecordItemContent=專業服務人員],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goldenRecordItemContent=1992-01-30],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[custId=5890362, custType=P, certTypeCode=00, partyKind=P, oldRestart=false, customerTag=null, idChangeState=null, creditCardKey=null, circiKey=null, birthDay=Thu Jan 30 00:00:00 GMT+08:00 1992]；ServiceInterchange:ServiceInterchange [serviceInterchangeId=1635801589956214552, serviceInterchangeTime=Mon Nov 01 21:19:49 GMT+08:00 2021, msgNo=TS0116_00_20211101211949_97532, serviceName=CATEGORY_002, operationName=writeCustomerInfo, txnCode=digiAccOpening, txnTime=Mon Nov 01 19:03:42 GMT+08:00 2021, senderCode=TS0116_00, receiverCode=UP0090_00, operatorCode=TS0116_00, unitCode=0336, authorizerCode=null, serviceResponse=null, queryResponseLineitems=[]], Exception : ]</v>
      </c>
      <c r="P336" s="7" t="str">
        <f t="shared" si="37"/>
        <v>請協助處理</v>
      </c>
      <c r="Q336" s="7"/>
      <c r="R336" s="7"/>
      <c r="S336" s="16"/>
      <c r="T336" s="4" t="s">
        <v>3127</v>
      </c>
      <c r="U336" s="4" t="s">
        <v>17</v>
      </c>
      <c r="V336" s="4" t="s">
        <v>3028</v>
      </c>
      <c r="W336" s="4" t="s">
        <v>3029</v>
      </c>
      <c r="X336" s="4" t="s">
        <v>3128</v>
      </c>
      <c r="Y336" s="4" t="s">
        <v>3129</v>
      </c>
      <c r="Z336" s="4" t="s">
        <v>3130</v>
      </c>
      <c r="AA336" s="37" t="s">
        <v>3156</v>
      </c>
      <c r="AB336" s="4" t="s">
        <v>1973</v>
      </c>
      <c r="AC336" s="4" t="s">
        <v>2315</v>
      </c>
      <c r="AD336" s="4" t="s">
        <v>3136</v>
      </c>
      <c r="AE336" s="4"/>
      <c r="AF336" s="4"/>
    </row>
    <row r="337" spans="1:34" ht="15.6" customHeight="1" x14ac:dyDescent="0.25">
      <c r="A337" s="4" t="str">
        <f t="shared" si="42"/>
        <v>'1623796042360386-6634060-24-02',</v>
      </c>
      <c r="B337" s="4" t="str">
        <f t="shared" si="43"/>
        <v>'1623796044934245-6642591-20-01',</v>
      </c>
      <c r="C337" s="15" t="s">
        <v>3189</v>
      </c>
      <c r="D337" s="5" t="s">
        <v>3194</v>
      </c>
      <c r="E337" s="5" t="s">
        <v>3195</v>
      </c>
      <c r="F337" s="5" t="s">
        <v>3196</v>
      </c>
      <c r="G337" s="29"/>
      <c r="H337" s="5"/>
      <c r="I337" s="22" t="s">
        <v>3189</v>
      </c>
      <c r="J337" s="16"/>
      <c r="K337" s="25"/>
      <c r="L337" s="16" t="s">
        <v>2784</v>
      </c>
      <c r="M337" s="16" t="str">
        <f t="shared" si="40"/>
        <v>UPDATE CIFX.TB_SERVICE_EXECUTION_CONTROL SET EXECUTION_STATE = 'EXECUTED', ap_server_EXECUTING = NULL WHERE SERVICE_EXECUTION_CONTROL_ID IN ('1623796042904840-6634060-61-02') and execution_type = 'STAGE1_EXECUTION';</v>
      </c>
      <c r="N337" s="16" t="str">
        <f t="shared" si="41"/>
        <v>SELECT EXECUTION_TYPE,SERVICE_INTERCHANGE_ID,CIRCI_KEY,EXECUTION_STATE FROM CIFX.TB_SERVICE_EXECUTION_CONTROL WHERE SERVICE_EXECUTION_CONTROL_ID IN ('1623796042904840-6634060-61-02') AND EXECUTION_TYPE = 'STAGE1_EXECUTION';</v>
      </c>
      <c r="O337" s="7" t="str">
        <f t="shared" ref="O337:O399" si="44">IF(V337&lt;&gt;"",V337,"")</f>
        <v>發送異動通知電文給CIP回傳錯誤碼:UP0090_00_E301,錯誤碼訊息:服務執行期錯誤,錯誤訊息:[顧客識別寫入CI發生錯誤。ChangeRequest:ChangeRequest [serviceInterchange=ServiceInterchange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funcId=01, custName=邱惠君, companyEstablishDate=null, circiKey=H224284473, creditCardKey=null, certNo=H224284473, certDate=Sat Mar 13 00:00:00 GMT+08:00 1993,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goldenRecordItemContent=9008],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goldenRecordItemContent=邱惠君],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goldenRecordItemContent=9008],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goldenRecordItemContent=0955384313],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[goldenRecordItemNo=C003, grecItemDescription=是否同意運用顧客基本資料註記, serviceParameter=agreeCrossSellingFlag, groupRecordItemGroup=GoldenRecordItemGroup [goldenRecordItemGroupId=3, itemGroupCode=C, itemGroupName=顧客偏好資訊]], goldenRecordItemContent=N],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goldenRecordItemContent=0224514699],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goldenRecordItemContent=0955384313],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goldenRecordItemContent=0615G0],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goldenRecordItemContent=0955384313],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goldenRecordItemContent=yuki82313@gmail.com],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goldenRecordItemContent=德育路二段９號],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goldenRecordItemContent=324],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goldenRecordItemContent=平鎮區],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goldenRecordItemContent=1993-03-13],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[custId=4309990, custType=P, certTypeCode=00, partyKind=P, oldRestart=false, customerTag=null, idChangeState=null, creditCardKey=null, circiKey=null, birthDay=null]；ServiceInterchange:ServiceInterchange [serviceInterchangeId=1623796043135267822, serviceInterchangeTime=Tue Jun 15 22:27:23 GMT+08:00 2021, msgNo=TS0116_00_20210615222723_25681, serviceName=CATEGORY_002, operationName=writeCustomerInfo, txnCode=AQF0308, txnTime=Tue Jun 15 22:27:22 GMT+08:00 2021, senderCode=TS0116_00, receiverCode=UP0090_00, operatorCode=LA, unitCode=9008, authorizerCode=null, serviceResponse=null, queryResponseLineitems=[]], Exception : ]</v>
      </c>
      <c r="P337" s="7" t="str">
        <f t="shared" ref="P337:P399" si="45">IF(O337="","","請協助處理")</f>
        <v>請協助處理</v>
      </c>
      <c r="Q337" s="7"/>
      <c r="R337" s="7"/>
      <c r="S337" s="16"/>
      <c r="T337" s="4" t="s">
        <v>3197</v>
      </c>
      <c r="U337" s="4" t="s">
        <v>17</v>
      </c>
      <c r="V337" s="4" t="s">
        <v>3131</v>
      </c>
      <c r="W337" s="4" t="s">
        <v>3132</v>
      </c>
      <c r="X337" s="4" t="s">
        <v>3133</v>
      </c>
      <c r="Y337" s="4" t="s">
        <v>3134</v>
      </c>
      <c r="Z337" s="4" t="s">
        <v>3135</v>
      </c>
      <c r="AA337" s="37" t="s">
        <v>3198</v>
      </c>
      <c r="AB337" s="4" t="s">
        <v>2571</v>
      </c>
      <c r="AC337" s="4" t="s">
        <v>2315</v>
      </c>
      <c r="AD337" s="4" t="s">
        <v>3199</v>
      </c>
      <c r="AE337" s="4"/>
      <c r="AF337" s="4"/>
    </row>
    <row r="338" spans="1:34" ht="15.6" customHeight="1" x14ac:dyDescent="0.25">
      <c r="A338" s="4" t="str">
        <f t="shared" si="42"/>
        <v>'1636366212013294-4103150-42-01',</v>
      </c>
      <c r="B338" s="4" t="str">
        <f t="shared" si="43"/>
        <v>'1636366227661504-4101409-30-02',</v>
      </c>
      <c r="C338" s="15" t="s">
        <v>3189</v>
      </c>
      <c r="D338" s="5" t="s">
        <v>3235</v>
      </c>
      <c r="E338" s="5" t="s">
        <v>3191</v>
      </c>
      <c r="F338" s="5" t="s">
        <v>3648</v>
      </c>
      <c r="G338" s="29"/>
      <c r="H338" s="5"/>
      <c r="I338" s="22" t="s">
        <v>3189</v>
      </c>
      <c r="J338" s="16"/>
      <c r="K338" s="25" t="s">
        <v>3186</v>
      </c>
      <c r="L338" s="16" t="s">
        <v>2784</v>
      </c>
      <c r="M338" s="16" t="str">
        <f t="shared" si="40"/>
        <v>UPDATE CIFX.TB_SERVICE_EXECUTION_CONTROL SET EXECUTION_STATE = 'EXECUTED', ap_server_EXECUTING = NULL WHERE SERVICE_EXECUTION_CONTROL_ID IN ('1636366212017493-4103150-45-01') and execution_type = 'STAGE1_EXECUTION';</v>
      </c>
      <c r="N338" s="16" t="str">
        <f t="shared" si="41"/>
        <v>SELECT EXECUTION_TYPE,SERVICE_INTERCHANGE_ID,CIRCI_KEY,EXECUTION_STATE FROM CIFX.TB_SERVICE_EXECUTION_CONTROL WHERE SERVICE_EXECUTION_CONTROL_ID IN ('1636366212017493-4103150-45-01') AND EXECUTION_TYPE = 'STAGE1_EXECUTION';</v>
      </c>
      <c r="O338" s="7" t="str">
        <f t="shared" si="44"/>
        <v>發送異動通知電文給CIP回傳錯誤碼:UP0090_00_V201,錯誤碼訊息:必要性檢核錯誤,錯誤訊息:[檢查有誤，顧客ID已停用]</v>
      </c>
      <c r="P338" s="7" t="str">
        <f>IF(O338="","","請協助處理，為舊核時期建檔顧客(20191107)，目前在CIFX有改號註記，且在顧客主檔存在")</f>
        <v>請協助處理，為舊核時期建檔顧客(20191107)，目前在CIFX有改號註記，且在顧客主檔存在</v>
      </c>
      <c r="Q338" s="7" t="s">
        <v>162</v>
      </c>
      <c r="R338" s="7"/>
      <c r="S338" s="16" t="s">
        <v>299</v>
      </c>
      <c r="T338" s="4" t="s">
        <v>3201</v>
      </c>
      <c r="U338" s="4" t="s">
        <v>17</v>
      </c>
      <c r="V338" s="4" t="s">
        <v>1</v>
      </c>
      <c r="W338" s="4" t="s">
        <v>3160</v>
      </c>
      <c r="X338" s="4" t="s">
        <v>3161</v>
      </c>
      <c r="Y338" s="4" t="s">
        <v>3162</v>
      </c>
      <c r="Z338" s="4" t="s">
        <v>3163</v>
      </c>
      <c r="AA338" s="37" t="s">
        <v>3202</v>
      </c>
      <c r="AB338" s="4" t="s">
        <v>2327</v>
      </c>
      <c r="AC338" s="4" t="s">
        <v>2315</v>
      </c>
      <c r="AD338" s="4" t="s">
        <v>3203</v>
      </c>
      <c r="AE338" s="4" t="s">
        <v>3164</v>
      </c>
      <c r="AF338" s="4" t="s">
        <v>3165</v>
      </c>
    </row>
    <row r="339" spans="1:34" ht="15.6" customHeight="1" x14ac:dyDescent="0.25">
      <c r="A339" s="4" t="str">
        <f t="shared" si="42"/>
        <v>'1636392600045345-4152819-54-01',</v>
      </c>
      <c r="B339" s="4" t="str">
        <f t="shared" si="43"/>
        <v>'1636392600482836-4161908-83-02',</v>
      </c>
      <c r="C339" s="15" t="s">
        <v>3189</v>
      </c>
      <c r="D339" s="5" t="s">
        <v>3204</v>
      </c>
      <c r="E339" s="5" t="s">
        <v>3191</v>
      </c>
      <c r="F339" s="5" t="s">
        <v>3200</v>
      </c>
      <c r="G339" s="29"/>
      <c r="H339" s="5"/>
      <c r="I339" s="22" t="s">
        <v>3189</v>
      </c>
      <c r="J339" s="16"/>
      <c r="K339" s="25"/>
      <c r="L339" s="16" t="s">
        <v>2784</v>
      </c>
      <c r="M339" s="16" t="str">
        <f t="shared" si="40"/>
        <v>UPDATE CIFX.TB_SERVICE_EXECUTION_CONTROL SET EXECUTION_STATE = 'EXECUTED', ap_server_EXECUTING = NULL WHERE SERVICE_EXECUTION_CONTROL_ID IN ('1636392600221435-4152819-55-01') and execution_type = 'STAGE1_EXECUTION';</v>
      </c>
      <c r="N339" s="16" t="str">
        <f t="shared" si="41"/>
        <v>SELECT EXECUTION_TYPE,SERVICE_INTERCHANGE_ID,CIRCI_KEY,EXECUTION_STATE FROM CIFX.TB_SERVICE_EXECUTION_CONTROL WHERE SERVICE_EXECUTION_CONTROL_ID IN ('1636392600221435-4152819-55-01') AND EXECUTION_TYPE = 'STAGE1_EXECUTION';</v>
      </c>
      <c r="O339" s="7" t="str">
        <f t="shared" si="44"/>
        <v>發送ID改號電文給CIP回傳錯誤碼:UP0090_00_R101,錯誤碼訊息:存在驗證錯誤,錯誤訊息:[檢查有誤，顧客曾經執行過ID改號，將交由資料管家處理]</v>
      </c>
      <c r="P339" s="7" t="str">
        <f t="shared" si="45"/>
        <v>請協助處理</v>
      </c>
      <c r="Q339" s="7" t="s">
        <v>162</v>
      </c>
      <c r="R339" s="7"/>
      <c r="S339" s="16" t="s">
        <v>299</v>
      </c>
      <c r="T339" s="4" t="s">
        <v>3273</v>
      </c>
      <c r="U339" s="4" t="s">
        <v>17</v>
      </c>
      <c r="V339" s="4" t="s">
        <v>18</v>
      </c>
      <c r="W339" s="4" t="s">
        <v>3169</v>
      </c>
      <c r="X339" s="4" t="s">
        <v>3173</v>
      </c>
      <c r="Y339" s="4" t="s">
        <v>3174</v>
      </c>
      <c r="Z339" s="4" t="s">
        <v>3175</v>
      </c>
      <c r="AA339" s="37" t="s">
        <v>3205</v>
      </c>
      <c r="AB339" s="4" t="s">
        <v>2209</v>
      </c>
      <c r="AC339" s="4" t="s">
        <v>2315</v>
      </c>
      <c r="AD339" s="4" t="s">
        <v>3206</v>
      </c>
      <c r="AE339" s="4" t="s">
        <v>3176</v>
      </c>
      <c r="AF339" s="4" t="s">
        <v>3177</v>
      </c>
    </row>
    <row r="340" spans="1:34" ht="15.6" customHeight="1" x14ac:dyDescent="0.25">
      <c r="A340" s="4" t="str">
        <f t="shared" si="42"/>
        <v>'1636448165157515-4283243-06-01',</v>
      </c>
      <c r="B340" s="4" t="str">
        <f t="shared" si="43"/>
        <v>'1636448165416862-4282802-30-02',</v>
      </c>
      <c r="C340" s="15" t="s">
        <v>3188</v>
      </c>
      <c r="D340" s="5" t="s">
        <v>3178</v>
      </c>
      <c r="E340" s="5" t="s">
        <v>3195</v>
      </c>
      <c r="F340" s="5" t="s">
        <v>3211</v>
      </c>
      <c r="G340" s="29"/>
      <c r="H340" s="5"/>
      <c r="I340" s="22" t="s">
        <v>3189</v>
      </c>
      <c r="J340" s="16"/>
      <c r="K340" s="25"/>
      <c r="L340" s="16" t="s">
        <v>2786</v>
      </c>
      <c r="M340" s="16" t="str">
        <f t="shared" si="40"/>
        <v>UPDATE CIFX.TB_SERVICE_EXECUTION_CONTROL SET EXECUTION_STATE = 'TO_EXECUTE',RESULT_CODE = NULL,EXECUTING_TIMESTAMP = null,EXECUTED_TIMESTAMP = null,ap_server_EXECUTING = NULL WHERE SERVICE_EXECUTION_CONTROL_ID IN ('1636448165161664-4283243-08-01') AND EXECUTION_TYPE = 'STAGE1_EXECUTION';</v>
      </c>
      <c r="N340" s="16" t="str">
        <f t="shared" si="41"/>
        <v>SELECT EXECUTION_TYPE,SERVICE_INTERCHANGE_ID,CIRCI_KEY,EXECUTION_STATE FROM CIFX.TB_SERVICE_EXECUTION_CONTROL WHERE SERVICE_EXECUTION_CONTROL_ID IN ('1636448165161664-4283243-08-01') AND EXECUTION_TYPE = 'STAGE1_EXECUTION';</v>
      </c>
      <c r="O340" s="7" t="str">
        <f t="shared" si="44"/>
        <v>發送異動通知電文，未回傳resultCode!!,回傳代碼描述:,錯誤訊息:[]</v>
      </c>
      <c r="P340" s="7" t="str">
        <f t="shared" si="45"/>
        <v>請協助處理</v>
      </c>
      <c r="Q340" s="7" t="s">
        <v>162</v>
      </c>
      <c r="R340" s="7"/>
      <c r="S340" s="16" t="s">
        <v>299</v>
      </c>
      <c r="T340" s="4" t="s">
        <v>3207</v>
      </c>
      <c r="U340" s="4" t="s">
        <v>17</v>
      </c>
      <c r="V340" s="4" t="s">
        <v>900</v>
      </c>
      <c r="W340" s="4" t="s">
        <v>3167</v>
      </c>
      <c r="X340" s="4" t="s">
        <v>3170</v>
      </c>
      <c r="Y340" s="4" t="s">
        <v>3171</v>
      </c>
      <c r="Z340" s="4" t="s">
        <v>3172</v>
      </c>
      <c r="AA340" s="37" t="s">
        <v>3208</v>
      </c>
      <c r="AB340" s="4" t="s">
        <v>1996</v>
      </c>
      <c r="AC340" s="4" t="s">
        <v>2315</v>
      </c>
      <c r="AD340" s="4"/>
      <c r="AE340" s="4"/>
      <c r="AF340" s="4"/>
    </row>
    <row r="341" spans="1:34" ht="15.6" customHeight="1" x14ac:dyDescent="0.25">
      <c r="A341" s="4" t="str">
        <f t="shared" si="42"/>
        <v>'1636551271591573-4510181-20-01',</v>
      </c>
      <c r="B341" s="4" t="str">
        <f t="shared" si="43"/>
        <v>'1636551271833508-4510215-62-01',</v>
      </c>
      <c r="C341" s="15" t="s">
        <v>3260</v>
      </c>
      <c r="D341" s="5" t="s">
        <v>3243</v>
      </c>
      <c r="E341" s="5" t="s">
        <v>3260</v>
      </c>
      <c r="F341" s="5" t="s">
        <v>3262</v>
      </c>
      <c r="G341" s="29"/>
      <c r="H341" s="5"/>
      <c r="I341" s="22" t="s">
        <v>3261</v>
      </c>
      <c r="J341" s="16"/>
      <c r="K341" s="25" t="s">
        <v>3242</v>
      </c>
      <c r="L341" s="16" t="s">
        <v>2784</v>
      </c>
      <c r="M341" s="16" t="str">
        <f t="shared" si="40"/>
        <v>UPDATE CIFX.TB_SERVICE_EXECUTION_CONTROL SET EXECUTION_STATE = 'EXECUTED', ap_server_EXECUTING = NULL WHERE SERVICE_EXECUTION_CONTROL_ID IN ('1636551271613337-4510181-44-01') and execution_type = 'STAGE1_EXECUTION';</v>
      </c>
      <c r="N341" s="16" t="str">
        <f t="shared" si="41"/>
        <v>SELECT EXECUTION_TYPE,SERVICE_INTERCHANGE_ID,CIRCI_KEY,EXECUTION_STATE FROM CIFX.TB_SERVICE_EXECUTION_CONTROL WHERE SERVICE_EXECUTION_CONTROL_ID IN ('1636551271613337-4510181-44-01') AND EXECUTION_TYPE = 'STAGE1_EXECUTION';</v>
      </c>
      <c r="O341" s="7" t="str">
        <f t="shared" si="44"/>
        <v>發送異動通知電文給CIP回傳錯誤碼:UP0090_00_V201,錯誤碼訊息:必要性檢核錯誤,錯誤訊息:[檢查有誤，顧客ID已停用]</v>
      </c>
      <c r="P341" s="7" t="str">
        <f>IF(O341="","","請協助處理，已確認顧客未刪除且主檔存在，CIFX查無改號紀錄;但主檔有改號註記，建檔日期為19941005")</f>
        <v>請協助處理，已確認顧客未刪除且主檔存在，CIFX查無改號紀錄;但主檔有改號註記，建檔日期為19941005</v>
      </c>
      <c r="Q341" s="7" t="s">
        <v>162</v>
      </c>
      <c r="R341" s="7"/>
      <c r="S341" s="16" t="s">
        <v>299</v>
      </c>
      <c r="T341" s="4" t="s">
        <v>3216</v>
      </c>
      <c r="U341" s="4" t="s">
        <v>17</v>
      </c>
      <c r="V341" s="4" t="s">
        <v>1</v>
      </c>
      <c r="W341" s="4" t="s">
        <v>3179</v>
      </c>
      <c r="X341" s="4" t="s">
        <v>3182</v>
      </c>
      <c r="Y341" s="4" t="s">
        <v>3244</v>
      </c>
      <c r="Z341" s="4" t="s">
        <v>3183</v>
      </c>
      <c r="AA341" s="37" t="s">
        <v>3259</v>
      </c>
      <c r="AB341" s="4" t="s">
        <v>1979</v>
      </c>
      <c r="AC341" s="4" t="s">
        <v>2315</v>
      </c>
      <c r="AD341" s="4" t="s">
        <v>3209</v>
      </c>
      <c r="AE341" s="4" t="s">
        <v>3217</v>
      </c>
      <c r="AF341" s="4" t="s">
        <v>3218</v>
      </c>
    </row>
    <row r="342" spans="1:34" ht="15.6" customHeight="1" x14ac:dyDescent="0.25">
      <c r="A342" s="4" t="str">
        <f t="shared" si="42"/>
        <v>'1636385422578249-4146505-84-01',</v>
      </c>
      <c r="B342" s="4" t="str">
        <f t="shared" si="43"/>
        <v>'1636385424951686-4153570-28-02',</v>
      </c>
      <c r="C342" s="15" t="s">
        <v>3240</v>
      </c>
      <c r="D342" s="5" t="s">
        <v>3232</v>
      </c>
      <c r="E342" s="5" t="s">
        <v>3238</v>
      </c>
      <c r="F342" s="5" t="s">
        <v>3234</v>
      </c>
      <c r="G342" s="29"/>
      <c r="H342" s="5"/>
      <c r="I342" s="22" t="s">
        <v>3240</v>
      </c>
      <c r="J342" s="16"/>
      <c r="K342" s="25" t="s">
        <v>3236</v>
      </c>
      <c r="L342" s="16" t="s">
        <v>2784</v>
      </c>
      <c r="M342" s="16" t="str">
        <f t="shared" si="40"/>
        <v>UPDATE CIFX.TB_SERVICE_EXECUTION_CONTROL SET EXECUTION_STATE = 'EXECUTED', ap_server_EXECUTING = NULL WHERE SERVICE_EXECUTION_CONTROL_ID IN ('1636385422604871-4146505-35-01') and execution_type = 'STAGE1_EXECUTION';</v>
      </c>
      <c r="N342" s="16" t="str">
        <f t="shared" si="41"/>
        <v>SELECT EXECUTION_TYPE,SERVICE_INTERCHANGE_ID,CIRCI_KEY,EXECUTION_STATE FROM CIFX.TB_SERVICE_EXECUTION_CONTROL WHERE SERVICE_EXECUTION_CONTROL_ID IN ('1636385422604871-4146505-35-01') AND EXECUTION_TYPE = 'STAGE1_EXECUTION';</v>
      </c>
      <c r="O342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funcId=01, custName=吳玫琴, companyEstablishDate=null, circiKey=A220202058, creditCardKey=null, certNo=A220202058, certDate=Tue Jun 20 00:00:00 GMT+08:00 1967,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goldenRecordItemContent=0598],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goldenRecordItemContent=吳玫琴],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goldenRecordItemContent=0598],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goldenRecordItemContent=0225140799],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goldenRecordItemContent=F],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goldenRecordItemContent=606],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goldenRecordItemContent=0226587888],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goldenRecordItemContent=114],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goldenRecordItemContent=陽光街３５１號３樓],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goldenRecordItemContent=內湖區],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goldenRecordItemContent=0932199344],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goldenRecordItemContent=0615H0],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goldenRecordItemContent=0932199344],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goldenRecordItemContent=aflyh@hotmail.com],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goldenRecordItemContent=敦化北路１５５巷４號３樓],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goldenRecordItemContent=105],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goldenRecordItemContent=松山區],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goldenRecordItemContent=1967-06-20],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[custId=806114, custType=P, certTypeCode=00, partyKind=P, oldRestart=false, customerTag=CustomerTag [custId=806114, custType=P, removalPredicate=null, removalSystemCode=null, refToCustId=0, refDatetime=null, disabledDatetime=null, identityCertTypeCode=00, disabled=null, disabledSystemCode=null], idChangeState=null, creditCardKey=A220202058, circiKey=null, birthDay=1967-06-20 00:00:00.0]；ServiceInterchange:ServiceInterchange [serviceInterchangeId=1636385423013658552, serviceInterchangeTime=Mon Nov 08 15:30:23 GMT+08:00 2021, msgNo=TS0116_00_20211108153022_27712, serviceName=CATEGORY_002, operationName=writeCustomerInfo, txnCode=BT$MAL31, txnTime=Mon Nov 08 15:30:22 GMT+08:00 2021, senderCode=TS0116_00, receiverCode=UP0090_00, operatorCode=99, unitCode=0598, authorizerCode=null, serviceResponse=null, queryResponseLineitems=[]], Exception : ]</v>
      </c>
      <c r="P342" s="7" t="str">
        <f>IF(O342="","","請協助處理，已確認顧客未刪除且主檔存在，CIFX查無改號紀錄，建檔日期為20211108")</f>
        <v>請協助處理，已確認顧客未刪除且主檔存在，CIFX查無改號紀錄，建檔日期為20211108</v>
      </c>
      <c r="Q342" s="7"/>
      <c r="R342" s="7"/>
      <c r="S342" s="16"/>
      <c r="T342" s="4" t="s">
        <v>3210</v>
      </c>
      <c r="U342" s="4" t="s">
        <v>17</v>
      </c>
      <c r="V342" s="4" t="s">
        <v>3180</v>
      </c>
      <c r="W342" s="4" t="s">
        <v>3181</v>
      </c>
      <c r="X342" s="4" t="s">
        <v>3185</v>
      </c>
      <c r="Y342" s="4" t="s">
        <v>3233</v>
      </c>
      <c r="Z342" s="4" t="s">
        <v>3184</v>
      </c>
      <c r="AA342" s="37" t="s">
        <v>3239</v>
      </c>
      <c r="AB342" s="4" t="s">
        <v>2115</v>
      </c>
      <c r="AC342" s="4" t="s">
        <v>2315</v>
      </c>
      <c r="AD342" s="4" t="s">
        <v>3228</v>
      </c>
      <c r="AE342" s="4" t="s">
        <v>3217</v>
      </c>
      <c r="AF342" s="4" t="s">
        <v>3218</v>
      </c>
    </row>
    <row r="343" spans="1:34" x14ac:dyDescent="0.25">
      <c r="A343" s="4" t="str">
        <f t="shared" si="42"/>
        <v>'1636834749412572-5137382-99-02',</v>
      </c>
      <c r="B343" s="4" t="str">
        <f t="shared" si="43"/>
        <v>'1636834779616924-5137440-16-02',</v>
      </c>
      <c r="C343" s="15" t="s">
        <v>3241</v>
      </c>
      <c r="D343" s="5" t="s">
        <v>3232</v>
      </c>
      <c r="E343" s="5" t="s">
        <v>3238</v>
      </c>
      <c r="F343" s="5" t="s">
        <v>3234</v>
      </c>
      <c r="G343" s="29"/>
      <c r="H343" s="5"/>
      <c r="I343" s="22" t="s">
        <v>3240</v>
      </c>
      <c r="J343" s="16"/>
      <c r="K343" s="25" t="s">
        <v>3237</v>
      </c>
      <c r="L343" s="16" t="s">
        <v>2786</v>
      </c>
      <c r="M343" s="16" t="str">
        <f t="shared" si="40"/>
        <v>UPDATE CIFX.TB_SERVICE_EXECUTION_CONTROL SET EXECUTION_STATE = 'TO_EXECUTE',RESULT_CODE = NULL,EXECUTING_TIMESTAMP = null,EXECUTED_TIMESTAMP = null,ap_server_EXECUTING = NULL WHERE SERVICE_EXECUTION_CONTROL_ID IN ('1636834749424051-5137382-06-02') AND EXECUTION_TYPE = 'STAGE1_EXECUTION';</v>
      </c>
      <c r="N343" s="16" t="str">
        <f t="shared" si="41"/>
        <v>SELECT EXECUTION_TYPE,SERVICE_INTERCHANGE_ID,CIRCI_KEY,EXECUTION_STATE FROM CIFX.TB_SERVICE_EXECUTION_CONTROL WHERE SERVICE_EXECUTION_CONTROL_ID IN ('1636834749424051-5137382-06-02') AND EXECUTION_TYPE = 'STAGE1_EXECUTION';</v>
      </c>
      <c r="O343" s="7" t="str">
        <f t="shared" si="44"/>
        <v>發送異動通知電文，未回傳resultCode!!,回傳代碼描述:,錯誤訊息:[]</v>
      </c>
      <c r="P343" s="7" t="str">
        <f t="shared" si="45"/>
        <v>請協助處理</v>
      </c>
      <c r="Q343" s="7"/>
      <c r="R343" s="7"/>
      <c r="S343" s="16"/>
      <c r="T343" s="4" t="s">
        <v>3219</v>
      </c>
      <c r="U343" s="4" t="s">
        <v>17</v>
      </c>
      <c r="V343" s="4" t="s">
        <v>3284</v>
      </c>
      <c r="W343" s="4" t="s">
        <v>3214</v>
      </c>
      <c r="X343" s="4" t="s">
        <v>3223</v>
      </c>
      <c r="Y343" s="4" t="s">
        <v>3222</v>
      </c>
      <c r="Z343" s="4" t="s">
        <v>3220</v>
      </c>
      <c r="AA343" s="37" t="s">
        <v>3221</v>
      </c>
      <c r="AB343" s="4" t="s">
        <v>2351</v>
      </c>
      <c r="AC343" s="4" t="s">
        <v>2315</v>
      </c>
      <c r="AD343" s="4"/>
      <c r="AE343" s="4"/>
      <c r="AF343" s="4"/>
    </row>
    <row r="344" spans="1:34" ht="33" x14ac:dyDescent="0.25">
      <c r="A344" s="4" t="str">
        <f t="shared" si="42"/>
        <v>'1636393203947843-4163319-89-01',</v>
      </c>
      <c r="B344" s="4" t="str">
        <f t="shared" si="43"/>
        <v>'1636557532254867-4528227-61-01',</v>
      </c>
      <c r="C344" s="15" t="s">
        <v>3274</v>
      </c>
      <c r="D344" s="5" t="s">
        <v>3231</v>
      </c>
      <c r="E344" s="5" t="s">
        <v>3274</v>
      </c>
      <c r="F344" s="5" t="s">
        <v>3272</v>
      </c>
      <c r="G344" s="29"/>
      <c r="H344" s="5"/>
      <c r="I344" s="22" t="s">
        <v>3274</v>
      </c>
      <c r="J344" s="16"/>
      <c r="K344" s="34" t="s">
        <v>3270</v>
      </c>
      <c r="L344" s="16" t="s">
        <v>2784</v>
      </c>
      <c r="M344" s="16" t="str">
        <f t="shared" si="40"/>
        <v>UPDATE CIFX.TB_SERVICE_EXECUTION_CONTROL SET EXECUTION_STATE = 'EXECUTED', ap_server_EXECUTING = NULL WHERE SERVICE_EXECUTION_CONTROL_ID IN ('1636393203980284-4163319-72-01') and execution_type = 'STAGE1_EXECUTION';</v>
      </c>
      <c r="N344" s="16" t="str">
        <f t="shared" si="41"/>
        <v>SELECT EXECUTION_TYPE,SERVICE_INTERCHANGE_ID,CIRCI_KEY,EXECUTION_STATE FROM CIFX.TB_SERVICE_EXECUTION_CONTROL WHERE SERVICE_EXECUTION_CONTROL_ID IN ('1636393203980284-4163319-72-01') AND EXECUTION_TYPE = 'STAGE1_EXECUTION';</v>
      </c>
      <c r="O344" s="7" t="str">
        <f t="shared" si="44"/>
        <v>發送ID改號電文給CIP回傳錯誤碼:UP0090_00_R101,錯誤碼訊息:存在驗證錯誤,錯誤訊息:[檢查有誤，顧客曾經執行過ID改號，將交由資料管家處理]</v>
      </c>
      <c r="P344" s="7" t="str">
        <f t="shared" si="45"/>
        <v>請協助處理</v>
      </c>
      <c r="Q344" s="7" t="s">
        <v>162</v>
      </c>
      <c r="R344" s="7"/>
      <c r="S344" s="16" t="s">
        <v>299</v>
      </c>
      <c r="T344" s="4" t="s">
        <v>3224</v>
      </c>
      <c r="U344" s="4" t="s">
        <v>17</v>
      </c>
      <c r="V344" s="4" t="s">
        <v>18</v>
      </c>
      <c r="W344" s="4" t="s">
        <v>3215</v>
      </c>
      <c r="X344" s="4" t="s">
        <v>3225</v>
      </c>
      <c r="Y344" s="4" t="s">
        <v>3271</v>
      </c>
      <c r="Z344" s="4" t="s">
        <v>3226</v>
      </c>
      <c r="AA344" s="37" t="s">
        <v>3205</v>
      </c>
      <c r="AB344" s="4" t="s">
        <v>2209</v>
      </c>
      <c r="AC344" s="4" t="s">
        <v>2315</v>
      </c>
      <c r="AD344" s="4" t="s">
        <v>3227</v>
      </c>
      <c r="AE344" s="32" t="s">
        <v>3229</v>
      </c>
      <c r="AF344" s="4" t="s">
        <v>3230</v>
      </c>
    </row>
    <row r="345" spans="1:34" x14ac:dyDescent="0.25">
      <c r="A345" s="4" t="str">
        <f t="shared" si="42"/>
        <v>'1637167659783464-5856768-06-01',</v>
      </c>
      <c r="B345" s="4" t="str">
        <f t="shared" si="43"/>
        <v>'1637167660001932-5856754-39-01',</v>
      </c>
      <c r="C345" s="15" t="s">
        <v>3292</v>
      </c>
      <c r="D345" s="5" t="s">
        <v>3287</v>
      </c>
      <c r="E345" s="5" t="s">
        <v>3293</v>
      </c>
      <c r="F345" s="5" t="s">
        <v>3290</v>
      </c>
      <c r="G345" s="29"/>
      <c r="H345" s="5"/>
      <c r="I345" s="22" t="s">
        <v>3291</v>
      </c>
      <c r="J345" s="16"/>
      <c r="K345" s="25" t="s">
        <v>3286</v>
      </c>
      <c r="L345" s="16" t="s">
        <v>2784</v>
      </c>
      <c r="M345" s="16" t="str">
        <f t="shared" si="40"/>
        <v>UPDATE CIFX.TB_SERVICE_EXECUTION_CONTROL SET EXECUTION_STATE = 'EXECUTED', ap_server_EXECUTING = NULL WHERE SERVICE_EXECUTION_CONTROL_ID IN ('1637167659814690-5856768-29-01') and execution_type = 'STAGE1_EXECUTION';</v>
      </c>
      <c r="N345" s="16" t="str">
        <f t="shared" si="41"/>
        <v>SELECT EXECUTION_TYPE,SERVICE_INTERCHANGE_ID,CIRCI_KEY,EXECUTION_STATE FROM CIFX.TB_SERVICE_EXECUTION_CONTROL WHERE SERVICE_EXECUTION_CONTROL_ID IN ('1637167659814690-5856768-29-01') AND EXECUTION_TYPE = 'STAGE1_EXECUTION';</v>
      </c>
      <c r="O345" s="7" t="str">
        <f t="shared" si="44"/>
        <v>發送異動通知電文給CIP回傳錯誤碼:UP0090_00_V201</v>
      </c>
      <c r="P345" s="7" t="str">
        <f>IF(O345="","","請協助處理，建檔日期為20180326，CIFX查無改號紀錄，但CIFX主檔改號註記為Y，可能在舊核即改過號")</f>
        <v>請協助處理，建檔日期為20180326，CIFX查無改號紀錄，但CIFX主檔改號註記為Y，可能在舊核即改過號</v>
      </c>
      <c r="Q345" s="7" t="s">
        <v>162</v>
      </c>
      <c r="R345" s="7"/>
      <c r="S345" s="16" t="s">
        <v>299</v>
      </c>
      <c r="T345" s="4" t="s">
        <v>3263</v>
      </c>
      <c r="U345" s="4" t="s">
        <v>17</v>
      </c>
      <c r="V345" s="4" t="s">
        <v>1748</v>
      </c>
      <c r="W345" s="4" t="s">
        <v>2363</v>
      </c>
      <c r="X345" s="4" t="s">
        <v>3265</v>
      </c>
      <c r="Y345" s="4" t="s">
        <v>3288</v>
      </c>
      <c r="Z345" s="4" t="s">
        <v>3266</v>
      </c>
      <c r="AA345" s="37" t="s">
        <v>3283</v>
      </c>
      <c r="AB345" s="4" t="s">
        <v>1979</v>
      </c>
      <c r="AC345" s="4" t="s">
        <v>2315</v>
      </c>
      <c r="AD345" s="4" t="s">
        <v>3267</v>
      </c>
      <c r="AE345" s="4" t="s">
        <v>3268</v>
      </c>
      <c r="AF345" s="4" t="s">
        <v>3269</v>
      </c>
    </row>
    <row r="346" spans="1:34" ht="33" x14ac:dyDescent="0.25">
      <c r="A346" s="4" t="str">
        <f t="shared" si="42"/>
        <v>'1637687036179488-6994308-63-02',</v>
      </c>
      <c r="B346" s="4" t="str">
        <f t="shared" si="43"/>
        <v>'1637687036535048-6994340-81-02',</v>
      </c>
      <c r="C346" s="15" t="s">
        <v>3291</v>
      </c>
      <c r="D346" s="5" t="s">
        <v>3287</v>
      </c>
      <c r="E346" s="5" t="s">
        <v>3292</v>
      </c>
      <c r="F346" s="5" t="s">
        <v>3290</v>
      </c>
      <c r="G346" s="29"/>
      <c r="H346" s="5"/>
      <c r="I346" s="22" t="s">
        <v>3291</v>
      </c>
      <c r="J346" s="16"/>
      <c r="K346" s="25" t="s">
        <v>3286</v>
      </c>
      <c r="L346" s="16" t="s">
        <v>2784</v>
      </c>
      <c r="M346" s="16" t="str">
        <f t="shared" si="40"/>
        <v>UPDATE CIFX.TB_SERVICE_EXECUTION_CONTROL SET EXECUTION_STATE = 'EXECUTED', ap_server_EXECUTING = NULL WHERE SERVICE_EXECUTION_CONTROL_ID IN ('1637687036207976-6994308-79-02') and execution_type = 'STAGE1_EXECUTION';</v>
      </c>
      <c r="N346" s="16" t="str">
        <f t="shared" si="41"/>
        <v>SELECT EXECUTION_TYPE,SERVICE_INTERCHANGE_ID,CIRCI_KEY,EXECUTION_STATE FROM CIFX.TB_SERVICE_EXECUTION_CONTROL WHERE SERVICE_EXECUTION_CONTROL_ID IN ('1637687036207976-6994308-79-02') AND EXECUTION_TYPE = 'STAGE1_EXECUTION';</v>
      </c>
      <c r="O346" s="7" t="str">
        <f t="shared" si="44"/>
        <v>發送異動通知電文給CIP回傳錯誤碼:UP0090_00_V201,錯誤碼訊息:必要性檢核錯誤,錯誤訊息:[檢查有誤，顧客ID已停用]</v>
      </c>
      <c r="P346" s="7" t="str">
        <f t="shared" si="45"/>
        <v>請協助處理</v>
      </c>
      <c r="Q346" s="7" t="s">
        <v>162</v>
      </c>
      <c r="R346" s="7"/>
      <c r="S346" s="16" t="s">
        <v>299</v>
      </c>
      <c r="T346" s="4" t="s">
        <v>3276</v>
      </c>
      <c r="U346" s="4" t="s">
        <v>17</v>
      </c>
      <c r="V346" s="4" t="s">
        <v>1</v>
      </c>
      <c r="W346" s="4" t="s">
        <v>3275</v>
      </c>
      <c r="X346" s="4" t="s">
        <v>3277</v>
      </c>
      <c r="Y346" s="4" t="s">
        <v>3289</v>
      </c>
      <c r="Z346" s="4" t="s">
        <v>3278</v>
      </c>
      <c r="AA346" s="37" t="s">
        <v>3281</v>
      </c>
      <c r="AB346" s="4" t="s">
        <v>1979</v>
      </c>
      <c r="AC346" s="4" t="s">
        <v>2315</v>
      </c>
      <c r="AD346" s="4" t="s">
        <v>3279</v>
      </c>
      <c r="AE346" s="32" t="s">
        <v>3280</v>
      </c>
      <c r="AF346" s="4" t="s">
        <v>3282</v>
      </c>
    </row>
    <row r="347" spans="1:34" x14ac:dyDescent="0.25">
      <c r="A347" s="4" t="str">
        <f t="shared" si="42"/>
        <v>'1638968820846450-9812890-82-02',</v>
      </c>
      <c r="B347" s="4" t="str">
        <f t="shared" si="43"/>
        <v>'1638968821099897-9805932-51-01',</v>
      </c>
      <c r="C347" s="15" t="s">
        <v>3320</v>
      </c>
      <c r="D347" s="5" t="s">
        <v>3316</v>
      </c>
      <c r="E347" s="5" t="s">
        <v>3319</v>
      </c>
      <c r="F347" s="5" t="s">
        <v>3317</v>
      </c>
      <c r="G347" s="29"/>
      <c r="H347" s="5"/>
      <c r="I347" s="22" t="s">
        <v>3318</v>
      </c>
      <c r="J347" s="16"/>
      <c r="K347" s="25" t="s">
        <v>3314</v>
      </c>
      <c r="L347" s="16" t="s">
        <v>2784</v>
      </c>
      <c r="M347" s="16" t="str">
        <f t="shared" si="40"/>
        <v>UPDATE CIFX.TB_SERVICE_EXECUTION_CONTROL SET EXECUTION_STATE = 'EXECUTED', ap_server_EXECUTING = NULL WHERE SERVICE_EXECUTION_CONTROL_ID IN ('1638968820886976-9812890-36-02') and execution_type = 'STAGE1_EXECUTION';</v>
      </c>
      <c r="N347" s="16" t="str">
        <f t="shared" si="41"/>
        <v>SELECT EXECUTION_TYPE,SERVICE_INTERCHANGE_ID,CIRCI_KEY,EXECUTION_STATE FROM CIFX.TB_SERVICE_EXECUTION_CONTROL WHERE SERVICE_EXECUTION_CONTROL_ID IN ('1638968820886976-9812890-36-02') AND EXECUTION_TYPE = 'STAGE1_EXECUTION';</v>
      </c>
      <c r="O347" s="7" t="str">
        <f t="shared" si="44"/>
        <v>發送異動通知電文給CIP回傳錯誤碼:UP0090_00_V201,錯誤碼訊息:必要性檢核錯誤,錯誤訊息:[DEL00000000000001192 顧客 TS0116_00 已刪除，但全行未刪除，無法進行異動建檔]</v>
      </c>
      <c r="P347" s="7" t="str">
        <f>IF(O347="","","請協助處理，該顧客曾在CIFX做過顧客刪除，於CIFX今日建檔")</f>
        <v>請協助處理，該顧客曾在CIFX做過顧客刪除，於CIFX今日建檔</v>
      </c>
      <c r="Q347" s="7" t="s">
        <v>162</v>
      </c>
      <c r="R347" s="7"/>
      <c r="S347" s="16" t="s">
        <v>299</v>
      </c>
      <c r="T347" s="4" t="s">
        <v>3296</v>
      </c>
      <c r="U347" s="4" t="s">
        <v>17</v>
      </c>
      <c r="V347" s="4" t="s">
        <v>3294</v>
      </c>
      <c r="W347" s="4" t="s">
        <v>3295</v>
      </c>
      <c r="X347" s="4" t="s">
        <v>3297</v>
      </c>
      <c r="Y347" s="4" t="s">
        <v>3315</v>
      </c>
      <c r="Z347" s="4" t="s">
        <v>3298</v>
      </c>
      <c r="AA347" s="37" t="s">
        <v>3312</v>
      </c>
      <c r="AB347" s="4" t="s">
        <v>2576</v>
      </c>
      <c r="AC347" s="4" t="s">
        <v>2315</v>
      </c>
      <c r="AD347" s="4" t="s">
        <v>3313</v>
      </c>
      <c r="AE347" s="4" t="s">
        <v>3299</v>
      </c>
      <c r="AF347" s="4" t="s">
        <v>3300</v>
      </c>
    </row>
    <row r="348" spans="1:34" x14ac:dyDescent="0.25">
      <c r="A348" s="4" t="str">
        <f t="shared" si="42"/>
        <v>'1639474736110234-0902341-88-02',</v>
      </c>
      <c r="B348" s="4" t="str">
        <f t="shared" si="43"/>
        <v>'1639474736388258-0910856-09-01',</v>
      </c>
      <c r="C348" s="15" t="s">
        <v>3318</v>
      </c>
      <c r="D348" s="5" t="s">
        <v>3311</v>
      </c>
      <c r="E348" s="5" t="s">
        <v>3318</v>
      </c>
      <c r="F348" s="5" t="s">
        <v>3324</v>
      </c>
      <c r="G348" s="29"/>
      <c r="H348" s="5"/>
      <c r="I348" s="22" t="s">
        <v>3322</v>
      </c>
      <c r="J348" s="16"/>
      <c r="K348" s="25" t="s">
        <v>3321</v>
      </c>
      <c r="L348" s="16" t="s">
        <v>2784</v>
      </c>
      <c r="M348" s="16" t="str">
        <f t="shared" si="40"/>
        <v>UPDATE CIFX.TB_SERVICE_EXECUTION_CONTROL SET EXECUTION_STATE = 'EXECUTED', ap_server_EXECUTING = NULL WHERE SERVICE_EXECUTION_CONTROL_ID IN ('1639474736127239-0902341-01-02') and execution_type = 'STAGE1_EXECUTION';</v>
      </c>
      <c r="N348" s="16" t="str">
        <f t="shared" si="41"/>
        <v>SELECT EXECUTION_TYPE,SERVICE_INTERCHANGE_ID,CIRCI_KEY,EXECUTION_STATE FROM CIFX.TB_SERVICE_EXECUTION_CONTROL WHERE SERVICE_EXECUTION_CONTROL_ID IN ('1639474736127239-0902341-01-02') AND EXECUTION_TYPE = 'STAGE1_EXECUTION';</v>
      </c>
      <c r="O348" s="7" t="str">
        <f t="shared" si="44"/>
        <v>發送異動通知電文給CIP回傳錯誤碼:UP0090_00_V201,錯誤碼訊息:必要性檢核錯誤,錯誤訊息:[檢查有誤，顧客ID已停用]</v>
      </c>
      <c r="P348" s="7" t="str">
        <f>IF(O348="","","請協助處理，該顧客先進行A122011異動後同步失敗(CIP ID停用)，後續有進行顧客刪除")</f>
        <v>請協助處理，該顧客先進行A122011異動後同步失敗(CIP ID停用)，後續有進行顧客刪除</v>
      </c>
      <c r="Q348" s="7" t="s">
        <v>162</v>
      </c>
      <c r="R348" s="7"/>
      <c r="S348" s="16" t="s">
        <v>299</v>
      </c>
      <c r="T348" s="4" t="s">
        <v>3323</v>
      </c>
      <c r="U348" s="4" t="s">
        <v>17</v>
      </c>
      <c r="V348" s="4" t="s">
        <v>1</v>
      </c>
      <c r="W348" s="4" t="s">
        <v>3301</v>
      </c>
      <c r="X348" s="4" t="s">
        <v>3302</v>
      </c>
      <c r="Y348" s="4" t="s">
        <v>3310</v>
      </c>
      <c r="Z348" s="4" t="s">
        <v>3303</v>
      </c>
      <c r="AA348" s="37" t="s">
        <v>3325</v>
      </c>
      <c r="AB348" s="4" t="s">
        <v>3305</v>
      </c>
      <c r="AC348" s="4" t="s">
        <v>2315</v>
      </c>
      <c r="AD348" s="4" t="s">
        <v>3304</v>
      </c>
      <c r="AE348" s="4"/>
      <c r="AF348" s="4"/>
      <c r="AH348" t="s">
        <v>3306</v>
      </c>
    </row>
    <row r="349" spans="1:34" x14ac:dyDescent="0.25">
      <c r="A349" s="4" t="str">
        <f t="shared" si="42"/>
        <v>'1640770060958701-3757796-52-02',</v>
      </c>
      <c r="B349" s="4" t="str">
        <f t="shared" si="43"/>
        <v>'1640770061169332-3758676-96-02',</v>
      </c>
      <c r="C349" s="15" t="s">
        <v>71</v>
      </c>
      <c r="D349" s="5" t="s">
        <v>3364</v>
      </c>
      <c r="E349" s="5" t="s">
        <v>3363</v>
      </c>
      <c r="F349" s="5" t="s">
        <v>3361</v>
      </c>
      <c r="G349" s="29"/>
      <c r="H349" s="5"/>
      <c r="I349" s="22" t="s">
        <v>71</v>
      </c>
      <c r="J349" s="16"/>
      <c r="K349" s="25" t="s">
        <v>3360</v>
      </c>
      <c r="L349" s="16" t="s">
        <v>2784</v>
      </c>
      <c r="M349" s="16" t="str">
        <f t="shared" si="40"/>
        <v>UPDATE CIFX.TB_SERVICE_EXECUTION_CONTROL SET EXECUTION_STATE = 'EXECUTED', ap_server_EXECUTING = NULL WHERE SERVICE_EXECUTION_CONTROL_ID IN ('1640770060987443-3757796-59-02') and execution_type = 'STAGE1_EXECUTION';</v>
      </c>
      <c r="N349" s="16" t="str">
        <f t="shared" si="41"/>
        <v>SELECT EXECUTION_TYPE,SERVICE_INTERCHANGE_ID,CIRCI_KEY,EXECUTION_STATE FROM CIFX.TB_SERVICE_EXECUTION_CONTROL WHERE SERVICE_EXECUTION_CONTROL_ID IN ('1640770060987443-3757796-59-02') AND EXECUTION_TYPE = 'STAGE1_EXECUTION';</v>
      </c>
      <c r="O349" s="7" t="str">
        <f t="shared" si="44"/>
        <v>發送ID改號電文給CIP回傳錯誤碼:UP0090_00_R101,錯誤碼訊息:存在驗證錯誤,錯誤訊息:[ID改號作業-&gt;CIF改號作業-&gt;&lt;檢查有誤，查無符合(改號前)銀行歸戶統編(S22027169A)顧客&gt;]</v>
      </c>
      <c r="P349" s="7" t="str">
        <f>IF(O349="","","請協助處理該顧客於CIFX執行改號但CIP已刪除")</f>
        <v>請協助處理該顧客於CIFX執行改號但CIP已刪除</v>
      </c>
      <c r="Q349" s="7" t="s">
        <v>162</v>
      </c>
      <c r="R349" s="7"/>
      <c r="S349" s="16" t="s">
        <v>299</v>
      </c>
      <c r="T349" s="4" t="s">
        <v>3334</v>
      </c>
      <c r="U349" s="4" t="s">
        <v>17</v>
      </c>
      <c r="V349" s="4" t="s">
        <v>3335</v>
      </c>
      <c r="W349" s="4" t="s">
        <v>3336</v>
      </c>
      <c r="X349" s="4" t="s">
        <v>3326</v>
      </c>
      <c r="Y349" s="4" t="s">
        <v>3327</v>
      </c>
      <c r="Z349" s="4" t="s">
        <v>3328</v>
      </c>
      <c r="AA349" s="37" t="s">
        <v>3329</v>
      </c>
      <c r="AB349" s="4" t="s">
        <v>2209</v>
      </c>
      <c r="AC349" s="4" t="s">
        <v>2315</v>
      </c>
      <c r="AD349" s="4" t="s">
        <v>3330</v>
      </c>
      <c r="AE349" s="4" t="s">
        <v>3331</v>
      </c>
      <c r="AF349" s="4" t="s">
        <v>3332</v>
      </c>
      <c r="AH349" t="s">
        <v>3307</v>
      </c>
    </row>
    <row r="350" spans="1:34" x14ac:dyDescent="0.25">
      <c r="A350" s="4" t="str">
        <f t="shared" si="42"/>
        <v>'1640776720800490-3770657-23-01',</v>
      </c>
      <c r="B350" s="4" t="str">
        <f t="shared" si="43"/>
        <v>'1640776721018384-3770678-03-01',</v>
      </c>
      <c r="C350" s="15" t="s">
        <v>3359</v>
      </c>
      <c r="D350" s="5" t="s">
        <v>3364</v>
      </c>
      <c r="E350" s="5" t="s">
        <v>3362</v>
      </c>
      <c r="F350" s="5" t="s">
        <v>3361</v>
      </c>
      <c r="G350" s="29"/>
      <c r="H350" s="5"/>
      <c r="I350" s="22" t="s">
        <v>71</v>
      </c>
      <c r="J350" s="16"/>
      <c r="K350" s="25" t="s">
        <v>3358</v>
      </c>
      <c r="L350" s="16" t="s">
        <v>2786</v>
      </c>
      <c r="M350" s="16" t="str">
        <f t="shared" si="40"/>
        <v>UPDATE CIFX.TB_SERVICE_EXECUTION_CONTROL SET EXECUTION_STATE = 'TO_EXECUTE',RESULT_CODE = NULL,EXECUTING_TIMESTAMP = null,EXECUTED_TIMESTAMP = null,ap_server_EXECUTING = NULL WHERE SERVICE_EXECUTION_CONTROL_ID IN ('1640776720842161-3770657-75-01') AND EXECUTION_TYPE = 'STAGE1_EXECUTION';</v>
      </c>
      <c r="N350" s="16" t="str">
        <f t="shared" si="41"/>
        <v>SELECT EXECUTION_TYPE,SERVICE_INTERCHANGE_ID,CIRCI_KEY,EXECUTION_STATE FROM CIFX.TB_SERVICE_EXECUTION_CONTROL WHERE SERVICE_EXECUTION_CONTROL_ID IN ('1640776720842161-3770657-75-01') AND EXECUTION_TYPE = 'STAGE1_EXECUTION';</v>
      </c>
      <c r="O350" s="7" t="str">
        <f t="shared" si="44"/>
        <v>發送異動通知電文給CIP回傳錯誤碼:UP0090_00_V201,錯誤碼訊息:必要性檢核錯誤,錯誤訊息:[DEL00000000000001222 顧客 TS0116_00 已刪除，但全行未刪除，無法進行異動建檔]</v>
      </c>
      <c r="P350" s="7" t="str">
        <f t="shared" si="45"/>
        <v>請協助處理</v>
      </c>
      <c r="Q350" s="7" t="s">
        <v>162</v>
      </c>
      <c r="R350" s="7"/>
      <c r="S350" s="16" t="s">
        <v>299</v>
      </c>
      <c r="T350" s="4" t="s">
        <v>3338</v>
      </c>
      <c r="U350" s="4" t="s">
        <v>17</v>
      </c>
      <c r="V350" s="4" t="s">
        <v>3339</v>
      </c>
      <c r="W350" s="4" t="s">
        <v>3340</v>
      </c>
      <c r="X350" s="4" t="s">
        <v>3341</v>
      </c>
      <c r="Y350" s="4" t="s">
        <v>3342</v>
      </c>
      <c r="Z350" s="4" t="s">
        <v>3343</v>
      </c>
      <c r="AA350" s="37" t="s">
        <v>3344</v>
      </c>
      <c r="AB350" s="4" t="s">
        <v>2576</v>
      </c>
      <c r="AC350" s="4" t="s">
        <v>2315</v>
      </c>
      <c r="AD350" s="4" t="s">
        <v>3345</v>
      </c>
      <c r="AE350" s="4" t="s">
        <v>3346</v>
      </c>
      <c r="AF350" s="4" t="s">
        <v>3347</v>
      </c>
      <c r="AH350" t="s">
        <v>3308</v>
      </c>
    </row>
    <row r="351" spans="1:34" ht="66" x14ac:dyDescent="0.25">
      <c r="A351" s="4" t="str">
        <f t="shared" si="42"/>
        <v>'1640856510783131-3954865-88-02',</v>
      </c>
      <c r="B351" s="4" t="str">
        <f t="shared" si="43"/>
        <v>'1640856540989938-3950226-63-01',</v>
      </c>
      <c r="C351" s="15" t="s">
        <v>3356</v>
      </c>
      <c r="D351" s="5" t="s">
        <v>3352</v>
      </c>
      <c r="E351" s="5" t="s">
        <v>3355</v>
      </c>
      <c r="F351" s="5" t="s">
        <v>3354</v>
      </c>
      <c r="G351" s="29"/>
      <c r="H351" s="5"/>
      <c r="I351" s="22" t="s">
        <v>3365</v>
      </c>
      <c r="J351" s="16"/>
      <c r="K351" s="34" t="s">
        <v>3435</v>
      </c>
      <c r="L351" s="16" t="s">
        <v>2784</v>
      </c>
      <c r="M351" s="16" t="str">
        <f t="shared" ref="M351:M414" si="46">IF($L351&lt;&gt;"",IF($L351="清除單筆同步失敗註記","UPDATE CIFX.TB_SERVICE_EXECUTION_CONTROL SET EXECUTION_STATE = "&amp;"'"&amp;"EXECUTED"&amp;"'"&amp;", ap_server_EXECUTING = NULL WHERE SERVICE_EXECUTION_CONTROL_ID IN ("&amp;"'"&amp;$Y351&amp;"'"&amp;") and execution_type = "&amp;"'"&amp;"STAGE1_EXECUTION"&amp;"';"&amp;"",IF($L351="重送單筆CIP電文","UPDATE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("&amp;"'"&amp;$Y351&amp;"'"&amp;") AND EXECUTION_TYPE = "&amp;"'"&amp;"STAGE1_EXECUTION"&amp;"'"&amp;";",IF($L351="清除顧客下同步任務","update cifx.tb_service_execution_control sec set sec.EXECUTION_STATE = "&amp;"'"&amp;"EXECUTED"&amp;"'"&amp;"  where sec.circi_key ="&amp;"'"&amp;AA351&amp;"';",IF($L351="重送顧客下特定同步任務","update cifx.tb_service_execution_control sec set sec.EXECUTION_STATE = "&amp;"'"&amp;"TO_EXECUTE"&amp;"'"&amp;"  where sec.SERVICE_EXECUTION_CONTROL_ID IN ();","沒有對應")))),"")</f>
        <v>UPDATE CIFX.TB_SERVICE_EXECUTION_CONTROL SET EXECUTION_STATE = 'EXECUTED', ap_server_EXECUTING = NULL WHERE SERVICE_EXECUTION_CONTROL_ID IN ('1640856510798978-3954865-94-02') and execution_type = 'STAGE1_EXECUTION';</v>
      </c>
      <c r="N351" s="16" t="str">
        <f t="shared" ref="N351:N414" si="47">IF($L351&lt;&gt;"",IF($L351&lt;&gt;"清除顧客下同步任務","SELECT EXECUTION_TYPE,SERVICE_INTERCHANGE_ID,CIRCI_KEY,EXECUTION_STATE FROM CIFX.TB_SERVICE_EXECUTION_CONTROL WHERE SERVICE_EXECUTION_CONTROL_ID IN ("&amp;"'"&amp;$Y351&amp;"'"&amp;") AND EXECUTION_TYPE = "&amp;"'"&amp;"STAGE1_EXECUTION"&amp;"'"&amp;";","SELECT EXECUTION_TYPE,SERVICE_INTERCHANGE_ID,CIRCI_KEY,EXECUTION_STATE FROM CIFX.TB_SERVICE_EXECUTION_CONTROL SEC   where sec.circi_key ="&amp;"'"&amp;AA351&amp;"'order by req_timestamp desc ;"),"")</f>
        <v>SELECT EXECUTION_TYPE,SERVICE_INTERCHANGE_ID,CIRCI_KEY,EXECUTION_STATE FROM CIFX.TB_SERVICE_EXECUTION_CONTROL WHERE SERVICE_EXECUTION_CONTROL_ID IN ('1640856510798978-3954865-94-02') AND EXECUTION_TYPE = 'STAGE1_EXECUTION';</v>
      </c>
      <c r="O351" s="7" t="str">
        <f t="shared" si="44"/>
        <v>發送ID改號電文時, ESIP無回應!!!!</v>
      </c>
      <c r="P351" s="7" t="str">
        <f t="shared" si="45"/>
        <v>請協助處理</v>
      </c>
      <c r="Q351" s="7"/>
      <c r="R351" s="7"/>
      <c r="S351" s="16"/>
      <c r="T351" s="4" t="s">
        <v>3380</v>
      </c>
      <c r="U351" s="4" t="s">
        <v>17</v>
      </c>
      <c r="V351" s="4" t="s">
        <v>3348</v>
      </c>
      <c r="W351" s="4" t="s">
        <v>3349</v>
      </c>
      <c r="X351" s="4" t="s">
        <v>3379</v>
      </c>
      <c r="Y351" s="4" t="s">
        <v>3353</v>
      </c>
      <c r="Z351" s="4" t="s">
        <v>3350</v>
      </c>
      <c r="AA351" s="37" t="s">
        <v>3351</v>
      </c>
      <c r="AB351" s="4" t="s">
        <v>2209</v>
      </c>
      <c r="AC351" s="4" t="s">
        <v>2315</v>
      </c>
      <c r="AD351" s="4"/>
      <c r="AE351" s="4"/>
      <c r="AF351" s="4"/>
      <c r="AH351" t="s">
        <v>3309</v>
      </c>
    </row>
    <row r="352" spans="1:34" x14ac:dyDescent="0.25">
      <c r="A352" s="4" t="str">
        <f t="shared" si="42"/>
        <v>'1641808367830730-6017018-14-01',</v>
      </c>
      <c r="B352" s="4" t="str">
        <f t="shared" si="43"/>
        <v>'1641808370091062-6012170-77-02',</v>
      </c>
      <c r="C352" s="15" t="s">
        <v>3415</v>
      </c>
      <c r="D352" s="38" t="s">
        <v>3414</v>
      </c>
      <c r="E352" s="5" t="s">
        <v>3412</v>
      </c>
      <c r="F352" s="5" t="s">
        <v>3411</v>
      </c>
      <c r="G352" s="29"/>
      <c r="H352" s="5"/>
      <c r="I352" s="22" t="s">
        <v>3413</v>
      </c>
      <c r="J352" s="16"/>
      <c r="K352" s="25" t="s">
        <v>3372</v>
      </c>
      <c r="L352" s="16" t="s">
        <v>2784</v>
      </c>
      <c r="M352" s="16" t="str">
        <f t="shared" si="46"/>
        <v>UPDATE CIFX.TB_SERVICE_EXECUTION_CONTROL SET EXECUTION_STATE = 'EXECUTED', ap_server_EXECUTING = NULL WHERE SERVICE_EXECUTION_CONTROL_ID IN ('1641808367859946-6017018-63-01') and execution_type = 'STAGE1_EXECUTION';</v>
      </c>
      <c r="N352" s="16" t="str">
        <f t="shared" si="47"/>
        <v>SELECT EXECUTION_TYPE,SERVICE_INTERCHANGE_ID,CIRCI_KEY,EXECUTION_STATE FROM CIFX.TB_SERVICE_EXECUTION_CONTROL WHERE SERVICE_EXECUTION_CONTROL_ID IN ('1641808367859946-6017018-63-01') AND EXECUTION_TYPE = 'STAGE1_EXECUTION';</v>
      </c>
      <c r="O352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funcId=01, custName=謝元致, companyEstablishDate=null, circiKey=S122319031, creditCardKey=null, certNo=S122319031, certDate=Wed Aug 27 00:00:00 GMT+08:00 1975,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goldenRecordItemContent=0370],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goldenRecordItemContent=謝元致],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goldenRecordItemContent=08],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goldenRecordItemContent=0370],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goldenRecordItemContent=0930915500],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goldenRecordItemContent=HSIEH YUAN CHIH],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goldenRecordItemContent=0286853367],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goldenRecordItemContent=7501],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goldenRecordItemContent=0221736699],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goldenRecordItemContent=0286853367],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goldenRecordItemContent=0930915500],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goldenRecordItemContent=hohopa01@gmail.com],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goldenRecordItemContent=新北市],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goldenRecordItemContent=大同里１３鄰中華路１３２之４號十三樓],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goldenRecordItemContent=238],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goldenRecordItemContent=樹林區],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goldenRecordItemContent=元大商業銀行],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goldenRecordItemContent=1975-08-27],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[custId=7638270, custType=P, certTypeCode=00, partyKind=P, oldRestart=false, customerTag=CustomerTag [custId=7638270, custType=P, removalPredicate=null, removalSystemCode=null, refToCustId=0, refDatetime=null, disabledDatetime=null, identityCertTypeCode=00, disabled=null, disabledSystemCode=null], idChangeState=null, creditCardKey=S122319031, circiKey=null, birthDay=1975-08-27 00:00:00.0]；ServiceInterchange:ServiceInterchange [serviceInterchangeId=1641808368179592302, serviceInterchangeTime=Mon Jan 10 09:52:48 GMT+08:00 2022, msgNo=TS0116_00_20220110095248_25372, serviceName=CATEGORY_002, operationName=writeCustomerInfo, txnCode=digiAccOpening, txnTime=Mon Jan 10 09:52:47 GMT+08:00 2022, senderCode=TS0116_00, receiverCode=UP0090_00, operatorCode=TS0116_00, unitCode=0370, authorizerCode=null, serviceResponse=null, queryResponseLineitems=[]], Exception : ]</v>
      </c>
      <c r="P352" s="7" t="str">
        <f t="shared" si="45"/>
        <v>請協助處理</v>
      </c>
      <c r="Q352" s="7"/>
      <c r="R352" s="7"/>
      <c r="S352" s="16"/>
      <c r="T352" s="4" t="s">
        <v>3368</v>
      </c>
      <c r="U352" s="4" t="s">
        <v>17</v>
      </c>
      <c r="V352" s="4" t="s">
        <v>3366</v>
      </c>
      <c r="W352" s="4" t="s">
        <v>3367</v>
      </c>
      <c r="X352" s="4" t="s">
        <v>3377</v>
      </c>
      <c r="Y352" s="4" t="s">
        <v>3373</v>
      </c>
      <c r="Z352" s="4" t="s">
        <v>3369</v>
      </c>
      <c r="AA352" s="37" t="s">
        <v>3371</v>
      </c>
      <c r="AB352" s="4" t="s">
        <v>1973</v>
      </c>
      <c r="AC352" s="4" t="s">
        <v>2315</v>
      </c>
      <c r="AD352" s="4" t="s">
        <v>3370</v>
      </c>
      <c r="AE352" s="4"/>
      <c r="AF352" s="4"/>
      <c r="AH352" t="s">
        <v>2069</v>
      </c>
    </row>
    <row r="353" spans="1:32" ht="132" x14ac:dyDescent="0.25">
      <c r="A353" s="4" t="str">
        <f t="shared" si="42"/>
        <v>'1641899999020699-6221698-35-01',</v>
      </c>
      <c r="B353" s="4" t="str">
        <f t="shared" si="43"/>
        <v>'1641900009224683-6221698-33-01',</v>
      </c>
      <c r="C353" s="15" t="s">
        <v>3430</v>
      </c>
      <c r="D353" s="5" t="s">
        <v>3432</v>
      </c>
      <c r="E353" s="5" t="s">
        <v>3430</v>
      </c>
      <c r="F353" s="5" t="s">
        <v>3433</v>
      </c>
      <c r="G353" s="29"/>
      <c r="H353" s="5"/>
      <c r="I353" s="22" t="s">
        <v>3431</v>
      </c>
      <c r="J353" s="16"/>
      <c r="K353" s="34" t="s">
        <v>3434</v>
      </c>
      <c r="L353" s="16" t="s">
        <v>2786</v>
      </c>
      <c r="M353" s="16" t="str">
        <f t="shared" si="46"/>
        <v>UPDATE CIFX.TB_SERVICE_EXECUTION_CONTROL SET EXECUTION_STATE = 'TO_EXECUTE',RESULT_CODE = NULL,EXECUTING_TIMESTAMP = null,EXECUTED_TIMESTAMP = null,ap_server_EXECUTING = NULL WHERE SERVICE_EXECUTION_CONTROL_ID IN ('1641899999064661-6221664-45-01') AND EXECUTION_TYPE = 'STAGE1_EXECUTION';</v>
      </c>
      <c r="N353" s="16" t="str">
        <f t="shared" si="47"/>
        <v>SELECT EXECUTION_TYPE,SERVICE_INTERCHANGE_ID,CIRCI_KEY,EXECUTION_STATE FROM CIFX.TB_SERVICE_EXECUTION_CONTROL WHERE SERVICE_EXECUTION_CONTROL_ID IN ('1641899999064661-6221664-45-01') AND EXECUTION_TYPE = 'STAGE1_EXECUTION';</v>
      </c>
      <c r="O353" s="7" t="str">
        <f t="shared" si="44"/>
        <v>發送異動通知電文，未回傳resultCode!!,回傳代碼描述:,錯誤訊息:[]</v>
      </c>
      <c r="P353" s="7" t="str">
        <f>IF(O353="","","請協助處理，確認是否有收到此筆msg_no")</f>
        <v>請協助處理，確認是否有收到此筆msg_no</v>
      </c>
      <c r="Q353" s="7" t="s">
        <v>162</v>
      </c>
      <c r="R353" s="7"/>
      <c r="S353" s="16" t="s">
        <v>299</v>
      </c>
      <c r="T353" s="4" t="s">
        <v>3378</v>
      </c>
      <c r="U353" s="4" t="s">
        <v>17</v>
      </c>
      <c r="V353" s="4" t="s">
        <v>900</v>
      </c>
      <c r="W353" s="4" t="s">
        <v>3374</v>
      </c>
      <c r="X353" s="4" t="s">
        <v>3677</v>
      </c>
      <c r="Y353" s="4" t="s">
        <v>3382</v>
      </c>
      <c r="Z353" s="4" t="s">
        <v>3375</v>
      </c>
      <c r="AA353" s="37" t="s">
        <v>3381</v>
      </c>
      <c r="AB353" s="4" t="s">
        <v>3376</v>
      </c>
      <c r="AC353" s="4" t="s">
        <v>2315</v>
      </c>
      <c r="AD353" s="4"/>
      <c r="AE353" s="4"/>
      <c r="AF353" s="4"/>
    </row>
    <row r="354" spans="1:32" x14ac:dyDescent="0.25">
      <c r="A354" s="4" t="str">
        <f t="shared" si="42"/>
        <v>'1641917052787331-6252638-70-02',</v>
      </c>
      <c r="B354" s="4" t="str">
        <f t="shared" si="43"/>
        <v>'1641917053160597-6263715-06-02',</v>
      </c>
      <c r="C354" s="15" t="s">
        <v>27</v>
      </c>
      <c r="D354" s="5" t="s">
        <v>3404</v>
      </c>
      <c r="E354" s="5" t="s">
        <v>3452</v>
      </c>
      <c r="F354" s="5" t="s">
        <v>3448</v>
      </c>
      <c r="G354" s="29"/>
      <c r="H354" s="5"/>
      <c r="I354" s="22" t="s">
        <v>3453</v>
      </c>
      <c r="J354" s="16"/>
      <c r="K354" s="25" t="s">
        <v>3447</v>
      </c>
      <c r="L354" s="16" t="s">
        <v>2784</v>
      </c>
      <c r="M354" s="16" t="str">
        <f t="shared" si="46"/>
        <v>UPDATE CIFX.TB_SERVICE_EXECUTION_CONTROL SET EXECUTION_STATE = 'EXECUTED', ap_server_EXECUTING = NULL WHERE SERVICE_EXECUTION_CONTROL_ID IN ('1641917052793857-6252638-75-02') and execution_type = 'STAGE1_EXECUTION';</v>
      </c>
      <c r="N354" s="16" t="str">
        <f t="shared" si="47"/>
        <v>SELECT EXECUTION_TYPE,SERVICE_INTERCHANGE_ID,CIRCI_KEY,EXECUTION_STATE FROM CIFX.TB_SERVICE_EXECUTION_CONTROL WHERE SERVICE_EXECUTION_CONTROL_ID IN ('1641917052793857-6252638-75-02') AND EXECUTION_TYPE = 'STAGE1_EXECUTION';</v>
      </c>
      <c r="O354" s="7" t="str">
        <f t="shared" si="44"/>
        <v>發送ID改號電文給CIP回傳錯誤碼:UP0090_00_R101</v>
      </c>
      <c r="P354" s="7" t="str">
        <f t="shared" si="45"/>
        <v>請協助處理</v>
      </c>
      <c r="Q354" s="7" t="s">
        <v>162</v>
      </c>
      <c r="R354" s="7"/>
      <c r="S354" s="16" t="s">
        <v>299</v>
      </c>
      <c r="T354" s="4" t="s">
        <v>3389</v>
      </c>
      <c r="U354" s="4" t="s">
        <v>17</v>
      </c>
      <c r="V354" s="4" t="s">
        <v>3384</v>
      </c>
      <c r="W354" s="4" t="s">
        <v>3385</v>
      </c>
      <c r="X354" s="4" t="s">
        <v>3390</v>
      </c>
      <c r="Y354" s="4" t="s">
        <v>3391</v>
      </c>
      <c r="Z354" s="4" t="s">
        <v>3392</v>
      </c>
      <c r="AA354" s="37" t="s">
        <v>3405</v>
      </c>
      <c r="AB354" s="4" t="s">
        <v>2209</v>
      </c>
      <c r="AC354" s="4" t="s">
        <v>2315</v>
      </c>
      <c r="AD354" s="4" t="s">
        <v>3400</v>
      </c>
      <c r="AE354" s="4" t="s">
        <v>3406</v>
      </c>
      <c r="AF354" s="4"/>
    </row>
    <row r="355" spans="1:32" x14ac:dyDescent="0.25">
      <c r="A355" s="4" t="str">
        <f t="shared" si="42"/>
        <v>'1641916872147410-6252432-99-02',</v>
      </c>
      <c r="B355" s="4" t="str">
        <f t="shared" si="43"/>
        <v>'1641916872450239-6263467-35-02',</v>
      </c>
      <c r="C355" s="15" t="s">
        <v>27</v>
      </c>
      <c r="D355" s="5" t="s">
        <v>3404</v>
      </c>
      <c r="E355" s="5" t="s">
        <v>3450</v>
      </c>
      <c r="F355" s="5" t="s">
        <v>3448</v>
      </c>
      <c r="G355" s="29"/>
      <c r="H355" s="5"/>
      <c r="I355" s="22" t="s">
        <v>3453</v>
      </c>
      <c r="J355" s="16"/>
      <c r="K355" s="25" t="s">
        <v>3447</v>
      </c>
      <c r="L355" s="16" t="s">
        <v>2784</v>
      </c>
      <c r="M355" s="16" t="str">
        <f t="shared" si="46"/>
        <v>UPDATE CIFX.TB_SERVICE_EXECUTION_CONTROL SET EXECUTION_STATE = 'EXECUTED', ap_server_EXECUTING = NULL WHERE SERVICE_EXECUTION_CONTROL_ID IN ('1641916872151004-6252432-05-02') and execution_type = 'STAGE1_EXECUTION';</v>
      </c>
      <c r="N355" s="16" t="str">
        <f t="shared" si="47"/>
        <v>SELECT EXECUTION_TYPE,SERVICE_INTERCHANGE_ID,CIRCI_KEY,EXECUTION_STATE FROM CIFX.TB_SERVICE_EXECUTION_CONTROL WHERE SERVICE_EXECUTION_CONTROL_ID IN ('1641916872151004-6252432-05-02') AND EXECUTION_TYPE = 'STAGE1_EXECUTION';</v>
      </c>
      <c r="O355" s="7" t="str">
        <f t="shared" si="44"/>
        <v>發送ID改號電文給CIP回傳錯誤碼:UP0090_00_R101</v>
      </c>
      <c r="P355" s="7" t="str">
        <f t="shared" si="45"/>
        <v>請協助處理</v>
      </c>
      <c r="Q355" s="7" t="s">
        <v>162</v>
      </c>
      <c r="R355" s="7"/>
      <c r="S355" s="16" t="s">
        <v>299</v>
      </c>
      <c r="T355" s="4" t="s">
        <v>3393</v>
      </c>
      <c r="U355" s="4" t="s">
        <v>17</v>
      </c>
      <c r="V355" s="4" t="s">
        <v>3384</v>
      </c>
      <c r="W355" s="4" t="s">
        <v>3385</v>
      </c>
      <c r="X355" s="4" t="s">
        <v>3394</v>
      </c>
      <c r="Y355" s="4" t="s">
        <v>3395</v>
      </c>
      <c r="Z355" s="4" t="s">
        <v>3396</v>
      </c>
      <c r="AA355" s="37" t="s">
        <v>3407</v>
      </c>
      <c r="AB355" s="4" t="s">
        <v>2209</v>
      </c>
      <c r="AC355" s="4" t="s">
        <v>2315</v>
      </c>
      <c r="AD355" s="4" t="s">
        <v>3401</v>
      </c>
      <c r="AE355" s="4" t="s">
        <v>3408</v>
      </c>
      <c r="AF355" s="4"/>
    </row>
    <row r="356" spans="1:32" x14ac:dyDescent="0.25">
      <c r="A356" s="4" t="str">
        <f t="shared" si="42"/>
        <v>'1641910515011494-6244876-87-02',</v>
      </c>
      <c r="B356" s="4" t="str">
        <f t="shared" si="43"/>
        <v>'1641910515311286-6253733-08-01',</v>
      </c>
      <c r="C356" s="15" t="s">
        <v>27</v>
      </c>
      <c r="D356" s="5" t="s">
        <v>3404</v>
      </c>
      <c r="E356" s="5" t="s">
        <v>3453</v>
      </c>
      <c r="F356" s="5" t="s">
        <v>3448</v>
      </c>
      <c r="G356" s="29"/>
      <c r="H356" s="5"/>
      <c r="I356" s="22" t="s">
        <v>3454</v>
      </c>
      <c r="J356" s="16"/>
      <c r="K356" s="25" t="s">
        <v>3447</v>
      </c>
      <c r="L356" s="16" t="s">
        <v>2784</v>
      </c>
      <c r="M356" s="16" t="str">
        <f t="shared" si="46"/>
        <v>UPDATE CIFX.TB_SERVICE_EXECUTION_CONTROL SET EXECUTION_STATE = 'EXECUTED', ap_server_EXECUTING = NULL WHERE SERVICE_EXECUTION_CONTROL_ID IN ('1641910515016619-6244876-92-02') and execution_type = 'STAGE1_EXECUTION';</v>
      </c>
      <c r="N356" s="16" t="str">
        <f t="shared" si="47"/>
        <v>SELECT EXECUTION_TYPE,SERVICE_INTERCHANGE_ID,CIRCI_KEY,EXECUTION_STATE FROM CIFX.TB_SERVICE_EXECUTION_CONTROL WHERE SERVICE_EXECUTION_CONTROL_ID IN ('1641910515016619-6244876-92-02') AND EXECUTION_TYPE = 'STAGE1_EXECUTION';</v>
      </c>
      <c r="O356" s="7" t="str">
        <f t="shared" si="44"/>
        <v>發送ID改號電文給CIP回傳錯誤碼:UP0090_00_R101</v>
      </c>
      <c r="P356" s="7" t="str">
        <f t="shared" si="45"/>
        <v>請協助處理</v>
      </c>
      <c r="Q356" s="7" t="s">
        <v>162</v>
      </c>
      <c r="R356" s="7"/>
      <c r="S356" s="16" t="s">
        <v>299</v>
      </c>
      <c r="T356" s="4" t="s">
        <v>3402</v>
      </c>
      <c r="U356" s="4" t="s">
        <v>17</v>
      </c>
      <c r="V356" s="4" t="s">
        <v>3384</v>
      </c>
      <c r="W356" s="4" t="s">
        <v>3385</v>
      </c>
      <c r="X356" s="4" t="s">
        <v>3397</v>
      </c>
      <c r="Y356" s="4" t="s">
        <v>3398</v>
      </c>
      <c r="Z356" s="4" t="s">
        <v>3399</v>
      </c>
      <c r="AA356" s="37" t="s">
        <v>3409</v>
      </c>
      <c r="AB356" s="4" t="s">
        <v>2209</v>
      </c>
      <c r="AC356" s="4" t="s">
        <v>2315</v>
      </c>
      <c r="AD356" s="4" t="s">
        <v>3403</v>
      </c>
      <c r="AE356" s="4" t="s">
        <v>3410</v>
      </c>
      <c r="AF356" s="4"/>
    </row>
    <row r="357" spans="1:32" ht="148.5" x14ac:dyDescent="0.25">
      <c r="A357" s="4" t="str">
        <f t="shared" si="42"/>
        <v>'1641920359730453-6267621-76-02',</v>
      </c>
      <c r="B357" s="4" t="str">
        <f t="shared" si="43"/>
        <v>'1641920359970831-6274925-19-01',</v>
      </c>
      <c r="C357" s="15" t="s">
        <v>3618</v>
      </c>
      <c r="D357" s="38" t="s">
        <v>3699</v>
      </c>
      <c r="E357" s="5"/>
      <c r="F357" s="38"/>
      <c r="G357" s="29"/>
      <c r="H357" s="5"/>
      <c r="I357" s="22"/>
      <c r="J357" s="16"/>
      <c r="K357" s="34" t="s">
        <v>3429</v>
      </c>
      <c r="L357" s="16" t="s">
        <v>2784</v>
      </c>
      <c r="M357" s="16" t="str">
        <f t="shared" si="46"/>
        <v>UPDATE CIFX.TB_SERVICE_EXECUTION_CONTROL SET EXECUTION_STATE = 'EXECUTED', ap_server_EXECUTING = NULL WHERE SERVICE_EXECUTION_CONTROL_ID IN ('1641920359776125-6267621-95-02') and execution_type = 'STAGE1_EXECUTION';</v>
      </c>
      <c r="N357" s="16" t="str">
        <f t="shared" si="47"/>
        <v>SELECT EXECUTION_TYPE,SERVICE_INTERCHANGE_ID,CIRCI_KEY,EXECUTION_STATE FROM CIFX.TB_SERVICE_EXECUTION_CONTROL WHERE SERVICE_EXECUTION_CONTROL_ID IN ('1641920359776125-6267621-95-02') AND EXECUTION_TYPE = 'STAGE1_EXECUTION';</v>
      </c>
      <c r="O357" s="7" t="str">
        <f t="shared" si="44"/>
        <v>發送異動通知電文給CIP回傳錯誤碼:UP0090_00_V201,錯誤碼訊息:必要性檢核錯誤,錯誤訊息:[CIP顧客識別取號:當系統為TS0116_00時顧客姓名不可為空值]</v>
      </c>
      <c r="P357" s="7" t="str">
        <f t="shared" si="45"/>
        <v>請協助處理</v>
      </c>
      <c r="Q357" s="7" t="s">
        <v>162</v>
      </c>
      <c r="R357" s="7"/>
      <c r="S357" s="16" t="s">
        <v>299</v>
      </c>
      <c r="T357" s="4" t="s">
        <v>3417</v>
      </c>
      <c r="U357" s="4" t="s">
        <v>17</v>
      </c>
      <c r="V357" s="4" t="s">
        <v>67</v>
      </c>
      <c r="W357" s="4" t="s">
        <v>3416</v>
      </c>
      <c r="X357" s="4" t="s">
        <v>3612</v>
      </c>
      <c r="Y357" s="4" t="s">
        <v>3418</v>
      </c>
      <c r="Z357" s="4" t="s">
        <v>3419</v>
      </c>
      <c r="AA357" s="37" t="s">
        <v>3611</v>
      </c>
      <c r="AB357" s="4" t="s">
        <v>3421</v>
      </c>
      <c r="AC357" s="4" t="s">
        <v>2315</v>
      </c>
      <c r="AD357" s="4" t="s">
        <v>3420</v>
      </c>
      <c r="AE357" s="4"/>
      <c r="AF357" s="4"/>
    </row>
    <row r="358" spans="1:32" ht="82.5" x14ac:dyDescent="0.25">
      <c r="A358" s="4" t="str">
        <f t="shared" si="42"/>
        <v>'1641980843497435-6401887-88-01',</v>
      </c>
      <c r="B358" s="4" t="str">
        <f t="shared" si="43"/>
        <v>'1641980873856894-6403966-17-02',</v>
      </c>
      <c r="C358" s="15" t="s">
        <v>3452</v>
      </c>
      <c r="D358" s="5" t="s">
        <v>3428</v>
      </c>
      <c r="E358" s="5" t="s">
        <v>3450</v>
      </c>
      <c r="F358" s="5" t="s">
        <v>3455</v>
      </c>
      <c r="G358" s="29"/>
      <c r="H358" s="5"/>
      <c r="I358" s="22" t="s">
        <v>3450</v>
      </c>
      <c r="J358" s="16"/>
      <c r="K358" s="34" t="s">
        <v>3647</v>
      </c>
      <c r="L358" s="16" t="s">
        <v>2786</v>
      </c>
      <c r="M358" s="16" t="str">
        <f t="shared" si="46"/>
        <v>UPDATE CIFX.TB_SERVICE_EXECUTION_CONTROL SET EXECUTION_STATE = 'TO_EXECUTE',RESULT_CODE = NULL,EXECUTING_TIMESTAMP = null,EXECUTED_TIMESTAMP = null,ap_server_EXECUTING = NULL WHERE SERVICE_EXECUTION_CONTROL_ID IN ('1641980843644558-6403966-08-02') AND EXECUTION_TYPE = 'STAGE1_EXECUTION';</v>
      </c>
      <c r="N358" s="16" t="str">
        <f t="shared" si="47"/>
        <v>SELECT EXECUTION_TYPE,SERVICE_INTERCHANGE_ID,CIRCI_KEY,EXECUTION_STATE FROM CIFX.TB_SERVICE_EXECUTION_CONTROL WHERE SERVICE_EXECUTION_CONTROL_ID IN ('1641980843644558-6403966-08-02') AND EXECUTION_TYPE = 'STAGE1_EXECUTION';</v>
      </c>
      <c r="O358" s="7" t="str">
        <f t="shared" si="44"/>
        <v>發送異動通知電文，未回傳resultCode!!,回傳代碼描述:,錯誤訊息:[]</v>
      </c>
      <c r="P358" s="7" t="str">
        <f>IF(O358="","","請協助處理確認是否有收到該筆MSG_NO")</f>
        <v>請協助處理確認是否有收到該筆MSG_NO</v>
      </c>
      <c r="Q358" s="7" t="s">
        <v>162</v>
      </c>
      <c r="R358" s="7"/>
      <c r="S358" s="16" t="s">
        <v>299</v>
      </c>
      <c r="T358" s="4" t="s">
        <v>3423</v>
      </c>
      <c r="U358" s="4" t="s">
        <v>17</v>
      </c>
      <c r="V358" s="4" t="s">
        <v>900</v>
      </c>
      <c r="W358" s="4" t="s">
        <v>3422</v>
      </c>
      <c r="X358" s="4" t="s">
        <v>3425</v>
      </c>
      <c r="Y358" s="4" t="s">
        <v>3424</v>
      </c>
      <c r="Z358" s="4" t="s">
        <v>3427</v>
      </c>
      <c r="AA358" s="37" t="s">
        <v>3426</v>
      </c>
      <c r="AB358" s="4" t="s">
        <v>2688</v>
      </c>
      <c r="AC358" s="4" t="s">
        <v>2315</v>
      </c>
      <c r="AD358" s="4"/>
      <c r="AE358" s="4"/>
      <c r="AF358" s="4"/>
    </row>
    <row r="359" spans="1:32" ht="66" x14ac:dyDescent="0.25">
      <c r="A359" s="4" t="str">
        <f t="shared" si="42"/>
        <v>'1642072224214364-6605099-86-02',</v>
      </c>
      <c r="B359" s="4" t="str">
        <f t="shared" si="43"/>
        <v>'1642072224517315-6616931-14-01',</v>
      </c>
      <c r="C359" s="15" t="s">
        <v>3451</v>
      </c>
      <c r="D359" s="38" t="s">
        <v>3449</v>
      </c>
      <c r="E359" s="5" t="s">
        <v>3450</v>
      </c>
      <c r="F359" s="5" t="s">
        <v>3448</v>
      </c>
      <c r="G359" s="29"/>
      <c r="H359" s="5"/>
      <c r="I359" s="22" t="s">
        <v>3452</v>
      </c>
      <c r="J359" s="16"/>
      <c r="K359" s="25" t="s">
        <v>3447</v>
      </c>
      <c r="L359" s="16" t="s">
        <v>2784</v>
      </c>
      <c r="M359" s="16" t="str">
        <f t="shared" si="46"/>
        <v>UPDATE CIFX.TB_SERVICE_EXECUTION_CONTROL SET EXECUTION_STATE = 'EXECUTED', ap_server_EXECUTING = NULL WHERE SERVICE_EXECUTION_CONTROL_ID IN ('1642072224220425-6605099-91-02') and execution_type = 'STAGE1_EXECUTION';</v>
      </c>
      <c r="N359" s="16" t="str">
        <f t="shared" si="47"/>
        <v>SELECT EXECUTION_TYPE,SERVICE_INTERCHANGE_ID,CIRCI_KEY,EXECUTION_STATE FROM CIFX.TB_SERVICE_EXECUTION_CONTROL WHERE SERVICE_EXECUTION_CONTROL_ID IN ('1642072224220425-6605099-91-02') AND EXECUTION_TYPE = 'STAGE1_EXECUTION';</v>
      </c>
      <c r="O359" s="7" t="str">
        <f t="shared" si="44"/>
        <v>發送ID改號電文給CIP回傳錯誤碼:UP0090_00_R101,錯誤碼訊息:存在驗證錯誤,錯誤訊息:[檢查有誤，顧客曾經執行過ID改號，將交由資料管家處理]</v>
      </c>
      <c r="P359" s="7" t="str">
        <f t="shared" si="45"/>
        <v>請協助處理</v>
      </c>
      <c r="Q359" s="7" t="s">
        <v>162</v>
      </c>
      <c r="R359" s="7"/>
      <c r="S359" s="16" t="s">
        <v>299</v>
      </c>
      <c r="T359" s="4" t="s">
        <v>3439</v>
      </c>
      <c r="U359" s="4" t="s">
        <v>17</v>
      </c>
      <c r="V359" s="4" t="s">
        <v>18</v>
      </c>
      <c r="W359" s="4" t="s">
        <v>3437</v>
      </c>
      <c r="X359" s="4" t="s">
        <v>3440</v>
      </c>
      <c r="Y359" s="4" t="s">
        <v>3441</v>
      </c>
      <c r="Z359" s="4" t="s">
        <v>3442</v>
      </c>
      <c r="AA359" s="37" t="s">
        <v>3444</v>
      </c>
      <c r="AB359" s="4" t="s">
        <v>2209</v>
      </c>
      <c r="AC359" s="4" t="s">
        <v>2315</v>
      </c>
      <c r="AD359" s="4" t="s">
        <v>3443</v>
      </c>
      <c r="AE359" s="32" t="s">
        <v>3445</v>
      </c>
      <c r="AF359" s="4" t="s">
        <v>3446</v>
      </c>
    </row>
    <row r="360" spans="1:32" x14ac:dyDescent="0.25">
      <c r="A360" s="4" t="str">
        <f t="shared" si="42"/>
        <v>'1642488940063588-7517809-13-02',</v>
      </c>
      <c r="B360" s="4" t="str">
        <f t="shared" si="43"/>
        <v>'1642488941832801-7517831-13-02',</v>
      </c>
      <c r="C360" s="15" t="s">
        <v>3485</v>
      </c>
      <c r="D360" s="38" t="s">
        <v>3487</v>
      </c>
      <c r="E360" s="5" t="s">
        <v>3483</v>
      </c>
      <c r="F360" s="5" t="s">
        <v>3475</v>
      </c>
      <c r="G360" s="29"/>
      <c r="H360" s="5"/>
      <c r="I360" s="22" t="s">
        <v>3484</v>
      </c>
      <c r="J360" s="16"/>
      <c r="K360" s="25" t="s">
        <v>3474</v>
      </c>
      <c r="L360" s="16" t="s">
        <v>2784</v>
      </c>
      <c r="M360" s="16" t="str">
        <f t="shared" si="46"/>
        <v>UPDATE CIFX.TB_SERVICE_EXECUTION_CONTROL SET EXECUTION_STATE = 'EXECUTED', ap_server_EXECUTING = NULL WHERE SERVICE_EXECUTION_CONTROL_ID IN ('1642488940824783-7517876-59-02') and execution_type = 'STAGE1_EXECUTION';</v>
      </c>
      <c r="N360" s="16" t="str">
        <f t="shared" si="47"/>
        <v>SELECT EXECUTION_TYPE,SERVICE_INTERCHANGE_ID,CIRCI_KEY,EXECUTION_STATE FROM CIFX.TB_SERVICE_EXECUTION_CONTROL WHERE SERVICE_EXECUTION_CONTROL_ID IN ('1642488940824783-7517876-59-02') AND EXECUTION_TYPE = 'STAGE1_EXECUTION';</v>
      </c>
      <c r="O360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funcId=01, custName=null, companyEstablishDate=null, circiKey=C221119474, creditCardKey=null, certNo=C221119474, certDate=Wed Jul 20 00:00:00 GMT+08:00 1983,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[custId=1686031, custType=P, certTypeCode=00, partyKind=P, oldRestart=false, customerTag=CustomerTag [custId=1686031, custType=P, removalPredicate=null, removalSystemCode=null, refToCustId=0, refDatetime=null, disabledDatetime=null, identityCertTypeCode=00, disabled=null, disabledSystemCode=null], idChangeState=null, creditCardKey=C221119474, circiKey=C221119474, birthDay=1983-07-20 00:00:00.0]；ServiceInterchange:ServiceInterchange [serviceInterchangeId=1642488941437298901, serviceInterchangeTime=Tue Jan 18 06:55:41 GMT+08:00 2022, msgNo=TS0116_00_20220118065541_53511, serviceName=CATEGORY_002, operationName=writeCustomerInfo, txnCode=01, txnTime=Tue Jan 18 06:55:40 GMT+08:00 2022, senderCode=TS0116_00, receiverCode=UP0090_00, operatorCode=ZZ, unitCode=9004, authorizerCode=null, serviceResponse=null, queryResponseLineitems=[]], Exception : ]</v>
      </c>
      <c r="P360" s="7" t="str">
        <f t="shared" si="45"/>
        <v>請協助處理</v>
      </c>
      <c r="Q360" s="7"/>
      <c r="R360" s="7"/>
      <c r="S360" s="16"/>
      <c r="T360" s="4" t="s">
        <v>3472</v>
      </c>
      <c r="U360" s="4" t="s">
        <v>17</v>
      </c>
      <c r="V360" s="4" t="s">
        <v>3456</v>
      </c>
      <c r="W360" s="4" t="s">
        <v>3457</v>
      </c>
      <c r="X360" s="4" t="s">
        <v>3470</v>
      </c>
      <c r="Y360" s="4" t="s">
        <v>3473</v>
      </c>
      <c r="Z360" s="4" t="s">
        <v>3461</v>
      </c>
      <c r="AA360" s="37" t="s">
        <v>3469</v>
      </c>
      <c r="AB360" s="4" t="s">
        <v>2688</v>
      </c>
      <c r="AC360" s="4" t="s">
        <v>2352</v>
      </c>
      <c r="AD360" s="4" t="s">
        <v>3462</v>
      </c>
      <c r="AE360" s="4" t="s">
        <v>3463</v>
      </c>
      <c r="AF360" s="4" t="s">
        <v>3464</v>
      </c>
    </row>
    <row r="361" spans="1:32" x14ac:dyDescent="0.25">
      <c r="A361" s="4" t="str">
        <f t="shared" si="42"/>
        <v>'1642449661276748-7434041-55-02',</v>
      </c>
      <c r="B361" s="4" t="str">
        <f t="shared" si="43"/>
        <v>'1642449661820885-7434919-44-02',</v>
      </c>
      <c r="C361" s="15" t="s">
        <v>3619</v>
      </c>
      <c r="D361" s="38" t="s">
        <v>3620</v>
      </c>
      <c r="E361" s="5" t="s">
        <v>3621</v>
      </c>
      <c r="F361" s="5" t="s">
        <v>3622</v>
      </c>
      <c r="G361" s="29"/>
      <c r="H361" s="5"/>
      <c r="I361" s="22" t="s">
        <v>3619</v>
      </c>
      <c r="J361" s="16" t="s">
        <v>3486</v>
      </c>
      <c r="K361" s="25" t="s">
        <v>3623</v>
      </c>
      <c r="L361" s="16" t="s">
        <v>2786</v>
      </c>
      <c r="M361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('1642449661304372-7434041-05-02') AND EXECUTION_TYPE = 'STAGE1_EXECUTION';</v>
      </c>
      <c r="N361" s="16" t="str">
        <f t="shared" si="47"/>
        <v>SELECT EXECUTION_TYPE,SERVICE_INTERCHANGE_ID,CIRCI_KEY,EXECUTION_STATE FROM CIFX.TB_SERVICE_EXECUTION_CONTROL WHERE SERVICE_EXECUTION_CONTROL_ID IN ('1642449661304372-7434041-05-02') AND EXECUTION_TYPE = 'STAGE1_EXECUTION';</v>
      </c>
      <c r="O361" s="7" t="str">
        <f t="shared" si="44"/>
        <v>發送異動通知電文給CIP回傳錯誤碼:UP0090_00_V201,錯誤碼訊息:必要性檢核錯誤,錯誤訊息:[DEL00000000000001246 顧客 TS0116_00 已刪除，但全行未刪除，無法進行異動建檔]</v>
      </c>
      <c r="P361" s="7" t="str">
        <f t="shared" si="45"/>
        <v>請協助處理</v>
      </c>
      <c r="Q361" s="7" t="s">
        <v>162</v>
      </c>
      <c r="R361" s="7"/>
      <c r="S361" s="16" t="s">
        <v>299</v>
      </c>
      <c r="T361" s="4" t="s">
        <v>3624</v>
      </c>
      <c r="U361" s="4" t="s">
        <v>17</v>
      </c>
      <c r="V361" s="4" t="s">
        <v>3468</v>
      </c>
      <c r="W361" s="4" t="s">
        <v>3460</v>
      </c>
      <c r="X361" s="4" t="s">
        <v>3625</v>
      </c>
      <c r="Y361" s="4" t="s">
        <v>3626</v>
      </c>
      <c r="Z361" s="4" t="s">
        <v>3465</v>
      </c>
      <c r="AA361" s="37" t="s">
        <v>3627</v>
      </c>
      <c r="AB361" s="4" t="s">
        <v>1973</v>
      </c>
      <c r="AC361" s="4" t="s">
        <v>2315</v>
      </c>
      <c r="AD361" s="4" t="s">
        <v>3466</v>
      </c>
      <c r="AE361" s="4" t="s">
        <v>3628</v>
      </c>
      <c r="AF361" s="4" t="s">
        <v>3629</v>
      </c>
    </row>
    <row r="362" spans="1:32" ht="33" x14ac:dyDescent="0.25">
      <c r="A362" s="4" t="str">
        <f t="shared" si="42"/>
        <v>'1642513434140031-7569874-94-01',</v>
      </c>
      <c r="B362" s="3" t="str">
        <f t="shared" si="43"/>
        <v>'1642513434435887-7569927-93-01',</v>
      </c>
      <c r="C362" s="15" t="s">
        <v>3613</v>
      </c>
      <c r="D362" s="38" t="s">
        <v>3616</v>
      </c>
      <c r="E362" s="5" t="s">
        <v>3617</v>
      </c>
      <c r="F362" s="5" t="s">
        <v>3696</v>
      </c>
      <c r="G362" s="29"/>
      <c r="H362" s="5"/>
      <c r="I362" s="22" t="s">
        <v>3614</v>
      </c>
      <c r="J362" s="16" t="s">
        <v>3615</v>
      </c>
      <c r="K362" s="34" t="s">
        <v>3488</v>
      </c>
      <c r="L362" s="16" t="s">
        <v>2786</v>
      </c>
      <c r="M362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('1642513434183318-7569874-61-01') AND EXECUTION_TYPE = 'STAGE1_EXECUTION';</v>
      </c>
      <c r="N362" s="16" t="str">
        <f t="shared" si="47"/>
        <v>SELECT EXECUTION_TYPE,SERVICE_INTERCHANGE_ID,CIRCI_KEY,EXECUTION_STATE FROM CIFX.TB_SERVICE_EXECUTION_CONTROL WHERE SERVICE_EXECUTION_CONTROL_ID IN ('1642513434183318-7569874-61-01') AND EXECUTION_TYPE = 'STAGE1_EXECUTION';</v>
      </c>
      <c r="O362" s="7" t="str">
        <f t="shared" si="44"/>
        <v>發送異動通知電文給CIP回傳錯誤碼:UP0090_00_V201,錯誤碼訊息:必要性檢核錯誤,錯誤訊息:[DEL00000000000001249 顧客 TS0116_00 已刪除，但全行未刪除，無法進行異動建檔]</v>
      </c>
      <c r="P362" s="7" t="str">
        <f t="shared" si="45"/>
        <v>請協助處理</v>
      </c>
      <c r="Q362" s="7" t="s">
        <v>162</v>
      </c>
      <c r="R362" s="7"/>
      <c r="S362" s="16" t="s">
        <v>299</v>
      </c>
      <c r="T362" s="4" t="s">
        <v>3479</v>
      </c>
      <c r="U362" s="4" t="s">
        <v>17</v>
      </c>
      <c r="V362" s="4" t="s">
        <v>3477</v>
      </c>
      <c r="W362" s="4" t="s">
        <v>3478</v>
      </c>
      <c r="X362" s="4" t="s">
        <v>3601</v>
      </c>
      <c r="Y362" s="4" t="s">
        <v>3602</v>
      </c>
      <c r="Z362" s="4" t="s">
        <v>3480</v>
      </c>
      <c r="AA362" s="37" t="s">
        <v>3482</v>
      </c>
      <c r="AB362" s="4" t="s">
        <v>2576</v>
      </c>
      <c r="AC362" s="4" t="s">
        <v>2315</v>
      </c>
      <c r="AD362" s="4" t="s">
        <v>3481</v>
      </c>
      <c r="AE362" s="4" t="s">
        <v>3464</v>
      </c>
      <c r="AF362" s="4" t="s">
        <v>3467</v>
      </c>
    </row>
    <row r="363" spans="1:32" x14ac:dyDescent="0.25">
      <c r="A363" s="4" t="str">
        <f t="shared" si="42"/>
        <v>'1642586070774195-7730231-84-01',</v>
      </c>
      <c r="B363" s="4" t="str">
        <f t="shared" si="43"/>
        <v>'1642586071102217-7730866-08-01',</v>
      </c>
      <c r="C363" s="15" t="s">
        <v>3608</v>
      </c>
      <c r="D363" s="5" t="s">
        <v>3609</v>
      </c>
      <c r="E363" s="5" t="s">
        <v>3603</v>
      </c>
      <c r="F363" s="5" t="s">
        <v>3610</v>
      </c>
      <c r="G363" s="29"/>
      <c r="H363" s="5"/>
      <c r="I363" s="5" t="s">
        <v>3603</v>
      </c>
      <c r="J363" s="16"/>
      <c r="K363" s="25" t="s">
        <v>3592</v>
      </c>
      <c r="L363" s="16" t="s">
        <v>2786</v>
      </c>
      <c r="M363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('1642586070776334-7730231-86-01') AND EXECUTION_TYPE = 'STAGE1_EXECUTION';</v>
      </c>
      <c r="N363" s="16" t="str">
        <f t="shared" si="47"/>
        <v>SELECT EXECUTION_TYPE,SERVICE_INTERCHANGE_ID,CIRCI_KEY,EXECUTION_STATE FROM CIFX.TB_SERVICE_EXECUTION_CONTROL WHERE SERVICE_EXECUTION_CONTROL_ID IN ('1642586070776334-7730231-86-01') AND EXECUTION_TYPE = 'STAGE1_EXECUTION';</v>
      </c>
      <c r="O363" s="7" t="str">
        <f t="shared" si="44"/>
        <v>發送異動通知電文給CIP回傳錯誤碼:UP0090_00_V201,錯誤碼訊息:必要性檢核錯誤,錯誤訊息:[CIP顧客識別取號:當系統為TS0116_00時顧客姓名不可為空值]</v>
      </c>
      <c r="P363" s="7" t="str">
        <f t="shared" si="45"/>
        <v>請協助處理</v>
      </c>
      <c r="Q363" s="7" t="s">
        <v>162</v>
      </c>
      <c r="R363" s="7"/>
      <c r="S363" s="16" t="s">
        <v>299</v>
      </c>
      <c r="T363" s="4" t="s">
        <v>3494</v>
      </c>
      <c r="U363" s="4" t="s">
        <v>17</v>
      </c>
      <c r="V363" s="4" t="s">
        <v>67</v>
      </c>
      <c r="W363" s="4" t="s">
        <v>3490</v>
      </c>
      <c r="X363" s="4" t="s">
        <v>3495</v>
      </c>
      <c r="Y363" s="4" t="s">
        <v>3496</v>
      </c>
      <c r="Z363" s="4" t="s">
        <v>3497</v>
      </c>
      <c r="AA363" s="37" t="s">
        <v>3513</v>
      </c>
      <c r="AB363" s="4" t="s">
        <v>1977</v>
      </c>
      <c r="AC363" s="4" t="s">
        <v>2315</v>
      </c>
      <c r="AD363" s="4" t="s">
        <v>3498</v>
      </c>
      <c r="AE363" s="4" t="s">
        <v>3500</v>
      </c>
      <c r="AF363" s="4" t="s">
        <v>3499</v>
      </c>
    </row>
    <row r="364" spans="1:32" x14ac:dyDescent="0.25">
      <c r="A364" s="4" t="str">
        <f t="shared" si="42"/>
        <v>'1642585625157854-7728968-62-01',</v>
      </c>
      <c r="B364" s="4" t="str">
        <f t="shared" si="43"/>
        <v>'1642585625501933-7735743-03-02',</v>
      </c>
      <c r="C364" s="15" t="s">
        <v>3608</v>
      </c>
      <c r="D364" s="5" t="s">
        <v>3591</v>
      </c>
      <c r="E364" s="5" t="s">
        <v>3603</v>
      </c>
      <c r="F364" s="5" t="s">
        <v>3593</v>
      </c>
      <c r="G364" s="29"/>
      <c r="H364" s="5"/>
      <c r="I364" s="5" t="s">
        <v>3603</v>
      </c>
      <c r="J364" s="16"/>
      <c r="K364" s="25" t="s">
        <v>3592</v>
      </c>
      <c r="L364" s="16" t="s">
        <v>2786</v>
      </c>
      <c r="M364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('1642585625162121-7728968-64-01') AND EXECUTION_TYPE = 'STAGE1_EXECUTION';</v>
      </c>
      <c r="N364" s="16" t="str">
        <f t="shared" si="47"/>
        <v>SELECT EXECUTION_TYPE,SERVICE_INTERCHANGE_ID,CIRCI_KEY,EXECUTION_STATE FROM CIFX.TB_SERVICE_EXECUTION_CONTROL WHERE SERVICE_EXECUTION_CONTROL_ID IN ('1642585625162121-7728968-64-01') AND EXECUTION_TYPE = 'STAGE1_EXECUTION';</v>
      </c>
      <c r="O364" s="7" t="str">
        <f t="shared" si="44"/>
        <v>發送異動通知電文給CIP回傳錯誤碼:UP0090_00_V201,錯誤碼訊息:必要性檢核錯誤,錯誤訊息:[CIP顧客識別取號:當系統為TS0116_00時顧客姓名不可為空值]</v>
      </c>
      <c r="P364" s="7" t="str">
        <f t="shared" si="45"/>
        <v>請協助處理</v>
      </c>
      <c r="Q364" s="7" t="s">
        <v>162</v>
      </c>
      <c r="R364" s="7"/>
      <c r="S364" s="16" t="s">
        <v>299</v>
      </c>
      <c r="T364" s="4" t="s">
        <v>3501</v>
      </c>
      <c r="U364" s="4" t="s">
        <v>17</v>
      </c>
      <c r="V364" s="4" t="s">
        <v>67</v>
      </c>
      <c r="W364" s="4" t="s">
        <v>3492</v>
      </c>
      <c r="X364" s="4" t="s">
        <v>3502</v>
      </c>
      <c r="Y364" s="4" t="s">
        <v>3503</v>
      </c>
      <c r="Z364" s="4" t="s">
        <v>3504</v>
      </c>
      <c r="AA364" s="37">
        <v>91470992</v>
      </c>
      <c r="AB364" s="4" t="s">
        <v>1977</v>
      </c>
      <c r="AC364" s="4" t="s">
        <v>2315</v>
      </c>
      <c r="AD364" s="4" t="s">
        <v>3505</v>
      </c>
      <c r="AE364" s="4" t="s">
        <v>3500</v>
      </c>
      <c r="AF364" s="4" t="s">
        <v>3499</v>
      </c>
    </row>
    <row r="365" spans="1:32" x14ac:dyDescent="0.25">
      <c r="A365" s="4" t="str">
        <f t="shared" si="42"/>
        <v>'1642587399570219-7737792-09-02',</v>
      </c>
      <c r="B365" s="4" t="str">
        <f t="shared" si="43"/>
        <v>'1642587399783577-7732440-36-01',</v>
      </c>
      <c r="C365" s="15" t="s">
        <v>3608</v>
      </c>
      <c r="D365" s="5" t="s">
        <v>3591</v>
      </c>
      <c r="E365" s="5" t="s">
        <v>3603</v>
      </c>
      <c r="F365" s="5" t="s">
        <v>3593</v>
      </c>
      <c r="G365" s="29"/>
      <c r="H365" s="5"/>
      <c r="I365" s="5" t="s">
        <v>3603</v>
      </c>
      <c r="J365" s="16"/>
      <c r="K365" s="25" t="s">
        <v>3592</v>
      </c>
      <c r="L365" s="16" t="s">
        <v>2786</v>
      </c>
      <c r="M365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('1642587399628251-7737899-19-02') AND EXECUTION_TYPE = 'STAGE1_EXECUTION';</v>
      </c>
      <c r="N365" s="16" t="str">
        <f t="shared" si="47"/>
        <v>SELECT EXECUTION_TYPE,SERVICE_INTERCHANGE_ID,CIRCI_KEY,EXECUTION_STATE FROM CIFX.TB_SERVICE_EXECUTION_CONTROL WHERE SERVICE_EXECUTION_CONTROL_ID IN ('1642587399628251-7737899-19-02') AND EXECUTION_TYPE = 'STAGE1_EXECUTION';</v>
      </c>
      <c r="O365" s="7" t="str">
        <f t="shared" si="44"/>
        <v>發送異動通知電文給CIP回傳錯誤碼:UP0090_00_V201,錯誤碼訊息:必要性檢核錯誤,錯誤訊息:[CIP顧客識別取號:當系統為TS0116_00時顧客姓名不可為空值]</v>
      </c>
      <c r="P365" s="7" t="str">
        <f t="shared" si="45"/>
        <v>請協助處理</v>
      </c>
      <c r="Q365" s="7" t="s">
        <v>162</v>
      </c>
      <c r="R365" s="7"/>
      <c r="S365" s="16" t="s">
        <v>299</v>
      </c>
      <c r="T365" s="4" t="s">
        <v>3508</v>
      </c>
      <c r="U365" s="4" t="s">
        <v>17</v>
      </c>
      <c r="V365" s="4" t="s">
        <v>67</v>
      </c>
      <c r="W365" s="4" t="s">
        <v>3507</v>
      </c>
      <c r="X365" s="4" t="s">
        <v>3509</v>
      </c>
      <c r="Y365" s="4" t="s">
        <v>3510</v>
      </c>
      <c r="Z365" s="4" t="s">
        <v>3511</v>
      </c>
      <c r="AA365" s="37" t="s">
        <v>3514</v>
      </c>
      <c r="AB365" s="4" t="s">
        <v>3376</v>
      </c>
      <c r="AC365" s="4" t="s">
        <v>2315</v>
      </c>
      <c r="AD365" s="4" t="s">
        <v>3512</v>
      </c>
      <c r="AE365" s="4" t="s">
        <v>331</v>
      </c>
      <c r="AF365" s="4" t="s">
        <v>331</v>
      </c>
    </row>
    <row r="366" spans="1:32" x14ac:dyDescent="0.25">
      <c r="A366" s="4" t="str">
        <f t="shared" si="42"/>
        <v>'1642588890377811-7739556-21-02',</v>
      </c>
      <c r="B366" s="4" t="str">
        <f t="shared" si="43"/>
        <v>'1642588890574834-7739682-46-02',</v>
      </c>
      <c r="C366" s="15" t="s">
        <v>3608</v>
      </c>
      <c r="D366" s="5" t="s">
        <v>3591</v>
      </c>
      <c r="E366" s="5" t="s">
        <v>3603</v>
      </c>
      <c r="F366" s="5" t="s">
        <v>3593</v>
      </c>
      <c r="G366" s="29"/>
      <c r="H366" s="5"/>
      <c r="I366" s="5" t="s">
        <v>3603</v>
      </c>
      <c r="J366" s="16"/>
      <c r="K366" s="25" t="s">
        <v>3592</v>
      </c>
      <c r="L366" s="16" t="s">
        <v>2786</v>
      </c>
      <c r="M366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('1642588890419610-7739555-26-02') AND EXECUTION_TYPE = 'STAGE1_EXECUTION';</v>
      </c>
      <c r="N366" s="16" t="str">
        <f t="shared" si="47"/>
        <v>SELECT EXECUTION_TYPE,SERVICE_INTERCHANGE_ID,CIRCI_KEY,EXECUTION_STATE FROM CIFX.TB_SERVICE_EXECUTION_CONTROL WHERE SERVICE_EXECUTION_CONTROL_ID IN ('1642588890419610-7739555-26-02') AND EXECUTION_TYPE = 'STAGE1_EXECUTION';</v>
      </c>
      <c r="O366" s="7" t="str">
        <f t="shared" si="44"/>
        <v>發送異動通知電文給CIP回傳錯誤碼:UP0090_00_V201,錯誤碼訊息:必要性檢核錯誤,錯誤訊息:[CIP顧客識別取號:當系統為TS0116_00時顧客姓名不可為空值]</v>
      </c>
      <c r="P366" s="7" t="str">
        <f t="shared" si="45"/>
        <v>請協助處理</v>
      </c>
      <c r="Q366" s="7"/>
      <c r="R366" s="7"/>
      <c r="S366" s="16"/>
      <c r="T366" s="4" t="s">
        <v>3517</v>
      </c>
      <c r="U366" s="4" t="s">
        <v>17</v>
      </c>
      <c r="V366" s="4" t="s">
        <v>67</v>
      </c>
      <c r="W366" s="4" t="s">
        <v>3516</v>
      </c>
      <c r="X366" s="4" t="s">
        <v>3518</v>
      </c>
      <c r="Y366" s="4" t="s">
        <v>3519</v>
      </c>
      <c r="Z366" s="4" t="s">
        <v>3520</v>
      </c>
      <c r="AA366" s="37">
        <v>53596628</v>
      </c>
      <c r="AB366" s="4" t="s">
        <v>3376</v>
      </c>
      <c r="AC366" s="4" t="s">
        <v>2315</v>
      </c>
      <c r="AD366" s="4" t="s">
        <v>3521</v>
      </c>
      <c r="AE366" s="4" t="s">
        <v>331</v>
      </c>
      <c r="AF366" s="4" t="s">
        <v>331</v>
      </c>
    </row>
    <row r="367" spans="1:32" x14ac:dyDescent="0.25">
      <c r="A367" s="4" t="str">
        <f t="shared" si="42"/>
        <v>'1642604898839092-7778158-68-02',</v>
      </c>
      <c r="B367" s="4" t="str">
        <f t="shared" si="43"/>
        <v>'1642604899042317-7772539-93-01',</v>
      </c>
      <c r="C367" s="15" t="s">
        <v>3608</v>
      </c>
      <c r="D367" s="49" t="s">
        <v>3590</v>
      </c>
      <c r="E367" s="5" t="s">
        <v>3603</v>
      </c>
      <c r="F367" s="5" t="s">
        <v>3695</v>
      </c>
      <c r="G367" s="29"/>
      <c r="H367" s="5"/>
      <c r="I367" s="5" t="s">
        <v>3603</v>
      </c>
      <c r="J367" s="16"/>
      <c r="K367" s="25" t="s">
        <v>3592</v>
      </c>
      <c r="L367" s="16" t="s">
        <v>2786</v>
      </c>
      <c r="M367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('1642604898898038-7778164-81-02') AND EXECUTION_TYPE = 'STAGE1_EXECUTION';</v>
      </c>
      <c r="N367" s="16" t="str">
        <f t="shared" si="47"/>
        <v>SELECT EXECUTION_TYPE,SERVICE_INTERCHANGE_ID,CIRCI_KEY,EXECUTION_STATE FROM CIFX.TB_SERVICE_EXECUTION_CONTROL WHERE SERVICE_EXECUTION_CONTROL_ID IN ('1642604898898038-7778164-81-02') AND EXECUTION_TYPE = 'STAGE1_EXECUTION';</v>
      </c>
      <c r="O367" s="7" t="str">
        <f t="shared" si="44"/>
        <v>發送異動通知電文給CIP回傳錯誤碼:UP0090_00_V201,錯誤碼訊息:必要性檢核錯誤,錯誤訊息:[CIP顧客識別取號:當系統為TS0116_00時顧客姓名不可為空值]</v>
      </c>
      <c r="P367" s="7" t="str">
        <f t="shared" si="45"/>
        <v>請協助處理</v>
      </c>
      <c r="Q367" s="7"/>
      <c r="R367" s="7"/>
      <c r="S367" s="16"/>
      <c r="T367" s="4" t="s">
        <v>3542</v>
      </c>
      <c r="U367" s="4" t="s">
        <v>17</v>
      </c>
      <c r="V367" s="4" t="s">
        <v>67</v>
      </c>
      <c r="W367" s="4" t="s">
        <v>3522</v>
      </c>
      <c r="X367" s="4" t="s">
        <v>3543</v>
      </c>
      <c r="Y367" s="4" t="s">
        <v>3544</v>
      </c>
      <c r="Z367" s="4" t="s">
        <v>3545</v>
      </c>
      <c r="AA367" s="37" t="s">
        <v>3583</v>
      </c>
      <c r="AB367" s="4" t="s">
        <v>3376</v>
      </c>
      <c r="AC367" s="4" t="s">
        <v>2315</v>
      </c>
      <c r="AD367" s="4" t="s">
        <v>3546</v>
      </c>
      <c r="AE367" s="4" t="s">
        <v>331</v>
      </c>
      <c r="AF367" s="4" t="s">
        <v>331</v>
      </c>
    </row>
    <row r="368" spans="1:32" x14ac:dyDescent="0.25">
      <c r="A368" s="4" t="str">
        <f t="shared" si="42"/>
        <v>'1642600399339467-7762202-39-02',</v>
      </c>
      <c r="B368" s="4" t="str">
        <f t="shared" si="43"/>
        <v>'1642600399927802-7767475-63-01',</v>
      </c>
      <c r="C368" s="15" t="s">
        <v>3608</v>
      </c>
      <c r="D368" s="5" t="s">
        <v>3591</v>
      </c>
      <c r="E368" s="5" t="s">
        <v>3603</v>
      </c>
      <c r="F368" s="5" t="s">
        <v>3593</v>
      </c>
      <c r="G368" s="29"/>
      <c r="H368" s="5"/>
      <c r="I368" s="5" t="s">
        <v>3603</v>
      </c>
      <c r="J368" s="16"/>
      <c r="K368" s="25" t="s">
        <v>3592</v>
      </c>
      <c r="L368" s="16" t="s">
        <v>2786</v>
      </c>
      <c r="M368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('1642600399345174-7762202-41-02') AND EXECUTION_TYPE = 'STAGE1_EXECUTION';</v>
      </c>
      <c r="N368" s="16" t="str">
        <f t="shared" si="47"/>
        <v>SELECT EXECUTION_TYPE,SERVICE_INTERCHANGE_ID,CIRCI_KEY,EXECUTION_STATE FROM CIFX.TB_SERVICE_EXECUTION_CONTROL WHERE SERVICE_EXECUTION_CONTROL_ID IN ('1642600399345174-7762202-41-02') AND EXECUTION_TYPE = 'STAGE1_EXECUTION';</v>
      </c>
      <c r="O368" s="7" t="str">
        <f t="shared" si="44"/>
        <v>發送異動通知電文給CIP回傳錯誤碼:UP0090_00_V201,錯誤碼訊息:必要性檢核錯誤,錯誤訊息:[CIP顧客識別取號:當系統為TS0116_00時顧客姓名不可為空值]</v>
      </c>
      <c r="P368" s="7" t="str">
        <f t="shared" si="45"/>
        <v>請協助處理</v>
      </c>
      <c r="Q368" s="7"/>
      <c r="R368" s="7"/>
      <c r="S368" s="16"/>
      <c r="T368" s="4" t="s">
        <v>3547</v>
      </c>
      <c r="U368" s="4" t="s">
        <v>17</v>
      </c>
      <c r="V368" s="4" t="s">
        <v>67</v>
      </c>
      <c r="W368" s="4" t="s">
        <v>3523</v>
      </c>
      <c r="X368" s="4" t="s">
        <v>3548</v>
      </c>
      <c r="Y368" s="4" t="s">
        <v>3549</v>
      </c>
      <c r="Z368" s="4" t="s">
        <v>3550</v>
      </c>
      <c r="AA368" s="37" t="s">
        <v>3584</v>
      </c>
      <c r="AB368" s="4" t="s">
        <v>1977</v>
      </c>
      <c r="AC368" s="4" t="s">
        <v>2315</v>
      </c>
      <c r="AD368" s="4" t="s">
        <v>3551</v>
      </c>
      <c r="AE368" s="4" t="s">
        <v>331</v>
      </c>
      <c r="AF368" s="4" t="s">
        <v>331</v>
      </c>
    </row>
    <row r="369" spans="1:32" x14ac:dyDescent="0.25">
      <c r="A369" s="4" t="str">
        <f t="shared" si="42"/>
        <v>'1642599027914963-7764795-61-01',</v>
      </c>
      <c r="B369" s="4" t="str">
        <f t="shared" si="43"/>
        <v>'1642599028276106-7765958-86-01',</v>
      </c>
      <c r="C369" s="15" t="s">
        <v>3608</v>
      </c>
      <c r="D369" s="5" t="s">
        <v>3591</v>
      </c>
      <c r="E369" s="5" t="s">
        <v>3603</v>
      </c>
      <c r="F369" s="5" t="s">
        <v>3593</v>
      </c>
      <c r="G369" s="29"/>
      <c r="H369" s="5"/>
      <c r="I369" s="5" t="s">
        <v>3603</v>
      </c>
      <c r="J369" s="16"/>
      <c r="K369" s="25" t="s">
        <v>3592</v>
      </c>
      <c r="L369" s="16" t="s">
        <v>2786</v>
      </c>
      <c r="M369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('1642599027918707-7764795-65-01') AND EXECUTION_TYPE = 'STAGE1_EXECUTION';</v>
      </c>
      <c r="N369" s="16" t="str">
        <f t="shared" si="47"/>
        <v>SELECT EXECUTION_TYPE,SERVICE_INTERCHANGE_ID,CIRCI_KEY,EXECUTION_STATE FROM CIFX.TB_SERVICE_EXECUTION_CONTROL WHERE SERVICE_EXECUTION_CONTROL_ID IN ('1642599027918707-7764795-65-01') AND EXECUTION_TYPE = 'STAGE1_EXECUTION';</v>
      </c>
      <c r="O369" s="7" t="str">
        <f t="shared" si="44"/>
        <v>發送異動通知電文給CIP回傳錯誤碼:UP0090_00_V201,錯誤碼訊息:必要性檢核錯誤,錯誤訊息:[CIP顧客識別取號:當系統為TS0116_00時顧客姓名不可為空值]</v>
      </c>
      <c r="P369" s="7" t="str">
        <f t="shared" si="45"/>
        <v>請協助處理</v>
      </c>
      <c r="Q369" s="7"/>
      <c r="R369" s="7"/>
      <c r="S369" s="16"/>
      <c r="T369" s="4" t="s">
        <v>3552</v>
      </c>
      <c r="U369" s="4" t="s">
        <v>17</v>
      </c>
      <c r="V369" s="4" t="s">
        <v>67</v>
      </c>
      <c r="W369" s="4" t="s">
        <v>3524</v>
      </c>
      <c r="X369" s="4" t="s">
        <v>3553</v>
      </c>
      <c r="Y369" s="4" t="s">
        <v>3554</v>
      </c>
      <c r="Z369" s="4" t="s">
        <v>3555</v>
      </c>
      <c r="AA369" s="37" t="s">
        <v>3585</v>
      </c>
      <c r="AB369" s="4" t="s">
        <v>1977</v>
      </c>
      <c r="AC369" s="4" t="s">
        <v>2315</v>
      </c>
      <c r="AD369" s="4" t="s">
        <v>3556</v>
      </c>
      <c r="AE369" s="4" t="s">
        <v>331</v>
      </c>
      <c r="AF369" s="4" t="s">
        <v>331</v>
      </c>
    </row>
    <row r="370" spans="1:32" x14ac:dyDescent="0.25">
      <c r="A370" s="4" t="str">
        <f t="shared" si="42"/>
        <v>'1642596341737272-7758321-29-02',</v>
      </c>
      <c r="B370" s="4" t="str">
        <f t="shared" si="43"/>
        <v>'1642596341974359-7762871-51-01',</v>
      </c>
      <c r="C370" s="15" t="s">
        <v>3608</v>
      </c>
      <c r="D370" s="5" t="s">
        <v>3591</v>
      </c>
      <c r="E370" s="5" t="s">
        <v>3603</v>
      </c>
      <c r="F370" s="5" t="s">
        <v>3593</v>
      </c>
      <c r="G370" s="29"/>
      <c r="H370" s="5"/>
      <c r="I370" s="5" t="s">
        <v>3603</v>
      </c>
      <c r="J370" s="16"/>
      <c r="K370" s="25" t="s">
        <v>3592</v>
      </c>
      <c r="L370" s="16" t="s">
        <v>2786</v>
      </c>
      <c r="M370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('1642596341825396-7758329-42-02') AND EXECUTION_TYPE = 'STAGE1_EXECUTION';</v>
      </c>
      <c r="N370" s="16" t="str">
        <f t="shared" si="47"/>
        <v>SELECT EXECUTION_TYPE,SERVICE_INTERCHANGE_ID,CIRCI_KEY,EXECUTION_STATE FROM CIFX.TB_SERVICE_EXECUTION_CONTROL WHERE SERVICE_EXECUTION_CONTROL_ID IN ('1642596341825396-7758329-42-02') AND EXECUTION_TYPE = 'STAGE1_EXECUTION';</v>
      </c>
      <c r="O370" s="7" t="str">
        <f t="shared" si="44"/>
        <v>發送異動通知電文給CIP回傳錯誤碼:UP0090_00_V201,錯誤碼訊息:必要性檢核錯誤,錯誤訊息:[CIP顧客識別取號:當系統為TS0116_00時顧客姓名不可為空值]</v>
      </c>
      <c r="P370" s="7" t="str">
        <f t="shared" si="45"/>
        <v>請協助處理</v>
      </c>
      <c r="Q370" s="7"/>
      <c r="R370" s="7"/>
      <c r="S370" s="16"/>
      <c r="T370" s="4" t="s">
        <v>3557</v>
      </c>
      <c r="U370" s="4" t="s">
        <v>17</v>
      </c>
      <c r="V370" s="4" t="s">
        <v>67</v>
      </c>
      <c r="W370" s="4" t="s">
        <v>3525</v>
      </c>
      <c r="X370" s="4" t="s">
        <v>3558</v>
      </c>
      <c r="Y370" s="4" t="s">
        <v>3559</v>
      </c>
      <c r="Z370" s="4" t="s">
        <v>3560</v>
      </c>
      <c r="AA370" s="37" t="s">
        <v>3586</v>
      </c>
      <c r="AB370" s="4" t="s">
        <v>3561</v>
      </c>
      <c r="AC370" s="4" t="s">
        <v>2315</v>
      </c>
      <c r="AD370" s="4" t="s">
        <v>3562</v>
      </c>
      <c r="AE370" s="4" t="s">
        <v>331</v>
      </c>
      <c r="AF370" s="4" t="s">
        <v>331</v>
      </c>
    </row>
    <row r="371" spans="1:32" x14ac:dyDescent="0.25">
      <c r="A371" s="4" t="str">
        <f t="shared" si="42"/>
        <v>'1642591254936139-7742553-18-02',</v>
      </c>
      <c r="B371" s="4" t="str">
        <f t="shared" si="43"/>
        <v>'1642591255221862-7747047-74-01',</v>
      </c>
      <c r="C371" s="15" t="s">
        <v>3608</v>
      </c>
      <c r="D371" s="5" t="s">
        <v>3591</v>
      </c>
      <c r="E371" s="5" t="s">
        <v>3603</v>
      </c>
      <c r="F371" s="5" t="s">
        <v>3593</v>
      </c>
      <c r="G371" s="29"/>
      <c r="H371" s="5"/>
      <c r="I371" s="5" t="s">
        <v>3603</v>
      </c>
      <c r="J371" s="16"/>
      <c r="K371" s="25" t="s">
        <v>3592</v>
      </c>
      <c r="L371" s="16" t="s">
        <v>2786</v>
      </c>
      <c r="M371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('1642591255011578-7742525-55-02') AND EXECUTION_TYPE = 'STAGE1_EXECUTION';</v>
      </c>
      <c r="N371" s="16" t="str">
        <f t="shared" si="47"/>
        <v>SELECT EXECUTION_TYPE,SERVICE_INTERCHANGE_ID,CIRCI_KEY,EXECUTION_STATE FROM CIFX.TB_SERVICE_EXECUTION_CONTROL WHERE SERVICE_EXECUTION_CONTROL_ID IN ('1642591255011578-7742525-55-02') AND EXECUTION_TYPE = 'STAGE1_EXECUTION';</v>
      </c>
      <c r="O371" s="7" t="str">
        <f t="shared" si="44"/>
        <v>發送異動通知電文給CIP回傳錯誤碼:UP0090_00_V201,錯誤碼訊息:必要性檢核錯誤,錯誤訊息:[CIP顧客識別取號:當系統為TS0116_00時顧客姓名不可為空值]</v>
      </c>
      <c r="P371" s="7" t="str">
        <f t="shared" si="45"/>
        <v>請協助處理</v>
      </c>
      <c r="Q371" s="7"/>
      <c r="R371" s="7"/>
      <c r="S371" s="16"/>
      <c r="T371" s="4" t="s">
        <v>3563</v>
      </c>
      <c r="U371" s="4" t="s">
        <v>17</v>
      </c>
      <c r="V371" s="4" t="s">
        <v>67</v>
      </c>
      <c r="W371" s="4" t="s">
        <v>3526</v>
      </c>
      <c r="X371" s="4" t="s">
        <v>3564</v>
      </c>
      <c r="Y371" s="4" t="s">
        <v>3565</v>
      </c>
      <c r="Z371" s="4" t="s">
        <v>3566</v>
      </c>
      <c r="AA371" s="37" t="s">
        <v>3587</v>
      </c>
      <c r="AB371" s="4" t="s">
        <v>3561</v>
      </c>
      <c r="AC371" s="4" t="s">
        <v>2315</v>
      </c>
      <c r="AD371" s="4" t="s">
        <v>3567</v>
      </c>
      <c r="AE371" s="4" t="s">
        <v>331</v>
      </c>
      <c r="AF371" s="4" t="s">
        <v>331</v>
      </c>
    </row>
    <row r="372" spans="1:32" x14ac:dyDescent="0.25">
      <c r="A372" s="4" t="str">
        <f t="shared" si="42"/>
        <v>'1642591025664579-7742311-45-02',</v>
      </c>
      <c r="B372" s="4" t="str">
        <f t="shared" si="43"/>
        <v>'1642591025930348-7742525-74-02',</v>
      </c>
      <c r="C372" s="15" t="s">
        <v>3608</v>
      </c>
      <c r="D372" s="5" t="s">
        <v>3591</v>
      </c>
      <c r="E372" s="5" t="s">
        <v>3603</v>
      </c>
      <c r="F372" s="5" t="s">
        <v>3593</v>
      </c>
      <c r="G372" s="29"/>
      <c r="H372" s="5"/>
      <c r="I372" s="5" t="s">
        <v>3603</v>
      </c>
      <c r="J372" s="16"/>
      <c r="K372" s="25" t="s">
        <v>3592</v>
      </c>
      <c r="L372" s="16" t="s">
        <v>2786</v>
      </c>
      <c r="M372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('1642591025735458-7746572-59-01') AND EXECUTION_TYPE = 'STAGE1_EXECUTION';</v>
      </c>
      <c r="N372" s="16" t="str">
        <f t="shared" si="47"/>
        <v>SELECT EXECUTION_TYPE,SERVICE_INTERCHANGE_ID,CIRCI_KEY,EXECUTION_STATE FROM CIFX.TB_SERVICE_EXECUTION_CONTROL WHERE SERVICE_EXECUTION_CONTROL_ID IN ('1642591025735458-7746572-59-01') AND EXECUTION_TYPE = 'STAGE1_EXECUTION';</v>
      </c>
      <c r="O372" s="7" t="str">
        <f t="shared" si="44"/>
        <v>發送異動通知電文給CIP回傳錯誤碼:UP0090_00_V201,錯誤碼訊息:必要性檢核錯誤,錯誤訊息:[CIP顧客識別取號:當系統為TS0116_00時顧客姓名不可為空值]</v>
      </c>
      <c r="P372" s="7" t="str">
        <f t="shared" si="45"/>
        <v>請協助處理</v>
      </c>
      <c r="Q372" s="7"/>
      <c r="R372" s="7"/>
      <c r="S372" s="16"/>
      <c r="T372" s="4" t="s">
        <v>3568</v>
      </c>
      <c r="U372" s="4" t="s">
        <v>17</v>
      </c>
      <c r="V372" s="4" t="s">
        <v>67</v>
      </c>
      <c r="W372" s="4" t="s">
        <v>3527</v>
      </c>
      <c r="X372" s="4" t="s">
        <v>3569</v>
      </c>
      <c r="Y372" s="4" t="s">
        <v>3570</v>
      </c>
      <c r="Z372" s="4" t="s">
        <v>3571</v>
      </c>
      <c r="AA372" s="37" t="s">
        <v>3588</v>
      </c>
      <c r="AB372" s="4" t="s">
        <v>3376</v>
      </c>
      <c r="AC372" s="4" t="s">
        <v>2315</v>
      </c>
      <c r="AD372" s="4" t="s">
        <v>3572</v>
      </c>
      <c r="AE372" s="4" t="s">
        <v>331</v>
      </c>
      <c r="AF372" s="4" t="s">
        <v>331</v>
      </c>
    </row>
    <row r="373" spans="1:32" x14ac:dyDescent="0.25">
      <c r="A373" s="4" t="str">
        <f t="shared" si="42"/>
        <v>'1642591018328066-7742525-22-02',</v>
      </c>
      <c r="B373" s="4" t="str">
        <f t="shared" si="43"/>
        <v>'1642591018568672-7742525-47-02',</v>
      </c>
      <c r="C373" s="15" t="s">
        <v>3608</v>
      </c>
      <c r="D373" s="5" t="s">
        <v>3591</v>
      </c>
      <c r="E373" s="5" t="s">
        <v>3603</v>
      </c>
      <c r="F373" s="5" t="s">
        <v>3593</v>
      </c>
      <c r="G373" s="29"/>
      <c r="H373" s="5"/>
      <c r="I373" s="5" t="s">
        <v>3603</v>
      </c>
      <c r="J373" s="16"/>
      <c r="K373" s="25" t="s">
        <v>3592</v>
      </c>
      <c r="L373" s="16" t="s">
        <v>2786</v>
      </c>
      <c r="M373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('1642591018434529-7746561-32-01') AND EXECUTION_TYPE = 'STAGE1_EXECUTION';</v>
      </c>
      <c r="N373" s="16" t="str">
        <f t="shared" si="47"/>
        <v>SELECT EXECUTION_TYPE,SERVICE_INTERCHANGE_ID,CIRCI_KEY,EXECUTION_STATE FROM CIFX.TB_SERVICE_EXECUTION_CONTROL WHERE SERVICE_EXECUTION_CONTROL_ID IN ('1642591018434529-7746561-32-01') AND EXECUTION_TYPE = 'STAGE1_EXECUTION';</v>
      </c>
      <c r="O373" s="7" t="str">
        <f t="shared" si="44"/>
        <v>發送異動通知電文給CIP回傳錯誤碼:UP0090_00_V201,錯誤碼訊息:必要性檢核錯誤,錯誤訊息:[CIP顧客識別取號:當系統為TS0116_00時顧客姓名不可為空值]</v>
      </c>
      <c r="P373" s="7" t="str">
        <f t="shared" si="45"/>
        <v>請協助處理</v>
      </c>
      <c r="Q373" s="7"/>
      <c r="R373" s="7"/>
      <c r="S373" s="16"/>
      <c r="T373" s="4" t="s">
        <v>3573</v>
      </c>
      <c r="U373" s="4" t="s">
        <v>17</v>
      </c>
      <c r="V373" s="4" t="s">
        <v>67</v>
      </c>
      <c r="W373" s="4" t="s">
        <v>3528</v>
      </c>
      <c r="X373" s="4" t="s">
        <v>3574</v>
      </c>
      <c r="Y373" s="4" t="s">
        <v>3575</v>
      </c>
      <c r="Z373" s="4" t="s">
        <v>3576</v>
      </c>
      <c r="AA373" s="37" t="s">
        <v>3589</v>
      </c>
      <c r="AB373" s="4" t="s">
        <v>3376</v>
      </c>
      <c r="AC373" s="4" t="s">
        <v>2315</v>
      </c>
      <c r="AD373" s="4" t="s">
        <v>3577</v>
      </c>
      <c r="AE373" s="4" t="s">
        <v>331</v>
      </c>
      <c r="AF373" s="4" t="s">
        <v>331</v>
      </c>
    </row>
    <row r="374" spans="1:32" x14ac:dyDescent="0.25">
      <c r="A374" s="4" t="str">
        <f t="shared" si="42"/>
        <v>'1642589145428132-7743066-93-01',</v>
      </c>
      <c r="B374" s="4" t="str">
        <f t="shared" si="43"/>
        <v>'1642589145715276-7744484-12-01',</v>
      </c>
      <c r="C374" s="15" t="s">
        <v>3608</v>
      </c>
      <c r="D374" s="5" t="s">
        <v>3590</v>
      </c>
      <c r="E374" s="5" t="s">
        <v>3608</v>
      </c>
      <c r="F374" s="5" t="s">
        <v>3593</v>
      </c>
      <c r="G374" s="29"/>
      <c r="H374" s="5"/>
      <c r="I374" s="5" t="s">
        <v>3604</v>
      </c>
      <c r="J374" s="16"/>
      <c r="K374" s="25" t="s">
        <v>3592</v>
      </c>
      <c r="L374" s="16" t="s">
        <v>2786</v>
      </c>
      <c r="M374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('1642589145431619-7743066-95-01') AND EXECUTION_TYPE = 'STAGE1_EXECUTION';</v>
      </c>
      <c r="N374" s="16" t="str">
        <f t="shared" si="47"/>
        <v>SELECT EXECUTION_TYPE,SERVICE_INTERCHANGE_ID,CIRCI_KEY,EXECUTION_STATE FROM CIFX.TB_SERVICE_EXECUTION_CONTROL WHERE SERVICE_EXECUTION_CONTROL_ID IN ('1642589145431619-7743066-95-01') AND EXECUTION_TYPE = 'STAGE1_EXECUTION';</v>
      </c>
      <c r="O374" s="7" t="str">
        <f t="shared" si="44"/>
        <v>發送異動通知電文給CIP回傳錯誤碼:UP0090_00_V201,錯誤碼訊息:必要性檢核錯誤,錯誤訊息:[CIP顧客識別取號:當系統為TS0116_00時顧客姓名不可為空值]</v>
      </c>
      <c r="P374" s="7" t="str">
        <f t="shared" si="45"/>
        <v>請協助處理</v>
      </c>
      <c r="Q374" s="7"/>
      <c r="R374" s="7"/>
      <c r="S374" s="16"/>
      <c r="T374" s="4" t="s">
        <v>3578</v>
      </c>
      <c r="U374" s="4" t="s">
        <v>17</v>
      </c>
      <c r="V374" s="4" t="s">
        <v>67</v>
      </c>
      <c r="W374" s="4" t="s">
        <v>3530</v>
      </c>
      <c r="X374" s="4" t="s">
        <v>3579</v>
      </c>
      <c r="Y374" s="4" t="s">
        <v>3580</v>
      </c>
      <c r="Z374" s="4" t="s">
        <v>3581</v>
      </c>
      <c r="AA374" s="37" t="s">
        <v>3605</v>
      </c>
      <c r="AB374" s="4" t="s">
        <v>1977</v>
      </c>
      <c r="AC374" s="4" t="s">
        <v>2315</v>
      </c>
      <c r="AD374" s="4" t="s">
        <v>3582</v>
      </c>
      <c r="AE374" s="4"/>
      <c r="AF374" s="4"/>
    </row>
    <row r="375" spans="1:32" x14ac:dyDescent="0.25">
      <c r="A375" s="4" t="str">
        <f t="shared" si="42"/>
        <v>'1642614328109614-7797981-21-02',</v>
      </c>
      <c r="B375" s="4" t="str">
        <f t="shared" si="43"/>
        <v>'1642614328529235-7799556-04-02',</v>
      </c>
      <c r="C375" s="15" t="s">
        <v>55</v>
      </c>
      <c r="D375" s="5" t="s">
        <v>3631</v>
      </c>
      <c r="E375" s="5" t="s">
        <v>55</v>
      </c>
      <c r="F375" s="5" t="s">
        <v>3632</v>
      </c>
      <c r="G375" s="29"/>
      <c r="H375" s="5"/>
      <c r="I375" s="5" t="s">
        <v>55</v>
      </c>
      <c r="J375" s="16"/>
      <c r="K375" s="25" t="s">
        <v>3630</v>
      </c>
      <c r="L375" s="16" t="s">
        <v>2786</v>
      </c>
      <c r="M375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('1642614328140380-7797981-70-02') AND EXECUTION_TYPE = 'STAGE1_EXECUTION';</v>
      </c>
      <c r="N375" s="16" t="str">
        <f t="shared" si="47"/>
        <v>SELECT EXECUTION_TYPE,SERVICE_INTERCHANGE_ID,CIRCI_KEY,EXECUTION_STATE FROM CIFX.TB_SERVICE_EXECUTION_CONTROL WHERE SERVICE_EXECUTION_CONTROL_ID IN ('1642614328140380-7797981-70-02') AND EXECUTION_TYPE = 'STAGE1_EXECUTION';</v>
      </c>
      <c r="O375" s="7" t="str">
        <f t="shared" si="44"/>
        <v>發送異動通知電文給CIP回傳錯誤碼:UP0090_00_V201,錯誤碼訊息:必要性檢核錯誤,錯誤訊息:[DEL00000000000001251 顧客 TS0116_00 已刪除，但全行未刪除，無法進行異動建檔]</v>
      </c>
      <c r="P375" s="7" t="str">
        <f t="shared" si="45"/>
        <v>請協助處理</v>
      </c>
      <c r="Q375" s="7" t="s">
        <v>162</v>
      </c>
      <c r="R375" s="7"/>
      <c r="S375" s="16" t="s">
        <v>299</v>
      </c>
      <c r="T375" s="4" t="s">
        <v>3606</v>
      </c>
      <c r="U375" s="4" t="s">
        <v>17</v>
      </c>
      <c r="V375" s="4" t="s">
        <v>3598</v>
      </c>
      <c r="W375" s="4" t="s">
        <v>3599</v>
      </c>
      <c r="X375" s="4" t="s">
        <v>3594</v>
      </c>
      <c r="Y375" s="4" t="s">
        <v>3595</v>
      </c>
      <c r="Z375" s="4" t="s">
        <v>3596</v>
      </c>
      <c r="AA375" s="37" t="s">
        <v>3607</v>
      </c>
      <c r="AB375" s="4" t="s">
        <v>1973</v>
      </c>
      <c r="AC375" s="4" t="s">
        <v>2315</v>
      </c>
      <c r="AD375" s="4" t="s">
        <v>3597</v>
      </c>
      <c r="AE375" s="4" t="s">
        <v>278</v>
      </c>
      <c r="AF375" s="4" t="s">
        <v>471</v>
      </c>
    </row>
    <row r="376" spans="1:32" ht="49.5" x14ac:dyDescent="0.25">
      <c r="A376" s="4" t="str">
        <f t="shared" si="42"/>
        <v>'1642776991590434-8159010-51-02',</v>
      </c>
      <c r="B376" s="4" t="str">
        <f t="shared" si="43"/>
        <v>'1642777021771989-8165099-34-01',</v>
      </c>
      <c r="C376" s="15" t="s">
        <v>3645</v>
      </c>
      <c r="D376" s="5" t="s">
        <v>3641</v>
      </c>
      <c r="E376" s="5" t="s">
        <v>3645</v>
      </c>
      <c r="F376" s="5" t="s">
        <v>3643</v>
      </c>
      <c r="G376" s="29"/>
      <c r="H376" s="5"/>
      <c r="I376" s="22" t="s">
        <v>3644</v>
      </c>
      <c r="J376" s="16"/>
      <c r="K376" s="34" t="s">
        <v>3646</v>
      </c>
      <c r="L376" s="16" t="s">
        <v>2786</v>
      </c>
      <c r="M376" s="16" t="str">
        <f t="shared" si="46"/>
        <v>UPDATE CIFX.TB_SERVICE_EXECUTION_CONTROL SET EXECUTION_STATE = 'TO_EXECUTE',RESULT_CODE = NULL,EXECUTING_TIMESTAMP = null,EXECUTED_TIMESTAMP = null,ap_server_EXECUTING = NULL WHERE SERVICE_EXECUTION_CONTROL_ID IN ('1642776991629877-8159043-65-02') AND EXECUTION_TYPE = 'STAGE1_EXECUTION';</v>
      </c>
      <c r="N376" s="16" t="str">
        <f t="shared" si="47"/>
        <v>SELECT EXECUTION_TYPE,SERVICE_INTERCHANGE_ID,CIRCI_KEY,EXECUTION_STATE FROM CIFX.TB_SERVICE_EXECUTION_CONTROL WHERE SERVICE_EXECUTION_CONTROL_ID IN ('1642776991629877-8159043-65-02') AND EXECUTION_TYPE = 'STAGE1_EXECUTION';</v>
      </c>
      <c r="O376" s="7" t="str">
        <f t="shared" si="44"/>
        <v>發送異動通知電文，未回傳resultCode!!,回傳代碼描述:,錯誤訊息:[]</v>
      </c>
      <c r="P376" s="7" t="str">
        <f>IF(O376="","","請協助確認是否有收到")</f>
        <v>請協助確認是否有收到</v>
      </c>
      <c r="Q376" s="7" t="s">
        <v>162</v>
      </c>
      <c r="R376" s="7"/>
      <c r="S376" s="16" t="s">
        <v>299</v>
      </c>
      <c r="T376" s="4" t="s">
        <v>3634</v>
      </c>
      <c r="U376" s="4" t="s">
        <v>17</v>
      </c>
      <c r="V376" s="4" t="s">
        <v>3640</v>
      </c>
      <c r="W376" s="4" t="s">
        <v>3633</v>
      </c>
      <c r="X376" s="4" t="s">
        <v>3639</v>
      </c>
      <c r="Y376" s="4" t="s">
        <v>3642</v>
      </c>
      <c r="Z376" s="4" t="s">
        <v>3638</v>
      </c>
      <c r="AA376" s="37" t="s">
        <v>3635</v>
      </c>
      <c r="AB376" s="4" t="s">
        <v>3561</v>
      </c>
      <c r="AC376" s="4" t="s">
        <v>2315</v>
      </c>
      <c r="AD376" s="4"/>
      <c r="AE376" s="4" t="s">
        <v>3636</v>
      </c>
      <c r="AF376" s="4" t="s">
        <v>3637</v>
      </c>
    </row>
    <row r="377" spans="1:32" ht="33" x14ac:dyDescent="0.25">
      <c r="A377" s="4" t="str">
        <f t="shared" si="42"/>
        <v>'1643366187663009-9466314-61-02',</v>
      </c>
      <c r="B377" s="4" t="str">
        <f t="shared" si="43"/>
        <v>'1643366187959466-9467628-90-02',</v>
      </c>
      <c r="C377" s="15" t="s">
        <v>27</v>
      </c>
      <c r="D377" s="5" t="s">
        <v>3659</v>
      </c>
      <c r="E377" s="5" t="s">
        <v>27</v>
      </c>
      <c r="F377" s="5" t="s">
        <v>3660</v>
      </c>
      <c r="G377" s="29"/>
      <c r="H377" s="5"/>
      <c r="I377" s="22" t="s">
        <v>27</v>
      </c>
      <c r="J377" s="16"/>
      <c r="K377" s="34" t="s">
        <v>3658</v>
      </c>
      <c r="L377" s="16" t="s">
        <v>2786</v>
      </c>
      <c r="M377" s="16" t="str">
        <f t="shared" si="46"/>
        <v>UPDATE CIFX.TB_SERVICE_EXECUTION_CONTROL SET EXECUTION_STATE = 'TO_EXECUTE',RESULT_CODE = NULL,EXECUTING_TIMESTAMP = null,EXECUTED_TIMESTAMP = null,ap_server_EXECUTING = NULL WHERE SERVICE_EXECUTION_CONTROL_ID IN ('1643366187667449-9466314-64-02') AND EXECUTION_TYPE = 'STAGE1_EXECUTION';</v>
      </c>
      <c r="N377" s="16" t="str">
        <f t="shared" si="47"/>
        <v>SELECT EXECUTION_TYPE,SERVICE_INTERCHANGE_ID,CIRCI_KEY,EXECUTION_STATE FROM CIFX.TB_SERVICE_EXECUTION_CONTROL WHERE SERVICE_EXECUTION_CONTROL_ID IN ('1643366187667449-9466314-64-02') AND EXECUTION_TYPE = 'STAGE1_EXECUTION';</v>
      </c>
      <c r="O377" s="7" t="str">
        <f t="shared" si="44"/>
        <v>發送異動通知電文，未回傳resultCode!!</v>
      </c>
      <c r="P377" s="7" t="str">
        <f>IF(O377="","","請協助處理是否有收到該筆資料")</f>
        <v>請協助處理是否有收到該筆資料</v>
      </c>
      <c r="Q377" s="7" t="s">
        <v>162</v>
      </c>
      <c r="R377" s="7"/>
      <c r="S377" s="16" t="s">
        <v>299</v>
      </c>
      <c r="T377" s="4" t="s">
        <v>3654</v>
      </c>
      <c r="U377" s="4" t="s">
        <v>17</v>
      </c>
      <c r="V377" s="4" t="s">
        <v>1787</v>
      </c>
      <c r="W377" s="4" t="s">
        <v>2796</v>
      </c>
      <c r="X377" s="4" t="s">
        <v>3657</v>
      </c>
      <c r="Y377" s="4" t="s">
        <v>3656</v>
      </c>
      <c r="Z377" s="4" t="s">
        <v>3661</v>
      </c>
      <c r="AA377" s="37" t="s">
        <v>3655</v>
      </c>
      <c r="AB377" s="4" t="s">
        <v>1996</v>
      </c>
      <c r="AC377" s="4" t="s">
        <v>2315</v>
      </c>
      <c r="AD377" s="4"/>
      <c r="AE377" s="4"/>
      <c r="AF377" s="4"/>
    </row>
    <row r="378" spans="1:32" ht="58.5" customHeight="1" x14ac:dyDescent="0.25">
      <c r="A378" s="4" t="str">
        <f t="shared" si="42"/>
        <v>'1644303371224700-1379901-55-01',</v>
      </c>
      <c r="B378" s="4" t="str">
        <f t="shared" si="43"/>
        <v>'1644303374228579-1389526-81-02',</v>
      </c>
      <c r="C378" s="15" t="s">
        <v>27</v>
      </c>
      <c r="D378" s="5" t="s">
        <v>3668</v>
      </c>
      <c r="E378" s="5" t="s">
        <v>27</v>
      </c>
      <c r="F378" s="5" t="s">
        <v>3688</v>
      </c>
      <c r="G378" s="29"/>
      <c r="H378" s="5"/>
      <c r="I378" s="22" t="s">
        <v>27</v>
      </c>
      <c r="J378" s="16" t="s">
        <v>3676</v>
      </c>
      <c r="K378" s="34" t="s">
        <v>3667</v>
      </c>
      <c r="L378" s="16" t="s">
        <v>2784</v>
      </c>
      <c r="M378" s="16" t="str">
        <f t="shared" si="46"/>
        <v>UPDATE CIFX.TB_SERVICE_EXECUTION_CONTROL SET EXECUTION_STATE = 'EXECUTED', ap_server_EXECUTING = NULL WHERE SERVICE_EXECUTION_CONTROL_ID IN ('1644303373262279-1379438-91-01') and execution_type = 'STAGE1_EXECUTION';</v>
      </c>
      <c r="N378" s="16" t="str">
        <f t="shared" si="47"/>
        <v>SELECT EXECUTION_TYPE,SERVICE_INTERCHANGE_ID,CIRCI_KEY,EXECUTION_STATE FROM CIFX.TB_SERVICE_EXECUTION_CONTROL WHERE SERVICE_EXECUTION_CONTROL_ID IN ('1644303373262279-1379438-91-01') AND EXECUTION_TYPE = 'STAGE1_EXECUTION';</v>
      </c>
      <c r="O378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funcId=01, custName=null, companyEstablishDate=null, circiKey=H123289892, creditCardKey=null, certNo=H123289892, certDate=Sat Oct 27 00:00:00 GMT+08:00 1984, exCirciKey=null, exCreditCardKey=null, propertyTypeCode=0, replyOverWrite=true, removal=false, custConfirmation=false, system=ConnectivitySystem [systemCode=TS0116_00, systemName=CIFX, changePriority=2, businessOrganization=個金處, custAccessMode=A], changeRequestLineitems=[ChangeRequestLineitem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goldenRecordItemContent=[F6]]], custType=null, relationRemoval=false]；CustCipIdentity:CustCipIdentity [custId=4013790, custType=P, certTypeCode=00, partyKind=P, oldRestart=false, customerTag=CustomerTag [custId=4013790, custType=P, removalPredicate=null, removalSystemCode=null, refToCustId=0, refDatetime=null, disabledDatetime=null, identityCertTypeCode=00, disabled=null, disabledSystemCode=null], idChangeState=null, creditCardKey=H123289892, circiKey=H123289892, birthDay=1984-10-27 00:00:00.0]；ServiceInterchange:ServiceInterchange [serviceInterchangeId=1644303373848891062, serviceInterchangeTime=Tue Feb 08 06:56:13 GMT+08:00 2022, msgNo=TS0116_00_20220208065613_27811, serviceName=CATEGORY_002, operationName=writeCustomerInfo, txnCode=01, txnTime=Tue Feb 08 06:56:11 GMT+08:00 2022, senderCode=TS0116_00, receiverCode=UP0090_00, operatorCode=ZZ, unitCode=9004, authorizerCode=null, serviceResponse=null, queryResponseLineitems=[]], Exception : ]</v>
      </c>
      <c r="P378" s="7" t="str">
        <f t="shared" si="45"/>
        <v>請協助處理</v>
      </c>
      <c r="Q378" s="7"/>
      <c r="R378" s="7"/>
      <c r="S378" s="16"/>
      <c r="T378" s="4" t="s">
        <v>3665</v>
      </c>
      <c r="U378" s="4" t="s">
        <v>17</v>
      </c>
      <c r="V378" s="4" t="s">
        <v>3689</v>
      </c>
      <c r="W378" s="4" t="s">
        <v>2796</v>
      </c>
      <c r="X378" s="4" t="s">
        <v>3691</v>
      </c>
      <c r="Y378" s="4" t="s">
        <v>3690</v>
      </c>
      <c r="Z378" s="4" t="s">
        <v>3729</v>
      </c>
      <c r="AA378" s="37" t="s">
        <v>3692</v>
      </c>
      <c r="AB378" s="4" t="s">
        <v>2688</v>
      </c>
      <c r="AC378" s="4" t="s">
        <v>2352</v>
      </c>
      <c r="AD378" s="4" t="s">
        <v>3666</v>
      </c>
      <c r="AE378" s="4"/>
      <c r="AF378" s="4"/>
    </row>
    <row r="379" spans="1:32" ht="66" x14ac:dyDescent="0.25">
      <c r="A379" s="4" t="str">
        <f t="shared" si="42"/>
        <v>'1644258090659499-1279481-29-02',</v>
      </c>
      <c r="B379" s="4" t="str">
        <f t="shared" si="43"/>
        <v>'1644258091132763-1280830-55-02',</v>
      </c>
      <c r="C379" s="15" t="s">
        <v>3701</v>
      </c>
      <c r="D379" s="5" t="s">
        <v>3669</v>
      </c>
      <c r="E379" s="5" t="s">
        <v>3700</v>
      </c>
      <c r="F379" s="5" t="s">
        <v>3702</v>
      </c>
      <c r="G379" s="29"/>
      <c r="H379" s="5"/>
      <c r="I379" s="22" t="s">
        <v>3701</v>
      </c>
      <c r="J379" s="16" t="s">
        <v>119</v>
      </c>
      <c r="K379" s="25" t="s">
        <v>3697</v>
      </c>
      <c r="L379" s="16" t="s">
        <v>2786</v>
      </c>
      <c r="M379" s="16" t="str">
        <f t="shared" si="46"/>
        <v>UPDATE CIFX.TB_SERVICE_EXECUTION_CONTROL SET EXECUTION_STATE = 'TO_EXECUTE',RESULT_CODE = NULL,EXECUTING_TIMESTAMP = null,EXECUTED_TIMESTAMP = null,ap_server_EXECUTING = NULL WHERE SERVICE_EXECUTION_CONTROL_ID IN ('1644258090691907-1279481-36-02') AND EXECUTION_TYPE = 'STAGE1_EXECUTION';</v>
      </c>
      <c r="N379" s="16" t="str">
        <f t="shared" si="47"/>
        <v>SELECT EXECUTION_TYPE,SERVICE_INTERCHANGE_ID,CIRCI_KEY,EXECUTION_STATE FROM CIFX.TB_SERVICE_EXECUTION_CONTROL WHERE SERVICE_EXECUTION_CONTROL_ID IN ('1644258090691907-1279481-36-02') AND EXECUTION_TYPE = 'STAGE1_EXECUTION';</v>
      </c>
      <c r="O379" s="7" t="str">
        <f t="shared" si="44"/>
        <v>發送ID改號電文給CIP回傳錯誤碼:UP0090_00_R101,錯誤碼訊息:存在驗證錯誤,錯誤訊息:[ID改號作業-&gt;CIF改號作業-&gt;&lt;檢查有誤，查無符合(改號前)銀行歸戶統編(T22197979A)顧客&gt;]</v>
      </c>
      <c r="P379" s="7" t="str">
        <f t="shared" si="45"/>
        <v>請協助處理</v>
      </c>
      <c r="Q379" s="7" t="s">
        <v>162</v>
      </c>
      <c r="R379" s="7"/>
      <c r="S379" s="16" t="s">
        <v>3698</v>
      </c>
      <c r="T379" s="4" t="s">
        <v>3670</v>
      </c>
      <c r="U379" s="4" t="s">
        <v>17</v>
      </c>
      <c r="V379" s="4" t="s">
        <v>3664</v>
      </c>
      <c r="W379" s="4" t="s">
        <v>2796</v>
      </c>
      <c r="X379" s="4" t="s">
        <v>3671</v>
      </c>
      <c r="Y379" s="4" t="s">
        <v>3672</v>
      </c>
      <c r="Z379" s="4" t="s">
        <v>3728</v>
      </c>
      <c r="AA379" s="37" t="s">
        <v>3674</v>
      </c>
      <c r="AB379" s="4" t="s">
        <v>2209</v>
      </c>
      <c r="AC379" s="4" t="s">
        <v>2315</v>
      </c>
      <c r="AD379" s="4" t="s">
        <v>3673</v>
      </c>
      <c r="AE379" s="32" t="s">
        <v>3675</v>
      </c>
      <c r="AF379" s="4" t="s">
        <v>278</v>
      </c>
    </row>
    <row r="380" spans="1:32" x14ac:dyDescent="0.25">
      <c r="A380" s="4" t="str">
        <f t="shared" si="42"/>
        <v>'1644405282899035-1601446-22-01',</v>
      </c>
      <c r="B380" s="4" t="str">
        <f t="shared" si="43"/>
        <v>'1644405313123246-1601408-22-01',</v>
      </c>
      <c r="C380" s="15" t="s">
        <v>3694</v>
      </c>
      <c r="D380" s="5" t="s">
        <v>3685</v>
      </c>
      <c r="E380" s="5" t="s">
        <v>3693</v>
      </c>
      <c r="F380" s="5" t="s">
        <v>3687</v>
      </c>
      <c r="G380" s="29"/>
      <c r="H380" s="5"/>
      <c r="I380" s="22" t="s">
        <v>3693</v>
      </c>
      <c r="J380" s="16"/>
      <c r="K380" s="25" t="s">
        <v>3684</v>
      </c>
      <c r="L380" s="16" t="s">
        <v>2786</v>
      </c>
      <c r="M380" s="16" t="str">
        <f t="shared" si="46"/>
        <v>UPDATE CIFX.TB_SERVICE_EXECUTION_CONTROL SET EXECUTION_STATE = 'TO_EXECUTE',RESULT_CODE = NULL,EXECUTING_TIMESTAMP = null,EXECUTED_TIMESTAMP = null,ap_server_EXECUTING = NULL WHERE SERVICE_EXECUTION_CONTROL_ID IN ('1644405283003032-1609628-82-02') AND EXECUTION_TYPE = 'STAGE1_EXECUTION';</v>
      </c>
      <c r="N380" s="16" t="str">
        <f t="shared" si="47"/>
        <v>SELECT EXECUTION_TYPE,SERVICE_INTERCHANGE_ID,CIRCI_KEY,EXECUTION_STATE FROM CIFX.TB_SERVICE_EXECUTION_CONTROL WHERE SERVICE_EXECUTION_CONTROL_ID IN ('1644405283003032-1609628-82-02') AND EXECUTION_TYPE = 'STAGE1_EXECUTION';</v>
      </c>
      <c r="O380" s="7" t="str">
        <f t="shared" si="44"/>
        <v>發送異動通知電文，未回傳resultCode!!,回傳代碼描述:,錯誤訊息:[]</v>
      </c>
      <c r="P380" s="7" t="str">
        <f>IF(O380="","","請協助確認是否有收到此MSG_NO")</f>
        <v>請協助確認是否有收到此MSG_NO</v>
      </c>
      <c r="Q380" s="7" t="s">
        <v>3683</v>
      </c>
      <c r="R380" s="7"/>
      <c r="S380" s="16" t="s">
        <v>299</v>
      </c>
      <c r="T380" s="4" t="s">
        <v>3680</v>
      </c>
      <c r="U380" s="4" t="s">
        <v>17</v>
      </c>
      <c r="V380" s="4" t="s">
        <v>900</v>
      </c>
      <c r="W380" s="4" t="s">
        <v>3678</v>
      </c>
      <c r="X380" s="4" t="s">
        <v>3681</v>
      </c>
      <c r="Y380" s="4" t="s">
        <v>3686</v>
      </c>
      <c r="Z380" s="4" t="s">
        <v>3727</v>
      </c>
      <c r="AA380" s="37" t="s">
        <v>3682</v>
      </c>
      <c r="AB380" s="4" t="s">
        <v>2688</v>
      </c>
      <c r="AC380" s="4" t="s">
        <v>2315</v>
      </c>
      <c r="AD380" s="4"/>
      <c r="AE380" s="4"/>
      <c r="AF380" s="4"/>
    </row>
    <row r="381" spans="1:32" x14ac:dyDescent="0.25">
      <c r="A381" s="4" t="str">
        <f t="shared" si="42"/>
        <v>'1644576852223513-1995620-48-01',</v>
      </c>
      <c r="B381" s="4" t="str">
        <f t="shared" si="43"/>
        <v>'1644576852688172-1991188-98-02',</v>
      </c>
      <c r="C381" s="15" t="s">
        <v>3713</v>
      </c>
      <c r="D381" s="5" t="s">
        <v>3715</v>
      </c>
      <c r="E381" s="5" t="s">
        <v>3713</v>
      </c>
      <c r="F381" s="5" t="s">
        <v>3714</v>
      </c>
      <c r="G381" s="29"/>
      <c r="H381" s="5"/>
      <c r="I381" s="22" t="s">
        <v>3713</v>
      </c>
      <c r="J381" s="16" t="s">
        <v>3711</v>
      </c>
      <c r="K381" s="25" t="s">
        <v>3712</v>
      </c>
      <c r="L381" s="16" t="s">
        <v>2784</v>
      </c>
      <c r="M381" s="16" t="str">
        <f t="shared" si="46"/>
        <v>UPDATE CIFX.TB_SERVICE_EXECUTION_CONTROL SET EXECUTION_STATE = 'EXECUTED', ap_server_EXECUTING = NULL WHERE SERVICE_EXECUTION_CONTROL_ID IN ('1644576852408768-1995620-64-01') and execution_type = 'STAGE1_EXECUTION';</v>
      </c>
      <c r="N381" s="16" t="str">
        <f t="shared" si="47"/>
        <v>SELECT EXECUTION_TYPE,SERVICE_INTERCHANGE_ID,CIRCI_KEY,EXECUTION_STATE FROM CIFX.TB_SERVICE_EXECUTION_CONTROL WHERE SERVICE_EXECUTION_CONTROL_ID IN ('1644576852408768-1995620-64-01') AND EXECUTION_TYPE = 'STAGE1_EXECUTION';</v>
      </c>
      <c r="O381" s="7" t="str">
        <f t="shared" si="44"/>
        <v>發送ID改號電文給CIP回傳錯誤碼:UP0090_00_R101,錯誤碼訊息:存在驗證錯誤,錯誤訊息:[檢查有誤，顧客曾經執行過ID改號，將交由資料管家處理]</v>
      </c>
      <c r="P381" s="7" t="str">
        <f t="shared" si="45"/>
        <v>請協助處理</v>
      </c>
      <c r="Q381" s="7" t="s">
        <v>162</v>
      </c>
      <c r="R381" s="7"/>
      <c r="S381" s="16" t="s">
        <v>299</v>
      </c>
      <c r="T381" s="4" t="s">
        <v>3709</v>
      </c>
      <c r="U381" s="4" t="s">
        <v>17</v>
      </c>
      <c r="V381" s="4" t="s">
        <v>18</v>
      </c>
      <c r="W381" s="4" t="s">
        <v>3710</v>
      </c>
      <c r="X381" s="4" t="s">
        <v>3725</v>
      </c>
      <c r="Y381" s="4" t="s">
        <v>3703</v>
      </c>
      <c r="Z381" s="4" t="s">
        <v>3704</v>
      </c>
      <c r="AA381" s="37" t="s">
        <v>3705</v>
      </c>
      <c r="AB381" s="4" t="s">
        <v>2209</v>
      </c>
      <c r="AC381" s="4" t="s">
        <v>2315</v>
      </c>
      <c r="AD381" s="4" t="s">
        <v>3706</v>
      </c>
      <c r="AE381" s="4" t="s">
        <v>3707</v>
      </c>
      <c r="AF381" s="4" t="s">
        <v>3708</v>
      </c>
    </row>
    <row r="382" spans="1:32" x14ac:dyDescent="0.25">
      <c r="A382" s="4" t="str">
        <f t="shared" si="42"/>
        <v>'1644835163327946-2553578-30-01',</v>
      </c>
      <c r="B382" s="4" t="str">
        <f t="shared" si="43"/>
        <v>'1644835193481637-2545792-97-02',</v>
      </c>
      <c r="C382" s="15" t="s">
        <v>3740</v>
      </c>
      <c r="D382" s="5" t="s">
        <v>3733</v>
      </c>
      <c r="E382" s="5" t="s">
        <v>3741</v>
      </c>
      <c r="F382" s="5" t="s">
        <v>3736</v>
      </c>
      <c r="G382" s="29"/>
      <c r="H382" s="5"/>
      <c r="I382" s="22" t="s">
        <v>3739</v>
      </c>
      <c r="J382" s="16"/>
      <c r="K382" s="25" t="s">
        <v>3730</v>
      </c>
      <c r="L382" s="16" t="s">
        <v>2786</v>
      </c>
      <c r="M382" s="16" t="str">
        <f t="shared" si="46"/>
        <v>UPDATE CIFX.TB_SERVICE_EXECUTION_CONTROL SET EXECUTION_STATE = 'TO_EXECUTE',RESULT_CODE = NULL,EXECUTING_TIMESTAMP = null,EXECUTED_TIMESTAMP = null,ap_server_EXECUTING = NULL WHERE SERVICE_EXECUTION_CONTROL_ID IN ('1644835163354135-2553578-46-01') AND EXECUTION_TYPE = 'STAGE1_EXECUTION';</v>
      </c>
      <c r="N382" s="16" t="str">
        <f t="shared" si="47"/>
        <v>SELECT EXECUTION_TYPE,SERVICE_INTERCHANGE_ID,CIRCI_KEY,EXECUTION_STATE FROM CIFX.TB_SERVICE_EXECUTION_CONTROL WHERE SERVICE_EXECUTION_CONTROL_ID IN ('1644835163354135-2553578-46-01') AND EXECUTION_TYPE = 'STAGE1_EXECUTION';</v>
      </c>
      <c r="O382" s="7" t="str">
        <f t="shared" si="44"/>
        <v>發送異動通知電文，未回傳resultCode!!,回傳代碼描述:,錯誤訊息:[]</v>
      </c>
      <c r="P382" s="7" t="str">
        <f>IF(O382="","","請協助確認是否有收到此msg_no")</f>
        <v>請協助確認是否有收到此msg_no</v>
      </c>
      <c r="Q382" s="7" t="s">
        <v>162</v>
      </c>
      <c r="R382" s="7"/>
      <c r="S382" s="16" t="s">
        <v>299</v>
      </c>
      <c r="T382" s="4" t="s">
        <v>3719</v>
      </c>
      <c r="U382" s="4" t="s">
        <v>17</v>
      </c>
      <c r="V382" s="4" t="s">
        <v>900</v>
      </c>
      <c r="W382" s="4" t="s">
        <v>3717</v>
      </c>
      <c r="X382" s="4" t="s">
        <v>3720</v>
      </c>
      <c r="Y382" s="4" t="s">
        <v>3735</v>
      </c>
      <c r="Z382" s="4" t="s">
        <v>3726</v>
      </c>
      <c r="AA382" s="37" t="s">
        <v>3721</v>
      </c>
      <c r="AB382" s="4" t="s">
        <v>1979</v>
      </c>
      <c r="AC382" s="4" t="s">
        <v>2315</v>
      </c>
      <c r="AD382" s="4"/>
      <c r="AE382" s="4"/>
      <c r="AF382" s="4"/>
    </row>
    <row r="383" spans="1:32" x14ac:dyDescent="0.25">
      <c r="A383" s="4" t="str">
        <f t="shared" si="42"/>
        <v>'1644601610238630-2049596-77-02',</v>
      </c>
      <c r="B383" s="4" t="str">
        <f t="shared" si="43"/>
        <v>'1644601611802134-2054530-85-01',</v>
      </c>
      <c r="C383" s="15" t="s">
        <v>3740</v>
      </c>
      <c r="D383" s="5" t="s">
        <v>3742</v>
      </c>
      <c r="E383" s="5" t="s">
        <v>3739</v>
      </c>
      <c r="F383" s="5" t="s">
        <v>3738</v>
      </c>
      <c r="G383" s="29"/>
      <c r="H383" s="5"/>
      <c r="I383" s="22" t="s">
        <v>3739</v>
      </c>
      <c r="J383" s="16"/>
      <c r="K383" s="25" t="s">
        <v>3731</v>
      </c>
      <c r="L383" s="16" t="s">
        <v>2784</v>
      </c>
      <c r="M383" s="16" t="str">
        <f t="shared" si="46"/>
        <v>UPDATE CIFX.TB_SERVICE_EXECUTION_CONTROL SET EXECUTION_STATE = 'EXECUTED', ap_server_EXECUTING = NULL WHERE SERVICE_EXECUTION_CONTROL_ID IN ('1644601610264949-2049596-29-02') and execution_type = 'STAGE1_EXECUTION';</v>
      </c>
      <c r="N383" s="16" t="str">
        <f t="shared" si="47"/>
        <v>SELECT EXECUTION_TYPE,SERVICE_INTERCHANGE_ID,CIRCI_KEY,EXECUTION_STATE FROM CIFX.TB_SERVICE_EXECUTION_CONTROL WHERE SERVICE_EXECUTION_CONTROL_ID IN ('1644601610264949-2049596-29-02') AND EXECUTION_TYPE = 'STAGE1_EXECUTION';</v>
      </c>
      <c r="O383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funcId=01, custName=張皓明, companyEstablishDate=null, circiKey=H124676700, creditCardKey=null, certNo=H124676700, certDate=Mon Sep 26 00:00:00 GMT+08:00 1994, exCirciKey=null, exCreditCardKey=null, propertyTypeCode=0, replyOverWrite=null, removal=null, custConfirmation=null,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goldenRecordItemContent=0325],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goldenRecordItemContent=張皓明],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goldenRecordItemContent=02],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goldenRecordItemContent=0325],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goldenRecordItemContent=0988082434],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goldenRecordItemContent=CHANG,HAO MING],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[goldenRecordItemNo=B028, grecItemDescription=戶籍電話, serviceParameter=residenceTel, groupRecordItemGroup=GoldenRecordItemGroup [goldenRecordItemGroupId=2, itemGroupCode=B, itemGroupName=顧客聯絡資訊]], goldenRecordItemContent=0988082434],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goldenRecordItemContent=0222981823],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goldenRecordItemContent=0988082434],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goldenRecordItemContent=061700],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goldenRecordItemContent=0988082434],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goldenRecordItemContent=micky09261994@gmail.com],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goldenRecordItemContent=桃園市],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goldenRecordItemContent=錦興村２２鄰光復路１４６號四縷之５],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goldenRecordItemContent=338],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goldenRecordItemContent=蘆竹區],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goldenRecordItemContent=啟新生物科技有限公司],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goldenRecordItemContent=一般及其他職務], ChangeRequestLineitem [crLineitemId=null, rowIndex=1, goldenRecordItem=GoldenRecordItem [goldenRecordItemNo=A061, grecItemDescription=顧客身分代碼, serviceParameter=customerKycTypeCode, groupRecordItemGroup=GoldenRecordItemGroup [goldenRecordItemGroupId=1, itemGroupCode=A, itemGroupName=顧客基本資訊]], goldenRecordItemContent=[]],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goldenRecordItemContent=1994-09-26],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relationRemoval=null]；CustCipIdentity:CustCipIdentity [custId=9896887, custType=P, certTypeCode=00, partyKind=P, oldRestart=false, customerTag=null, idChangeState=null, creditCardKey=null, circiKey=null, birthDay=Mon Sep 26 00:00:00 GMT+08:00 1994]；ServiceInterchange:ServiceInterchange [serviceInterchangeId=1644601610694879121, serviceInterchangeTime=Fri Feb 11 17:46:50 GMT+08:00 2022, msgNo=TS0116_00_20220211174650_26662, serviceName=CATEGORY_002, operationName=writeCustomerInfo, txnCode=digiAccOpening, txnTime=Fri Feb 11 17:46:50 GMT+08:00 2022, senderCode=TS0116_00, receiverCode=UP0090_00, operatorCode=TS0116_00, unitCode=0325, authorizerCode=null, serviceResponse=null, queryResponseLineitems=[]], Exception : ]</v>
      </c>
      <c r="P383" s="7" t="str">
        <f t="shared" si="45"/>
        <v>請協助處理</v>
      </c>
      <c r="Q383" s="7"/>
      <c r="R383" s="7"/>
      <c r="S383" s="16"/>
      <c r="T383" s="4" t="s">
        <v>3722</v>
      </c>
      <c r="U383" s="4" t="s">
        <v>17</v>
      </c>
      <c r="V383" s="4" t="s">
        <v>3716</v>
      </c>
      <c r="W383" s="4" t="s">
        <v>3718</v>
      </c>
      <c r="X383" s="4" t="s">
        <v>3732</v>
      </c>
      <c r="Y383" s="4" t="s">
        <v>3737</v>
      </c>
      <c r="Z383" s="4" t="s">
        <v>3734</v>
      </c>
      <c r="AA383" s="37" t="s">
        <v>3723</v>
      </c>
      <c r="AB383" s="4" t="s">
        <v>1973</v>
      </c>
      <c r="AC383" s="4" t="s">
        <v>2315</v>
      </c>
      <c r="AD383" s="4" t="s">
        <v>3724</v>
      </c>
      <c r="AE383" s="4"/>
      <c r="AF383" s="4"/>
    </row>
    <row r="384" spans="1:32" x14ac:dyDescent="0.25">
      <c r="A384" s="4" t="str">
        <f t="shared" si="42"/>
        <v>'1644847701824734-2570041-08-02',</v>
      </c>
      <c r="B384" s="4" t="str">
        <f t="shared" si="43"/>
        <v>'1644847702162417-2578215-51-01',</v>
      </c>
      <c r="C384" s="15"/>
      <c r="D384" s="5"/>
      <c r="E384" s="5"/>
      <c r="F384" s="5"/>
      <c r="G384" s="29"/>
      <c r="H384" s="5"/>
      <c r="I384" s="22"/>
      <c r="J384" s="16"/>
      <c r="K384" s="25"/>
      <c r="L384" s="16"/>
      <c r="M384" s="16" t="str">
        <f t="shared" si="46"/>
        <v/>
      </c>
      <c r="N384" s="16" t="str">
        <f t="shared" si="47"/>
        <v/>
      </c>
      <c r="O384" s="7" t="str">
        <f t="shared" si="44"/>
        <v>發送異動通知電文給CIP回傳錯誤碼:UP0090_00_V201,錯誤碼訊息:必要性檢核錯誤,錯誤訊息:[CIP顧客識別取號:當系統為TS0116_00時顧客姓名不可為空值]</v>
      </c>
      <c r="P384" s="7" t="str">
        <f t="shared" si="45"/>
        <v>請協助處理</v>
      </c>
      <c r="Q384" s="7" t="s">
        <v>162</v>
      </c>
      <c r="R384" s="7"/>
      <c r="S384" s="16" t="s">
        <v>299</v>
      </c>
      <c r="T384" s="4" t="s">
        <v>3745</v>
      </c>
      <c r="U384" s="4" t="s">
        <v>17</v>
      </c>
      <c r="V384" s="4" t="s">
        <v>67</v>
      </c>
      <c r="W384" s="4" t="s">
        <v>3744</v>
      </c>
      <c r="X384" s="4" t="s">
        <v>3746</v>
      </c>
      <c r="Y384" s="4" t="s">
        <v>3747</v>
      </c>
      <c r="Z384" s="4" t="s">
        <v>3748</v>
      </c>
      <c r="AA384" s="37" t="s">
        <v>3750</v>
      </c>
      <c r="AB384" s="4" t="s">
        <v>1979</v>
      </c>
      <c r="AC384" s="4" t="s">
        <v>2315</v>
      </c>
      <c r="AD384" s="4" t="s">
        <v>3749</v>
      </c>
      <c r="AE384" s="4" t="s">
        <v>3751</v>
      </c>
      <c r="AF384" s="4" t="s">
        <v>3752</v>
      </c>
    </row>
    <row r="385" spans="1:32" x14ac:dyDescent="0.25">
      <c r="A385" s="4" t="str">
        <f t="shared" si="42"/>
        <v>'1645023835776017-2966544-77-02',</v>
      </c>
      <c r="B385" s="4" t="str">
        <f t="shared" si="43"/>
        <v>'1645023865949922-2966571-77-02',</v>
      </c>
      <c r="C385" s="15" t="s">
        <v>3815</v>
      </c>
      <c r="D385" s="38" t="s">
        <v>3818</v>
      </c>
      <c r="E385" s="5" t="s">
        <v>3815</v>
      </c>
      <c r="F385" s="5" t="s">
        <v>3812</v>
      </c>
      <c r="G385" s="29"/>
      <c r="H385" s="5"/>
      <c r="I385" s="22" t="s">
        <v>3816</v>
      </c>
      <c r="J385" s="16"/>
      <c r="K385" s="25" t="s">
        <v>3803</v>
      </c>
      <c r="L385" s="16" t="s">
        <v>2786</v>
      </c>
      <c r="M385" s="16" t="str">
        <f t="shared" si="46"/>
        <v>UPDATE CIFX.TB_SERVICE_EXECUTION_CONTROL SET EXECUTION_STATE = 'TO_EXECUTE',RESULT_CODE = NULL,EXECUTING_TIMESTAMP = null,EXECUTED_TIMESTAMP = null,ap_server_EXECUTING = NULL WHERE SERVICE_EXECUTION_CONTROL_ID IN ('1645023835788907-2966544-83-02') AND EXECUTION_TYPE = 'STAGE1_EXECUTION';</v>
      </c>
      <c r="N385" s="16" t="str">
        <f t="shared" si="47"/>
        <v>SELECT EXECUTION_TYPE,SERVICE_INTERCHANGE_ID,CIRCI_KEY,EXECUTION_STATE FROM CIFX.TB_SERVICE_EXECUTION_CONTROL WHERE SERVICE_EXECUTION_CONTROL_ID IN ('1645023835788907-2966544-83-02') AND EXECUTION_TYPE = 'STAGE1_EXECUTION';</v>
      </c>
      <c r="O385" s="7" t="str">
        <f t="shared" si="44"/>
        <v>發送異動通知電文，未回傳resultCode!!,回傳代碼描述:,錯誤訊息:[]</v>
      </c>
      <c r="P385" s="7" t="str">
        <f t="shared" si="45"/>
        <v>請協助處理</v>
      </c>
      <c r="Q385" s="7"/>
      <c r="R385" s="7"/>
      <c r="S385" s="16"/>
      <c r="T385" s="4" t="s">
        <v>3799</v>
      </c>
      <c r="U385" s="4" t="s">
        <v>17</v>
      </c>
      <c r="V385" s="4" t="s">
        <v>900</v>
      </c>
      <c r="W385" s="4" t="s">
        <v>3796</v>
      </c>
      <c r="X385" s="4" t="s">
        <v>3800</v>
      </c>
      <c r="Y385" s="4" t="s">
        <v>3810</v>
      </c>
      <c r="Z385" s="4" t="s">
        <v>3802</v>
      </c>
      <c r="AA385" s="37" t="s">
        <v>3801</v>
      </c>
      <c r="AB385" s="4" t="s">
        <v>2351</v>
      </c>
      <c r="AC385" s="4" t="s">
        <v>2315</v>
      </c>
      <c r="AD385" s="4"/>
      <c r="AE385" s="4"/>
      <c r="AF385" s="4"/>
    </row>
    <row r="386" spans="1:32" x14ac:dyDescent="0.25">
      <c r="A386" s="4" t="str">
        <f t="shared" si="42"/>
        <v>'1645015800298545-2956151-53-01',</v>
      </c>
      <c r="B386" s="4" t="str">
        <f t="shared" si="43"/>
        <v>'1645015802872954-2947118-91-02',</v>
      </c>
      <c r="C386" s="15" t="s">
        <v>3815</v>
      </c>
      <c r="D386" s="38" t="s">
        <v>3814</v>
      </c>
      <c r="E386" s="5" t="s">
        <v>3815</v>
      </c>
      <c r="F386" s="5" t="s">
        <v>3813</v>
      </c>
      <c r="G386" s="29"/>
      <c r="H386" s="5"/>
      <c r="I386" s="22" t="s">
        <v>3817</v>
      </c>
      <c r="J386" s="16"/>
      <c r="K386" s="25" t="s">
        <v>3809</v>
      </c>
      <c r="L386" s="16" t="s">
        <v>2784</v>
      </c>
      <c r="M386" s="16" t="str">
        <f t="shared" si="46"/>
        <v>UPDATE CIFX.TB_SERVICE_EXECUTION_CONTROL SET EXECUTION_STATE = 'EXECUTED', ap_server_EXECUTING = NULL WHERE SERVICE_EXECUTION_CONTROL_ID IN ('1645015800354377-2956151-29-01') and execution_type = 'STAGE1_EXECUTION';</v>
      </c>
      <c r="N386" s="16" t="str">
        <f t="shared" si="47"/>
        <v>SELECT EXECUTION_TYPE,SERVICE_INTERCHANGE_ID,CIRCI_KEY,EXECUTION_STATE FROM CIFX.TB_SERVICE_EXECUTION_CONTROL WHERE SERVICE_EXECUTION_CONTROL_ID IN ('1645015800354377-2956151-29-01') AND EXECUTION_TYPE = 'STAGE1_EXECUTION';</v>
      </c>
      <c r="O386" s="7" t="str">
        <f t="shared" si="44"/>
        <v>發送異動通知電文給CIP回傳錯誤碼:UP0090_00_E301,錯誤碼訊息:服務執行期錯誤,錯誤訊息:[顧客識別寫入CI發生錯誤。ChangeRequest:ChangeRequest [serviceInterchange=ServiceInterchange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funcId=01, custName=蔡政晏, companyEstablishDate=null, circiKey=A129032550, creditCardKey=null, certNo=A129032550, certDate=Mon Nov 23 00:00:00 GMT+08:00 1987, exCirciKey=null, exCreditCardKey=null, propertyTypeCode=0, replyOverWrite=false, removal=false, custConfirmation=true, system=ConnectivitySystem [systemCode=TS0116_00, systemName=CIFX, changePriority=2, businessOrganization=個金處, custAccessMode=A], changeRequestLineitems=[ChangeRequestLineitem [crLineitemId=null, rowIndex=1, goldenRecordItem=GoldenRecordItem [goldenRecordItemNo=F021, grecItemDescription=建檔單位代碼, serviceParameter=creationDptCode, groupRecordItemGroup=GoldenRecordItemGroup [goldenRecordItemGroupId=6, itemGroupCode=F, itemGroupName=顧客往來資訊]], goldenRecordItemContent=0716], ChangeRequestLineitem [crLineitemId=null, rowIndex=1, goldenRecordItem=GoldenRecordItem [goldenRecordItemNo=A016, grecItemDescription=顧客姓名, serviceParameter=customerName, groupRecordItemGroup=GoldenRecordItemGroup [goldenRecordItemGroupId=1, itemGroupCode=A, itemGroupName=顧客基本資訊]], goldenRecordItemContent=蔡政晏], ChangeRequestLineitem [crLineitemId=null, rowIndex=1, goldenRecordItem=GoldenRecordItem [goldenRecordItemNo=F017, grecItemDescription=電子銀行特約服務項目（語音＆傳真）, serviceParameter=selfBankSpecialServiceFlag, groupRecordItemGroup=GoldenRecordItemGroup [goldenRecordItemGroupId=6, itemGroupCode=F, itemGroupName=顧客往來資訊]], goldenRecordItemContent=00000], ChangeRequestLineitem [crLineitemId=null, rowIndex=1, goldenRecordItem=GoldenRecordItem [goldenRecordItemNo=A058, grecItemDescription=外匯申報身分別代碼, serviceParameter=foreignExchangeRoleCode, groupRecordItemGroup=GoldenRecordItemGroup [goldenRecordItemGroupId=1, itemGroupCode=A, itemGroupName=顧客基本資訊]], goldenRecordItemContent=03], ChangeRequestLineitem [crLineitemId=null, rowIndex=1, goldenRecordItem=GoldenRecordItem [goldenRecordItemNo=A060, grecItemDescription=成年監護(輔助)代碼, serviceParameter=grownUpGuardianshipCode, groupRecordItemGroup=GoldenRecordItemGroup [goldenRecordItemGroupId=1, itemGroupCode=A, itemGroupName=顧客基本資訊]], goldenRecordItemContent=0], ChangeRequestLineitem [crLineitemId=null, rowIndex=1, goldenRecordItem=GoldenRecordItem [goldenRecordItemNo=A036, grecItemDescription=行業屬性類別代碼, serviceParameter=industryPropsTypeCode, groupRecordItemGroup=GoldenRecordItemGroup [goldenRecordItemGroupId=1, itemGroupCode=A, itemGroupName=顧客基本資訊]], goldenRecordItemContent=02], ChangeRequestLineitem [crLineitemId=null, rowIndex=1, goldenRecordItem=GoldenRecordItem [goldenRecordItemNo=A030, grecItemDescription=自然人行業類別代碼, serviceParameter=industryTypeCode, groupRecordItemGroup=GoldenRecordItemGroup [goldenRecordItemGroupId=1, itemGroupCode=A, itemGroupName=顧客基本資訊]], goldenRecordItemContent=11], ChangeRequestLineitem [crLineitemId=null, rowIndex=1, goldenRecordItem=GoldenRecordItem [goldenRecordItemNo=F020, grecItemDescription=主經營行代碼, serviceParameter=performanceDptCode, groupRecordItemGroup=GoldenRecordItemGroup [goldenRecordItemGroupId=6, itemGroupCode=F, itemGroupName=顧客往來資訊]], goldenRecordItemContent=0716], ChangeRequestLineitem [crLineitemId=null, rowIndex=1, goldenRecordItem=GoldenRecordItem [goldenRecordItemNo=B023, grecItemDescription=OTP約定手機, serviceParameter=txnPhone, groupRecordItemGroup=GoldenRecordItemGroup [goldenRecordItemGroupId=2, itemGroupCode=B, itemGroupName=顧客聯絡資訊]], goldenRecordItemContent=0955991373], ChangeRequestLineitem [crLineitemId=null, rowIndex=1, goldenRecordItem=GoldenRecordItem [goldenRecordItemNo=A017, grecItemDescription=外匯用顧客英文姓名, serviceParameter=partyEnglishName, groupRecordItemGroup=GoldenRecordItemGroup [goldenRecordItemGroupId=1, itemGroupCode=A, itemGroupName=顧客基本資訊]], goldenRecordItemContent=TSAI CHENG YEN], ChangeRequestLineitem [crLineitemId=null, rowIndex=1, goldenRecordItem=GoldenRecordItem [goldenRecordItemNo=A023, grecItemDescription=國籍分類代碼, serviceParameter=nationalityCode, groupRecordItemGroup=GoldenRecordItemGroup [goldenRecordItemGroupId=1, itemGroupCode=A, itemGroupName=顧客基本資訊]], goldenRecordItemContent=0], ChangeRequestLineitem [crLineitemId=null, rowIndex=1, goldenRecordItem=GoldenRecordItem [goldenRecordItemNo=H005, grecItemDescription=拒絕貸放理由代碼, serviceParameter=refuseLoanReasonCode, groupRecordItemGroup=GoldenRecordItemGroup [goldenRecordItemGroupId=8, itemGroupCode=H, itemGroupName=顧客風險資訊]], goldenRecordItemContent=0], ChangeRequestLineitem [crLineitemId=null, rowIndex=1, goldenRecordItem=GoldenRecordItem [goldenRecordItemNo=A021, grecItemDescription=註冊國別代碼, serviceParameter=regCountryCode, groupRecordItemGroup=GoldenRecordItemGroup [goldenRecordItemGroupId=1, itemGroupCode=A, itemGroupName=顧客基本資訊]], goldenRecordItemContent=TW], ChangeRequestLineitem [crLineitemId=null, rowIndex=1, goldenRecordItem=GoldenRecordItem [goldenRecordItemNo=A057, grecItemDescription=利息所得稅代碼, serviceParameter=incomeTaxTypeCode, groupRecordItemGroup=GoldenRecordItemGroup [goldenRecordItemGroupId=1, itemGroupCode=A, itemGroupName=顧客基本資訊]], goldenRecordItemContent=1], ChangeRequestLineitem [crLineitemId=null, rowIndex=1, goldenRecordItem=GoldenRecordItem [goldenRecordItemNo=A029, grecItemDescription=性別代碼, serviceParameter=genderCode, groupRecordItemGroup=GoldenRecordItemGroup [goldenRecordItemGroupId=1, itemGroupCode=A, itemGroupName=顧客基本資訊]], goldenRecordItemContent=M], ChangeRequestLineitem [crLineitemId=null, rowIndex=1, goldenRecordItem=GoldenRecordItem [goldenRecordItemNo=C002, grecItemDescription=停止蒐集利用個人資料註記, serviceParameter=stopUseCustomerDataFlag, groupRecordItemGroup=GoldenRecordItemGroup [goldenRecordItemGroupId=3, itemGroupCode=C, itemGroupName=顧客偏好資訊]], goldenRecordItemContent= ], ChangeRequestLineitem [crLineitemId=null, rowIndex=1, goldenRecordItem=GoldenRecordItem [goldenRecordItemNo=B025, grecItemDescription=公司電話分機, serviceParameter=companyTelExtension, groupRecordItemGroup=GoldenRecordItemGroup [goldenRecordItemGroupId=2, itemGroupCode=B, itemGroupName=顧客聯絡資訊]], goldenRecordItemContent=null], ChangeRequestLineitem [crLineitemId=null, rowIndex=1, goldenRecordItem=GoldenRecordItem [goldenRecordItemNo=B024, grecItemDescription=公司電話, serviceParameter=companyTel, groupRecordItemGroup=GoldenRecordItemGroup [goldenRecordItemGroupId=2, itemGroupCode=B, itemGroupName=顧客聯絡資訊]], goldenRecordItemContent=089310130], ChangeRequestLineitem [crLineitemId=null, rowIndex=1, goldenRecordItem=GoldenRecordItem [goldenRecordItemNo=B006, grecItemDescription=通訊地址郵遞區號, serviceParameter=contactAddrPostalCode, groupRecordItemGroup=GoldenRecordItemGroup [goldenRecordItemGroupId=2, itemGroupCode=B, itemGroupName=顧客聯絡資訊]], goldenRecordItemContent=950], ChangeRequestLineitem [crLineitemId=null, rowIndex=1, goldenRecordItem=GoldenRecordItem [goldenRecordItemNo=B010, grecItemDescription=通訊地址, serviceParameter=contactAddr, groupRecordItemGroup=GoldenRecordItemGroup [goldenRecordItemGroupId=2, itemGroupCode=B, itemGroupName=顧客聯絡資訊]], goldenRecordItemContent=博愛路１２８號], ChangeRequestLineitem [crLineitemId=null, rowIndex=1, goldenRecordItem=GoldenRecordItem [goldenRecordItemNo=B009, grecItemDescription=通訊地址所在地(區鄉鎮), serviceParameter=contactAddrAdminArea, groupRecordItemGroup=GoldenRecordItemGroup [goldenRecordItemGroupId=2, itemGroupCode=B, itemGroupName=顧客聯絡資訊]], goldenRecordItemContent=臺東市], ChangeRequestLineitem [crLineitemId=null, rowIndex=1, goldenRecordItem=GoldenRecordItem [goldenRecordItemNo=B008, grecItemDescription=通訊地址所在地(縣市), serviceParameter=contactAddrLocality, groupRecordItemGroup=GoldenRecordItemGroup [goldenRecordItemGroupId=2, itemGroupCode=B, itemGroupName=顧客聯絡資訊]], goldenRecordItemContent=臺東縣], ChangeRequestLineitem [crLineitemId=null, rowIndex=1, goldenRecordItem=GoldenRecordItem [goldenRecordItemNo=B026, grecItemDescription=通訊電話, serviceParameter=contactTel, groupRecordItemGroup=GoldenRecordItemGroup [goldenRecordItemGroupId=2, itemGroupCode=B, itemGroupName=顧客聯絡資訊]], goldenRecordItemContent=0228212311], ChangeRequestLineitem [crLineitemId=null, rowIndex=1, goldenRecordItem=GoldenRecordItem [goldenRecordItemNo=A034, grecItemDescription=行業編號（主計處代碼）, serviceParameter=dgbasIndustryCode, groupRecordItemGroup=GoldenRecordItemGroup [goldenRecordItemGroupId=1, itemGroupCode=A, itemGroupName=顧客基本資訊]], goldenRecordItemContent=061300], ChangeRequestLineitem [crLineitemId=null, rowIndex=1, goldenRecordItem=GoldenRecordItem [goldenRecordItemNo=A035, grecItemDescription=行業編號（新央行代碼）, serviceParameter=ncbIndustryCode, groupRecordItemGroup=GoldenRecordItemGroup [goldenRecordItemGroupId=1, itemGroupCode=A, itemGroupName=顧客基本資訊]], goldenRecordItemContent=060000], ChangeRequestLineitem [crLineitemId=null, rowIndex=1, goldenRecordItem=GoldenRecordItem [goldenRecordItemNo=B022, grecItemDescription=聯繫用手機, serviceParameter=contactPhone, groupRecordItemGroup=GoldenRecordItemGroup [goldenRecordItemGroupId=2, itemGroupCode=B, itemGroupName=顧客聯絡資訊]], goldenRecordItemContent=0955991373], ChangeRequestLineitem [crLineitemId=null, rowIndex=1, goldenRecordItem=GoldenRecordItem [goldenRecordItemNo=B029, grecItemDescription=EMAIL, serviceParameter=email, groupRecordItemGroup=GoldenRecordItemGroup [goldenRecordItemGroupId=2, itemGroupCode=B, itemGroupName=顧客聯絡資訊]], goldenRecordItemContent=YEN761123@HOTMAIL.COM], ChangeRequestLineitem [crLineitemId=null, rowIndex=1, goldenRecordItem=GoldenRecordItem [goldenRecordItemNo=B003, grecItemDescription=戶籍/註冊地址所在地(縣市), serviceParameter=residenceAddrLocality, groupRecordItemGroup=GoldenRecordItemGroup [goldenRecordItemGroupId=2, itemGroupCode=B, itemGroupName=顧客聯絡資訊]], goldenRecordItemContent=臺北市], ChangeRequestLineitem [crLineitemId=null, rowIndex=1, goldenRecordItem=GoldenRecordItem [goldenRecordItemNo=B005, grecItemDescription=戶籍/註冊地址, serviceParameter=residenceAddr, groupRecordItemGroup=GoldenRecordItemGroup [goldenRecordItemGroupId=2, itemGroupCode=B, itemGroupName=顧客聯絡資訊]], goldenRecordItemContent=立農里１２鄰吉利街１２３巷３２號八樓], ChangeRequestLineitem [crLineitemId=null, rowIndex=1, goldenRecordItem=GoldenRecordItem [goldenRecordItemNo=B001, grecItemDescription=戶籍/註冊地址郵遞區號, serviceParameter=residenceAddrPostalCode, groupRecordItemGroup=GoldenRecordItemGroup [goldenRecordItemGroupId=2, itemGroupCode=B, itemGroupName=顧客聯絡資訊]], goldenRecordItemContent=112], ChangeRequestLineitem [crLineitemId=null, rowIndex=1, goldenRecordItem=GoldenRecordItem [goldenRecordItemNo=B004, grecItemDescription=戶籍/註冊地址所在地(區鄉鎮), serviceParameter=residenceAddrAdminArea, groupRecordItemGroup=GoldenRecordItemGroup [goldenRecordItemGroupId=2, itemGroupCode=B, itemGroupName=顧客聯絡資訊]], goldenRecordItemContent=北投區], ChangeRequestLineitem [crLineitemId=null, rowIndex=1, goldenRecordItem=GoldenRecordItem [goldenRecordItemNo=A032, grecItemDescription=顧客服務公司統編, serviceParameter=serveCompanyCertNo, groupRecordItemGroup=GoldenRecordItemGroup [goldenRecordItemGroupId=1, itemGroupCode=A, itemGroupName=顧客基本資訊]], goldenRecordItemContent=null], ChangeRequestLineitem [crLineitemId=null, rowIndex=1, goldenRecordItem=GoldenRecordItem [goldenRecordItemNo=A033, grecItemDescription=顧客服務公司名稱, serviceParameter=serveCompanyName, groupRecordItemGroup=GoldenRecordItemGroup [goldenRecordItemGroupId=1, itemGroupCode=A, itemGroupName=顧客基本資訊]], goldenRecordItemContent=台灣台東地方法院], ChangeRequestLineitem [crLineitemId=null, rowIndex=1, goldenRecordItem=GoldenRecordItem [goldenRecordItemNo=A031, grecItemDescription=職稱, serviceParameter=jobTitle, groupRecordItemGroup=GoldenRecordItemGroup [goldenRecordItemGroupId=1, itemGroupCode=A, itemGroupName=顧客基本資訊]], goldenRecordItemContent=法官], ChangeRequestLineitem [crLineitemId=null, rowIndex=1, goldenRecordItem=GoldenRecordItem [goldenRecordItemNo=B007, grecItemDescription=通訊地址國別, serviceParameter=contactAddrCountryCode, groupRecordItemGroup=GoldenRecordItemGroup [goldenRecordItemGroupId=2, itemGroupCode=B, itemGroupName=顧客聯絡資訊]], goldenRecordItemContent=TW], ChangeRequestLineitem [crLineitemId=null, rowIndex=1, goldenRecordItem=GoldenRecordItem [goldenRecordItemNo=A019, grecItemDescription=自然人出生日期, serviceParameter=customerBirthday, groupRecordItemGroup=GoldenRecordItemGroup [goldenRecordItemGroupId=1, itemGroupCode=A, itemGroupName=顧客基本資訊]], goldenRecordItemContent=1987-11-23], ChangeRequestLineitem [crLineitemId=null, rowIndex=1, goldenRecordItem=GoldenRecordItem [goldenRecordItemNo=B002, grecItemDescription=戶籍/註冊地址國別, serviceParameter=residenceAddrCountryCode, groupRecordItemGroup=GoldenRecordItemGroup [goldenRecordItemGroupId=2, itemGroupCode=B, itemGroupName=顧客聯絡資訊]], goldenRecordItemContent=TW]], custType=P, relationRemoval=false]；CustCipIdentity:CustCipIdentity [custId=688467, custType=P, certTypeCode=00, partyKind=P, oldRestart=false, customerTag=null, idChangeState=null, creditCardKey=null, circiKey=null, birthDay=Mon Nov 23 00:00:00 GMT+08:00 1987]；ServiceInterchange:ServiceInterchange [serviceInterchangeId=1645015800693469551, serviceInterchangeTime=Wed Feb 16 12:50:00 GMT+08:00 2022, msgNo=TS0116_00_20220216125000_24611, serviceName=CATEGORY_002, operationName=writeCustomerInfo, txnCode=A101011, txnTime=Wed Feb 16 12:50:00 GMT+08:00 2022, senderCode=TS0116_00, receiverCode=UP0090_00, operatorCode=20129, unitCode=0716, authorizerCode=null, serviceResponse=null, queryResponseLineitems=[]], Exception : ]</v>
      </c>
      <c r="P386" s="7" t="str">
        <f t="shared" si="45"/>
        <v>請協助處理</v>
      </c>
      <c r="Q386" s="7"/>
      <c r="R386" s="7"/>
      <c r="S386" s="16"/>
      <c r="T386" s="4" t="s">
        <v>3804</v>
      </c>
      <c r="U386" s="4" t="s">
        <v>17</v>
      </c>
      <c r="V386" s="4" t="s">
        <v>3797</v>
      </c>
      <c r="W386" s="4" t="s">
        <v>3798</v>
      </c>
      <c r="X386" s="4" t="s">
        <v>3808</v>
      </c>
      <c r="Y386" s="4" t="s">
        <v>3811</v>
      </c>
      <c r="Z386" s="4" t="s">
        <v>3807</v>
      </c>
      <c r="AA386" s="37" t="s">
        <v>3805</v>
      </c>
      <c r="AB386" s="4" t="s">
        <v>2576</v>
      </c>
      <c r="AC386" s="4" t="s">
        <v>2315</v>
      </c>
      <c r="AD386" s="4" t="s">
        <v>3806</v>
      </c>
      <c r="AE386" s="4"/>
      <c r="AF386" s="4"/>
    </row>
    <row r="387" spans="1:32" ht="165" x14ac:dyDescent="0.25">
      <c r="A387" s="4" t="str">
        <f t="shared" si="42"/>
        <v>'1645088680432463-3116805-77-02',</v>
      </c>
      <c r="B387" s="4" t="str">
        <f t="shared" si="43"/>
        <v>'1645088680682874-3117633-94-02',</v>
      </c>
      <c r="C387" s="15"/>
      <c r="D387" s="38" t="s">
        <v>3830</v>
      </c>
      <c r="E387" s="5"/>
      <c r="F387" s="5"/>
      <c r="G387" s="29"/>
      <c r="H387" s="5"/>
      <c r="I387" s="22"/>
      <c r="J387" s="16"/>
      <c r="K387" s="34" t="s">
        <v>3842</v>
      </c>
      <c r="L387" s="16"/>
      <c r="M387" s="16" t="str">
        <f t="shared" si="46"/>
        <v/>
      </c>
      <c r="N387" s="16" t="str">
        <f t="shared" si="47"/>
        <v/>
      </c>
      <c r="O387" s="7" t="str">
        <f t="shared" si="44"/>
        <v>發送ID改號電文給CIP回傳錯誤碼:UP0090_00_R101,錯誤碼訊息:存在驗證錯誤,錯誤訊息:[ID改號作業-&gt;CIF改號作業-&gt;&lt;檢查有誤，查無符合(改號前)銀行歸戶統編(E12131227A)顧客&gt;]</v>
      </c>
      <c r="P387" s="7" t="str">
        <f t="shared" si="45"/>
        <v>請協助處理</v>
      </c>
      <c r="Q387" s="7" t="s">
        <v>162</v>
      </c>
      <c r="R387" s="7"/>
      <c r="S387" s="16" t="s">
        <v>299</v>
      </c>
      <c r="T387" s="4" t="s">
        <v>3822</v>
      </c>
      <c r="U387" s="4" t="s">
        <v>17</v>
      </c>
      <c r="V387" s="4" t="s">
        <v>3820</v>
      </c>
      <c r="W387" s="4" t="s">
        <v>3821</v>
      </c>
      <c r="X387" s="4" t="s">
        <v>3823</v>
      </c>
      <c r="Y387" s="4" t="s">
        <v>3824</v>
      </c>
      <c r="Z387" s="4" t="s">
        <v>3825</v>
      </c>
      <c r="AA387" s="37" t="s">
        <v>3827</v>
      </c>
      <c r="AB387" s="4" t="s">
        <v>2209</v>
      </c>
      <c r="AC387" s="4" t="s">
        <v>2315</v>
      </c>
      <c r="AD387" s="4" t="s">
        <v>3826</v>
      </c>
      <c r="AE387" s="32" t="s">
        <v>3828</v>
      </c>
      <c r="AF387" s="4" t="s">
        <v>3829</v>
      </c>
    </row>
    <row r="388" spans="1:32" x14ac:dyDescent="0.25">
      <c r="A388" s="4" t="str">
        <f t="shared" si="42"/>
        <v>'1645107790106943-3159793-28-02',</v>
      </c>
      <c r="B388" s="4" t="str">
        <f t="shared" si="43"/>
        <v>'1645107790468597-3159819-11-02',</v>
      </c>
      <c r="C388" s="15"/>
      <c r="D388" s="5"/>
      <c r="E388" s="5"/>
      <c r="F388" s="5"/>
      <c r="G388" s="29"/>
      <c r="H388" s="5"/>
      <c r="I388" s="22"/>
      <c r="J388" s="16"/>
      <c r="K388" s="25"/>
      <c r="L388" s="16"/>
      <c r="M388" s="16" t="str">
        <f t="shared" si="46"/>
        <v/>
      </c>
      <c r="N388" s="16" t="str">
        <f t="shared" si="47"/>
        <v/>
      </c>
      <c r="O388" s="7" t="str">
        <f t="shared" si="44"/>
        <v>發送異動通知電文給CIP回傳錯誤碼:UP0090_00_V201,錯誤碼訊息:必要性檢核錯誤,錯誤訊息:[DEL00000000000001274 顧客 TS0116_00 已刪除，但全行未刪除，無法進行異動建檔]</v>
      </c>
      <c r="P388" s="7" t="str">
        <f t="shared" si="45"/>
        <v>請協助處理</v>
      </c>
      <c r="Q388" s="7" t="s">
        <v>162</v>
      </c>
      <c r="R388" s="7"/>
      <c r="S388" s="16" t="s">
        <v>299</v>
      </c>
      <c r="T388" s="4" t="s">
        <v>3834</v>
      </c>
      <c r="U388" s="4" t="s">
        <v>17</v>
      </c>
      <c r="V388" s="4" t="s">
        <v>3832</v>
      </c>
      <c r="W388" s="4" t="s">
        <v>3833</v>
      </c>
      <c r="X388" s="4" t="s">
        <v>3835</v>
      </c>
      <c r="Y388" s="4" t="s">
        <v>3836</v>
      </c>
      <c r="Z388" s="4" t="s">
        <v>3837</v>
      </c>
      <c r="AA388" s="37" t="s">
        <v>3839</v>
      </c>
      <c r="AB388" s="4" t="s">
        <v>2576</v>
      </c>
      <c r="AC388" s="4" t="s">
        <v>2315</v>
      </c>
      <c r="AD388" s="4" t="s">
        <v>3838</v>
      </c>
      <c r="AE388" s="4" t="s">
        <v>3840</v>
      </c>
      <c r="AF388" s="4" t="s">
        <v>3841</v>
      </c>
    </row>
    <row r="389" spans="1:32" x14ac:dyDescent="0.25">
      <c r="A389" s="4" t="str">
        <f t="shared" si="42"/>
        <v>'1645164044937423-3282480-69-02',</v>
      </c>
      <c r="B389" s="4" t="str">
        <f t="shared" si="43"/>
        <v>'1645164045970347-3284264-87-01',</v>
      </c>
      <c r="C389" s="15"/>
      <c r="D389" s="5" t="s">
        <v>3848</v>
      </c>
      <c r="E389" s="5"/>
      <c r="F389" s="5" t="s">
        <v>3850</v>
      </c>
      <c r="G389" s="29"/>
      <c r="H389" s="5"/>
      <c r="I389" s="22"/>
      <c r="J389" s="16"/>
      <c r="K389" s="25" t="s">
        <v>3847</v>
      </c>
      <c r="L389" s="16" t="s">
        <v>2786</v>
      </c>
      <c r="M389" s="16" t="str">
        <f t="shared" si="46"/>
        <v>UPDATE CIFX.TB_SERVICE_EXECUTION_CONTROL SET EXECUTION_STATE = 'TO_EXECUTE',RESULT_CODE = NULL,EXECUTING_TIMESTAMP = null,EXECUTED_TIMESTAMP = null,ap_server_EXECUTING = NULL WHERE SERVICE_EXECUTION_CONTROL_ID IN ('1645164045093454-3282480-79-02') AND EXECUTION_TYPE = 'STAGE1_EXECUTION';</v>
      </c>
      <c r="N389" s="16" t="str">
        <f t="shared" si="47"/>
        <v>SELECT EXECUTION_TYPE,SERVICE_INTERCHANGE_ID,CIRCI_KEY,EXECUTION_STATE FROM CIFX.TB_SERVICE_EXECUTION_CONTROL WHERE SERVICE_EXECUTION_CONTROL_ID IN ('1645164045093454-3282480-79-02') AND EXECUTION_TYPE = 'STAGE1_EXECUTION';</v>
      </c>
      <c r="O389" s="7" t="str">
        <f t="shared" si="44"/>
        <v>發送異動通知電文，未回傳resultCode!!,回傳代碼描述:,錯誤訊息:[]</v>
      </c>
      <c r="P389" s="7" t="str">
        <f t="shared" si="45"/>
        <v>請協助處理</v>
      </c>
      <c r="Q389" s="7"/>
      <c r="R389" s="7"/>
      <c r="S389" s="16"/>
      <c r="T389" s="4" t="s">
        <v>3845</v>
      </c>
      <c r="U389" s="4" t="s">
        <v>17</v>
      </c>
      <c r="V389" s="4" t="s">
        <v>900</v>
      </c>
      <c r="W389" s="4" t="s">
        <v>3844</v>
      </c>
      <c r="X389" s="4" t="s">
        <v>3851</v>
      </c>
      <c r="Y389" s="4" t="s">
        <v>3849</v>
      </c>
      <c r="Z389" s="4" t="s">
        <v>3846</v>
      </c>
      <c r="AA389" s="37" t="s">
        <v>3852</v>
      </c>
      <c r="AB389" s="4" t="s">
        <v>2688</v>
      </c>
      <c r="AC389" s="4" t="s">
        <v>2315</v>
      </c>
      <c r="AD389" s="4"/>
      <c r="AE389" s="4"/>
      <c r="AF389" s="4"/>
    </row>
    <row r="390" spans="1:32" x14ac:dyDescent="0.25">
      <c r="A390" s="4" t="str">
        <f t="shared" si="42"/>
        <v>'',</v>
      </c>
      <c r="B390" s="4" t="str">
        <f t="shared" si="43"/>
        <v>'',</v>
      </c>
      <c r="C390" s="15"/>
      <c r="D390" s="5"/>
      <c r="E390" s="5"/>
      <c r="F390" s="5"/>
      <c r="G390" s="29"/>
      <c r="H390" s="5"/>
      <c r="I390" s="22"/>
      <c r="J390" s="16"/>
      <c r="K390" s="25"/>
      <c r="L390" s="16"/>
      <c r="M390" s="16" t="str">
        <f t="shared" si="46"/>
        <v/>
      </c>
      <c r="N390" s="16" t="str">
        <f t="shared" si="47"/>
        <v/>
      </c>
      <c r="O390" s="7" t="str">
        <f t="shared" si="44"/>
        <v/>
      </c>
      <c r="P390" s="7" t="str">
        <f t="shared" si="45"/>
        <v/>
      </c>
      <c r="Q390" s="7"/>
      <c r="R390" s="7"/>
      <c r="S390" s="16"/>
      <c r="T390" s="4"/>
      <c r="U390" s="4"/>
      <c r="V390" s="4"/>
      <c r="W390" s="4"/>
      <c r="X390" s="4"/>
      <c r="Y390" s="4"/>
      <c r="Z390" s="4"/>
      <c r="AA390" s="37"/>
      <c r="AB390" s="4"/>
      <c r="AC390" s="4"/>
      <c r="AD390" s="4"/>
      <c r="AE390" s="4"/>
      <c r="AF390" s="4"/>
    </row>
    <row r="391" spans="1:32" x14ac:dyDescent="0.25">
      <c r="A391" s="4" t="str">
        <f t="shared" si="42"/>
        <v>'',</v>
      </c>
      <c r="B391" s="4" t="str">
        <f t="shared" si="43"/>
        <v>'',</v>
      </c>
      <c r="C391" s="15"/>
      <c r="D391" s="5"/>
      <c r="E391" s="5"/>
      <c r="F391" s="5"/>
      <c r="G391" s="29"/>
      <c r="H391" s="5"/>
      <c r="I391" s="22"/>
      <c r="J391" s="16"/>
      <c r="K391" s="25"/>
      <c r="L391" s="16"/>
      <c r="M391" s="16" t="str">
        <f t="shared" si="46"/>
        <v/>
      </c>
      <c r="N391" s="16" t="str">
        <f t="shared" si="47"/>
        <v/>
      </c>
      <c r="O391" s="7" t="str">
        <f t="shared" si="44"/>
        <v/>
      </c>
      <c r="P391" s="7" t="str">
        <f t="shared" si="45"/>
        <v/>
      </c>
      <c r="Q391" s="7"/>
      <c r="R391" s="7"/>
      <c r="S391" s="16"/>
      <c r="T391" s="4"/>
      <c r="U391" s="4"/>
      <c r="V391" s="4"/>
      <c r="W391" s="4"/>
      <c r="X391" s="4"/>
      <c r="Y391" s="4"/>
      <c r="Z391" s="4"/>
      <c r="AA391" s="37"/>
      <c r="AB391" s="4"/>
      <c r="AC391" s="4"/>
      <c r="AD391" s="4"/>
      <c r="AE391" s="4"/>
      <c r="AF391" s="4"/>
    </row>
    <row r="392" spans="1:32" x14ac:dyDescent="0.25">
      <c r="A392" s="4" t="str">
        <f t="shared" si="42"/>
        <v>'',</v>
      </c>
      <c r="B392" s="4" t="str">
        <f t="shared" si="43"/>
        <v>'',</v>
      </c>
      <c r="C392" s="15"/>
      <c r="D392" s="5"/>
      <c r="E392" s="5"/>
      <c r="F392" s="5"/>
      <c r="G392" s="29"/>
      <c r="H392" s="5"/>
      <c r="I392" s="22"/>
      <c r="J392" s="16"/>
      <c r="K392" s="25"/>
      <c r="L392" s="16"/>
      <c r="M392" s="16" t="str">
        <f t="shared" si="46"/>
        <v/>
      </c>
      <c r="N392" s="16" t="str">
        <f t="shared" si="47"/>
        <v/>
      </c>
      <c r="O392" s="7" t="str">
        <f t="shared" si="44"/>
        <v/>
      </c>
      <c r="P392" s="7" t="str">
        <f t="shared" si="45"/>
        <v/>
      </c>
      <c r="Q392" s="7"/>
      <c r="R392" s="7"/>
      <c r="S392" s="16"/>
      <c r="T392" s="4"/>
      <c r="U392" s="4"/>
      <c r="V392" s="4"/>
      <c r="W392" s="4"/>
      <c r="X392" s="4"/>
      <c r="Y392" s="4"/>
      <c r="Z392" s="4"/>
      <c r="AA392" s="37"/>
      <c r="AB392" s="4"/>
      <c r="AC392" s="4"/>
      <c r="AD392" s="4"/>
      <c r="AE392" s="4"/>
      <c r="AF392" s="4"/>
    </row>
    <row r="393" spans="1:32" x14ac:dyDescent="0.25">
      <c r="A393" s="4" t="str">
        <f t="shared" si="42"/>
        <v>'',</v>
      </c>
      <c r="B393" s="4" t="str">
        <f t="shared" si="43"/>
        <v>'',</v>
      </c>
      <c r="C393" s="15"/>
      <c r="D393" s="5"/>
      <c r="E393" s="5"/>
      <c r="F393" s="5"/>
      <c r="G393" s="29"/>
      <c r="H393" s="5"/>
      <c r="I393" s="22"/>
      <c r="J393" s="16"/>
      <c r="K393" s="25"/>
      <c r="L393" s="16"/>
      <c r="M393" s="16" t="str">
        <f t="shared" si="46"/>
        <v/>
      </c>
      <c r="N393" s="16" t="str">
        <f t="shared" si="47"/>
        <v/>
      </c>
      <c r="O393" s="7" t="str">
        <f t="shared" si="44"/>
        <v/>
      </c>
      <c r="P393" s="7" t="str">
        <f t="shared" si="45"/>
        <v/>
      </c>
      <c r="Q393" s="7"/>
      <c r="R393" s="7"/>
      <c r="S393" s="16"/>
      <c r="T393" s="4"/>
      <c r="U393" s="4"/>
      <c r="V393" s="4"/>
      <c r="W393" s="4"/>
      <c r="X393" s="4"/>
      <c r="Y393" s="4"/>
      <c r="Z393" s="4"/>
      <c r="AA393" s="37"/>
      <c r="AB393" s="4"/>
      <c r="AC393" s="4"/>
      <c r="AD393" s="4"/>
      <c r="AE393" s="4"/>
      <c r="AF393" s="4"/>
    </row>
    <row r="394" spans="1:32" x14ac:dyDescent="0.25">
      <c r="A394" s="4" t="str">
        <f t="shared" ref="A394:A457" si="48">"'"&amp;X394&amp;"',"</f>
        <v>'',</v>
      </c>
      <c r="B394" s="4" t="str">
        <f t="shared" ref="B394:B457" si="49">"'"&amp;T394&amp;"',"</f>
        <v>'',</v>
      </c>
      <c r="C394" s="15"/>
      <c r="D394" s="5"/>
      <c r="E394" s="5"/>
      <c r="F394" s="5"/>
      <c r="G394" s="29"/>
      <c r="H394" s="5"/>
      <c r="I394" s="22"/>
      <c r="J394" s="16"/>
      <c r="K394" s="25"/>
      <c r="L394" s="16"/>
      <c r="M394" s="16" t="str">
        <f t="shared" si="46"/>
        <v/>
      </c>
      <c r="N394" s="16" t="str">
        <f t="shared" si="47"/>
        <v/>
      </c>
      <c r="O394" s="7" t="str">
        <f t="shared" si="44"/>
        <v/>
      </c>
      <c r="P394" s="7" t="str">
        <f t="shared" si="45"/>
        <v/>
      </c>
      <c r="Q394" s="7"/>
      <c r="R394" s="7"/>
      <c r="S394" s="16"/>
      <c r="T394" s="4"/>
      <c r="U394" s="4"/>
      <c r="V394" s="4"/>
      <c r="W394" s="4"/>
      <c r="X394" s="4"/>
      <c r="Y394" s="4"/>
      <c r="Z394" s="4"/>
      <c r="AA394" s="37"/>
      <c r="AB394" s="4"/>
      <c r="AC394" s="4"/>
      <c r="AD394" s="4"/>
      <c r="AE394" s="4"/>
      <c r="AF394" s="4"/>
    </row>
    <row r="395" spans="1:32" x14ac:dyDescent="0.25">
      <c r="A395" s="4" t="str">
        <f t="shared" si="48"/>
        <v>'',</v>
      </c>
      <c r="B395" s="4" t="str">
        <f t="shared" si="49"/>
        <v>'',</v>
      </c>
      <c r="C395" s="15"/>
      <c r="D395" s="5"/>
      <c r="E395" s="5"/>
      <c r="F395" s="5"/>
      <c r="G395" s="29"/>
      <c r="H395" s="5"/>
      <c r="I395" s="22"/>
      <c r="J395" s="16"/>
      <c r="K395" s="25"/>
      <c r="L395" s="16"/>
      <c r="M395" s="16" t="str">
        <f t="shared" si="46"/>
        <v/>
      </c>
      <c r="N395" s="16" t="str">
        <f t="shared" si="47"/>
        <v/>
      </c>
      <c r="O395" s="7" t="str">
        <f t="shared" si="44"/>
        <v/>
      </c>
      <c r="P395" s="7" t="str">
        <f t="shared" si="45"/>
        <v/>
      </c>
      <c r="Q395" s="7"/>
      <c r="R395" s="7"/>
      <c r="S395" s="16"/>
      <c r="T395" s="4"/>
      <c r="U395" s="4"/>
      <c r="V395" s="4"/>
      <c r="W395" s="4"/>
      <c r="X395" s="4"/>
      <c r="Y395" s="4"/>
      <c r="Z395" s="4"/>
      <c r="AA395" s="37"/>
      <c r="AB395" s="4"/>
      <c r="AC395" s="4"/>
      <c r="AD395" s="4"/>
      <c r="AE395" s="4"/>
      <c r="AF395" s="4"/>
    </row>
    <row r="396" spans="1:32" x14ac:dyDescent="0.25">
      <c r="A396" s="4" t="str">
        <f t="shared" si="48"/>
        <v>'',</v>
      </c>
      <c r="B396" s="4" t="str">
        <f t="shared" si="49"/>
        <v>'',</v>
      </c>
      <c r="C396" s="15"/>
      <c r="D396" s="5"/>
      <c r="E396" s="5"/>
      <c r="F396" s="5"/>
      <c r="G396" s="29"/>
      <c r="H396" s="5"/>
      <c r="I396" s="22"/>
      <c r="J396" s="16"/>
      <c r="K396" s="25"/>
      <c r="L396" s="16"/>
      <c r="M396" s="16" t="str">
        <f t="shared" si="46"/>
        <v/>
      </c>
      <c r="N396" s="16" t="str">
        <f t="shared" si="47"/>
        <v/>
      </c>
      <c r="O396" s="7" t="str">
        <f t="shared" si="44"/>
        <v/>
      </c>
      <c r="P396" s="7" t="str">
        <f t="shared" si="45"/>
        <v/>
      </c>
      <c r="Q396" s="7"/>
      <c r="R396" s="7"/>
      <c r="S396" s="16"/>
      <c r="T396" s="4"/>
      <c r="U396" s="4"/>
      <c r="V396" s="4"/>
      <c r="W396" s="4"/>
      <c r="X396" s="4"/>
      <c r="Y396" s="4"/>
      <c r="Z396" s="4"/>
      <c r="AA396" s="37"/>
      <c r="AB396" s="4"/>
      <c r="AC396" s="4"/>
      <c r="AD396" s="4"/>
      <c r="AE396" s="4"/>
      <c r="AF396" s="4"/>
    </row>
    <row r="397" spans="1:32" x14ac:dyDescent="0.25">
      <c r="A397" s="4" t="str">
        <f t="shared" si="48"/>
        <v>'',</v>
      </c>
      <c r="B397" s="4" t="str">
        <f t="shared" si="49"/>
        <v>'',</v>
      </c>
      <c r="C397" s="15"/>
      <c r="D397" s="5"/>
      <c r="E397" s="5"/>
      <c r="F397" s="5"/>
      <c r="G397" s="29"/>
      <c r="H397" s="5"/>
      <c r="I397" s="22"/>
      <c r="J397" s="16"/>
      <c r="K397" s="25"/>
      <c r="L397" s="16"/>
      <c r="M397" s="16" t="str">
        <f t="shared" si="46"/>
        <v/>
      </c>
      <c r="N397" s="16" t="str">
        <f t="shared" si="47"/>
        <v/>
      </c>
      <c r="O397" s="7" t="str">
        <f t="shared" si="44"/>
        <v/>
      </c>
      <c r="P397" s="7" t="str">
        <f t="shared" si="45"/>
        <v/>
      </c>
      <c r="Q397" s="7"/>
      <c r="R397" s="7"/>
      <c r="S397" s="16"/>
      <c r="T397" s="4"/>
      <c r="U397" s="4"/>
      <c r="V397" s="4"/>
      <c r="W397" s="4"/>
      <c r="X397" s="4"/>
      <c r="Y397" s="4"/>
      <c r="Z397" s="4"/>
      <c r="AA397" s="37"/>
      <c r="AB397" s="4"/>
      <c r="AC397" s="4"/>
      <c r="AD397" s="4"/>
      <c r="AE397" s="4"/>
      <c r="AF397" s="4"/>
    </row>
    <row r="398" spans="1:32" x14ac:dyDescent="0.25">
      <c r="A398" s="4" t="str">
        <f t="shared" si="48"/>
        <v>'',</v>
      </c>
      <c r="B398" s="4" t="str">
        <f t="shared" si="49"/>
        <v>'',</v>
      </c>
      <c r="C398" s="15"/>
      <c r="D398" s="5"/>
      <c r="E398" s="5"/>
      <c r="F398" s="5"/>
      <c r="G398" s="29"/>
      <c r="H398" s="5"/>
      <c r="I398" s="22"/>
      <c r="J398" s="16"/>
      <c r="K398" s="25"/>
      <c r="L398" s="16"/>
      <c r="M398" s="16" t="str">
        <f t="shared" si="46"/>
        <v/>
      </c>
      <c r="N398" s="16" t="str">
        <f t="shared" si="47"/>
        <v/>
      </c>
      <c r="O398" s="7" t="str">
        <f t="shared" si="44"/>
        <v/>
      </c>
      <c r="P398" s="7" t="str">
        <f t="shared" si="45"/>
        <v/>
      </c>
      <c r="Q398" s="7"/>
      <c r="R398" s="7"/>
      <c r="S398" s="16"/>
      <c r="T398" s="4"/>
      <c r="U398" s="4"/>
      <c r="V398" s="4"/>
      <c r="W398" s="4"/>
      <c r="X398" s="4"/>
      <c r="Y398" s="4"/>
      <c r="Z398" s="4"/>
      <c r="AA398" s="37"/>
      <c r="AB398" s="4"/>
      <c r="AC398" s="4"/>
      <c r="AD398" s="4"/>
      <c r="AE398" s="4"/>
      <c r="AF398" s="4"/>
    </row>
    <row r="399" spans="1:32" x14ac:dyDescent="0.25">
      <c r="A399" s="4" t="str">
        <f t="shared" si="48"/>
        <v>'',</v>
      </c>
      <c r="B399" s="4" t="str">
        <f t="shared" si="49"/>
        <v>'',</v>
      </c>
      <c r="C399" s="15"/>
      <c r="D399" s="5"/>
      <c r="E399" s="5"/>
      <c r="F399" s="5"/>
      <c r="G399" s="29"/>
      <c r="H399" s="5"/>
      <c r="I399" s="22"/>
      <c r="J399" s="16"/>
      <c r="K399" s="25"/>
      <c r="L399" s="16"/>
      <c r="M399" s="16" t="str">
        <f t="shared" si="46"/>
        <v/>
      </c>
      <c r="N399" s="16" t="str">
        <f t="shared" si="47"/>
        <v/>
      </c>
      <c r="O399" s="7" t="str">
        <f t="shared" si="44"/>
        <v/>
      </c>
      <c r="P399" s="7" t="str">
        <f t="shared" si="45"/>
        <v/>
      </c>
      <c r="Q399" s="7"/>
      <c r="R399" s="7"/>
      <c r="S399" s="16"/>
      <c r="T399" s="4"/>
      <c r="U399" s="4"/>
      <c r="V399" s="4"/>
      <c r="W399" s="4"/>
      <c r="X399" s="4"/>
      <c r="Y399" s="4"/>
      <c r="Z399" s="4"/>
      <c r="AA399" s="37"/>
      <c r="AB399" s="4"/>
      <c r="AC399" s="4"/>
      <c r="AD399" s="4"/>
      <c r="AE399" s="4"/>
      <c r="AF399" s="4"/>
    </row>
    <row r="400" spans="1:32" x14ac:dyDescent="0.25">
      <c r="A400" s="4" t="str">
        <f t="shared" si="48"/>
        <v>'',</v>
      </c>
      <c r="B400" s="4" t="str">
        <f t="shared" si="49"/>
        <v>'',</v>
      </c>
      <c r="C400" s="15"/>
      <c r="D400" s="5"/>
      <c r="E400" s="5"/>
      <c r="F400" s="5"/>
      <c r="G400" s="29"/>
      <c r="H400" s="5"/>
      <c r="I400" s="22"/>
      <c r="J400" s="16"/>
      <c r="K400" s="25"/>
      <c r="L400" s="16"/>
      <c r="M400" s="16" t="str">
        <f t="shared" si="46"/>
        <v/>
      </c>
      <c r="N400" s="16" t="str">
        <f t="shared" si="47"/>
        <v/>
      </c>
      <c r="O400" s="7" t="str">
        <f t="shared" ref="O400:O463" si="50">IF(V400&lt;&gt;"",V400,"")</f>
        <v/>
      </c>
      <c r="P400" s="7" t="str">
        <f t="shared" ref="P400:P463" si="51">IF(O400="","","請協助處理")</f>
        <v/>
      </c>
      <c r="Q400" s="7"/>
      <c r="R400" s="7"/>
      <c r="S400" s="16"/>
      <c r="T400" s="4"/>
      <c r="U400" s="4"/>
      <c r="V400" s="4"/>
      <c r="W400" s="4"/>
      <c r="X400" s="4"/>
      <c r="Y400" s="4"/>
      <c r="Z400" s="4"/>
      <c r="AA400" s="37"/>
      <c r="AB400" s="4"/>
      <c r="AC400" s="4"/>
      <c r="AD400" s="4"/>
      <c r="AE400" s="4"/>
      <c r="AF400" s="4"/>
    </row>
    <row r="401" spans="1:32" x14ac:dyDescent="0.25">
      <c r="A401" s="4" t="str">
        <f t="shared" si="48"/>
        <v>'',</v>
      </c>
      <c r="B401" s="4" t="str">
        <f t="shared" si="49"/>
        <v>'',</v>
      </c>
      <c r="C401" s="15"/>
      <c r="D401" s="5"/>
      <c r="E401" s="5"/>
      <c r="F401" s="5"/>
      <c r="G401" s="29"/>
      <c r="H401" s="5"/>
      <c r="I401" s="22"/>
      <c r="J401" s="16"/>
      <c r="K401" s="25"/>
      <c r="L401" s="16"/>
      <c r="M401" s="16" t="str">
        <f t="shared" si="46"/>
        <v/>
      </c>
      <c r="N401" s="16" t="str">
        <f t="shared" si="47"/>
        <v/>
      </c>
      <c r="O401" s="7" t="str">
        <f t="shared" si="50"/>
        <v/>
      </c>
      <c r="P401" s="7" t="str">
        <f t="shared" si="51"/>
        <v/>
      </c>
      <c r="Q401" s="7"/>
      <c r="R401" s="7"/>
      <c r="S401" s="16"/>
      <c r="T401" s="4"/>
      <c r="U401" s="4"/>
      <c r="V401" s="4"/>
      <c r="W401" s="4"/>
      <c r="X401" s="4"/>
      <c r="Y401" s="4"/>
      <c r="Z401" s="4"/>
      <c r="AA401" s="37"/>
      <c r="AB401" s="4"/>
      <c r="AC401" s="4"/>
      <c r="AD401" s="4"/>
      <c r="AE401" s="4"/>
      <c r="AF401" s="4"/>
    </row>
    <row r="402" spans="1:32" x14ac:dyDescent="0.25">
      <c r="A402" s="4" t="str">
        <f t="shared" si="48"/>
        <v>'',</v>
      </c>
      <c r="B402" s="4" t="str">
        <f t="shared" si="49"/>
        <v>'',</v>
      </c>
      <c r="C402" s="15"/>
      <c r="D402" s="5"/>
      <c r="E402" s="5"/>
      <c r="F402" s="5"/>
      <c r="G402" s="29"/>
      <c r="H402" s="5"/>
      <c r="I402" s="22"/>
      <c r="J402" s="16"/>
      <c r="K402" s="25"/>
      <c r="L402" s="16"/>
      <c r="M402" s="16" t="str">
        <f t="shared" si="46"/>
        <v/>
      </c>
      <c r="N402" s="16" t="str">
        <f t="shared" si="47"/>
        <v/>
      </c>
      <c r="O402" s="7" t="str">
        <f t="shared" si="50"/>
        <v/>
      </c>
      <c r="P402" s="7" t="str">
        <f t="shared" si="51"/>
        <v/>
      </c>
      <c r="Q402" s="7"/>
      <c r="R402" s="7"/>
      <c r="S402" s="16"/>
      <c r="T402" s="4"/>
      <c r="U402" s="4"/>
      <c r="V402" s="4"/>
      <c r="W402" s="4"/>
      <c r="X402" s="4"/>
      <c r="Y402" s="4"/>
      <c r="Z402" s="4"/>
      <c r="AA402" s="37"/>
      <c r="AB402" s="4"/>
      <c r="AC402" s="4"/>
      <c r="AD402" s="4"/>
      <c r="AE402" s="4"/>
      <c r="AF402" s="4"/>
    </row>
    <row r="403" spans="1:32" x14ac:dyDescent="0.25">
      <c r="A403" s="4" t="str">
        <f t="shared" si="48"/>
        <v>'',</v>
      </c>
      <c r="B403" s="4" t="str">
        <f t="shared" si="49"/>
        <v>'',</v>
      </c>
      <c r="C403" s="15"/>
      <c r="D403" s="5"/>
      <c r="E403" s="5"/>
      <c r="F403" s="5"/>
      <c r="G403" s="29"/>
      <c r="H403" s="5"/>
      <c r="I403" s="22"/>
      <c r="J403" s="16"/>
      <c r="K403" s="25"/>
      <c r="L403" s="16"/>
      <c r="M403" s="16" t="str">
        <f t="shared" si="46"/>
        <v/>
      </c>
      <c r="N403" s="16" t="str">
        <f t="shared" si="47"/>
        <v/>
      </c>
      <c r="O403" s="7" t="str">
        <f t="shared" si="50"/>
        <v/>
      </c>
      <c r="P403" s="7" t="str">
        <f t="shared" si="51"/>
        <v/>
      </c>
      <c r="Q403" s="7"/>
      <c r="R403" s="7"/>
      <c r="S403" s="16"/>
      <c r="T403" s="4"/>
      <c r="U403" s="4"/>
      <c r="V403" s="4"/>
      <c r="W403" s="4"/>
      <c r="X403" s="4"/>
      <c r="Y403" s="4"/>
      <c r="Z403" s="4"/>
      <c r="AA403" s="37"/>
      <c r="AB403" s="4"/>
      <c r="AC403" s="4"/>
      <c r="AD403" s="4"/>
      <c r="AE403" s="4"/>
      <c r="AF403" s="4"/>
    </row>
    <row r="404" spans="1:32" x14ac:dyDescent="0.25">
      <c r="A404" s="4" t="str">
        <f t="shared" si="48"/>
        <v>'',</v>
      </c>
      <c r="B404" s="4" t="str">
        <f t="shared" si="49"/>
        <v>'',</v>
      </c>
      <c r="C404" s="15"/>
      <c r="D404" s="5"/>
      <c r="E404" s="5"/>
      <c r="F404" s="5"/>
      <c r="G404" s="29"/>
      <c r="H404" s="5"/>
      <c r="I404" s="22"/>
      <c r="J404" s="16"/>
      <c r="K404" s="25"/>
      <c r="L404" s="16"/>
      <c r="M404" s="16" t="str">
        <f t="shared" si="46"/>
        <v/>
      </c>
      <c r="N404" s="16" t="str">
        <f t="shared" si="47"/>
        <v/>
      </c>
      <c r="O404" s="7" t="str">
        <f t="shared" si="50"/>
        <v/>
      </c>
      <c r="P404" s="7" t="str">
        <f t="shared" si="51"/>
        <v/>
      </c>
      <c r="Q404" s="7"/>
      <c r="R404" s="7"/>
      <c r="S404" s="16"/>
      <c r="T404" s="4"/>
      <c r="U404" s="4"/>
      <c r="V404" s="4"/>
      <c r="W404" s="4"/>
      <c r="X404" s="4"/>
      <c r="Y404" s="4"/>
      <c r="Z404" s="4"/>
      <c r="AA404" s="37"/>
      <c r="AB404" s="4"/>
      <c r="AC404" s="4"/>
      <c r="AD404" s="4"/>
      <c r="AE404" s="4"/>
      <c r="AF404" s="4"/>
    </row>
    <row r="405" spans="1:32" x14ac:dyDescent="0.25">
      <c r="A405" s="4" t="str">
        <f t="shared" si="48"/>
        <v>'',</v>
      </c>
      <c r="B405" s="4" t="str">
        <f t="shared" si="49"/>
        <v>'',</v>
      </c>
      <c r="C405" s="15"/>
      <c r="D405" s="5"/>
      <c r="E405" s="5"/>
      <c r="F405" s="5"/>
      <c r="G405" s="29"/>
      <c r="H405" s="5"/>
      <c r="I405" s="22"/>
      <c r="J405" s="16"/>
      <c r="K405" s="25"/>
      <c r="L405" s="16"/>
      <c r="M405" s="16" t="str">
        <f t="shared" si="46"/>
        <v/>
      </c>
      <c r="N405" s="16" t="str">
        <f t="shared" si="47"/>
        <v/>
      </c>
      <c r="O405" s="7" t="str">
        <f t="shared" si="50"/>
        <v/>
      </c>
      <c r="P405" s="7" t="str">
        <f t="shared" si="51"/>
        <v/>
      </c>
      <c r="Q405" s="7"/>
      <c r="R405" s="7"/>
      <c r="S405" s="16"/>
      <c r="T405" s="4"/>
      <c r="U405" s="4"/>
      <c r="V405" s="4"/>
      <c r="W405" s="4"/>
      <c r="X405" s="4"/>
      <c r="Y405" s="4"/>
      <c r="Z405" s="4"/>
      <c r="AA405" s="37"/>
      <c r="AB405" s="4"/>
      <c r="AC405" s="4"/>
      <c r="AD405" s="4"/>
      <c r="AE405" s="4"/>
      <c r="AF405" s="4"/>
    </row>
    <row r="406" spans="1:32" x14ac:dyDescent="0.25">
      <c r="A406" s="4" t="str">
        <f t="shared" si="48"/>
        <v>'',</v>
      </c>
      <c r="B406" s="4" t="str">
        <f t="shared" si="49"/>
        <v>'',</v>
      </c>
      <c r="C406" s="15"/>
      <c r="D406" s="5"/>
      <c r="E406" s="5"/>
      <c r="F406" s="5"/>
      <c r="G406" s="29"/>
      <c r="H406" s="5"/>
      <c r="I406" s="22"/>
      <c r="J406" s="16"/>
      <c r="K406" s="25"/>
      <c r="L406" s="16"/>
      <c r="M406" s="16" t="str">
        <f t="shared" si="46"/>
        <v/>
      </c>
      <c r="N406" s="16" t="str">
        <f t="shared" si="47"/>
        <v/>
      </c>
      <c r="O406" s="7" t="str">
        <f t="shared" si="50"/>
        <v/>
      </c>
      <c r="P406" s="7" t="str">
        <f t="shared" si="51"/>
        <v/>
      </c>
      <c r="Q406" s="7"/>
      <c r="R406" s="7"/>
      <c r="S406" s="16"/>
      <c r="T406" s="4"/>
      <c r="U406" s="4"/>
      <c r="V406" s="4"/>
      <c r="W406" s="4"/>
      <c r="X406" s="4"/>
      <c r="Y406" s="4"/>
      <c r="Z406" s="4"/>
      <c r="AA406" s="37"/>
      <c r="AB406" s="4"/>
      <c r="AC406" s="4"/>
      <c r="AD406" s="4"/>
      <c r="AE406" s="4"/>
      <c r="AF406" s="4"/>
    </row>
    <row r="407" spans="1:32" x14ac:dyDescent="0.25">
      <c r="A407" s="4" t="str">
        <f t="shared" si="48"/>
        <v>'',</v>
      </c>
      <c r="B407" s="4" t="str">
        <f t="shared" si="49"/>
        <v>'',</v>
      </c>
      <c r="C407" s="15"/>
      <c r="D407" s="5"/>
      <c r="E407" s="5"/>
      <c r="F407" s="5"/>
      <c r="G407" s="29"/>
      <c r="H407" s="5"/>
      <c r="I407" s="22"/>
      <c r="J407" s="16"/>
      <c r="K407" s="25"/>
      <c r="L407" s="16"/>
      <c r="M407" s="16" t="str">
        <f t="shared" si="46"/>
        <v/>
      </c>
      <c r="N407" s="16" t="str">
        <f t="shared" si="47"/>
        <v/>
      </c>
      <c r="O407" s="7" t="str">
        <f t="shared" si="50"/>
        <v/>
      </c>
      <c r="P407" s="7" t="str">
        <f t="shared" si="51"/>
        <v/>
      </c>
      <c r="Q407" s="7"/>
      <c r="R407" s="7"/>
      <c r="S407" s="16"/>
      <c r="T407" s="4"/>
      <c r="U407" s="4"/>
      <c r="V407" s="4"/>
      <c r="W407" s="4"/>
      <c r="X407" s="4"/>
      <c r="Y407" s="4"/>
      <c r="Z407" s="4"/>
      <c r="AA407" s="37"/>
      <c r="AB407" s="4"/>
      <c r="AC407" s="4"/>
      <c r="AD407" s="4"/>
      <c r="AE407" s="4"/>
      <c r="AF407" s="4"/>
    </row>
    <row r="408" spans="1:32" x14ac:dyDescent="0.25">
      <c r="A408" s="4" t="str">
        <f t="shared" si="48"/>
        <v>'',</v>
      </c>
      <c r="B408" s="4" t="str">
        <f t="shared" si="49"/>
        <v>'',</v>
      </c>
      <c r="C408" s="15"/>
      <c r="D408" s="5"/>
      <c r="E408" s="5"/>
      <c r="F408" s="5"/>
      <c r="G408" s="29"/>
      <c r="H408" s="5"/>
      <c r="I408" s="22"/>
      <c r="J408" s="16"/>
      <c r="K408" s="25"/>
      <c r="L408" s="16"/>
      <c r="M408" s="16" t="str">
        <f t="shared" si="46"/>
        <v/>
      </c>
      <c r="N408" s="16" t="str">
        <f t="shared" si="47"/>
        <v/>
      </c>
      <c r="O408" s="7" t="str">
        <f t="shared" si="50"/>
        <v/>
      </c>
      <c r="P408" s="7" t="str">
        <f t="shared" si="51"/>
        <v/>
      </c>
      <c r="Q408" s="7"/>
      <c r="R408" s="7"/>
      <c r="S408" s="16"/>
      <c r="T408" s="4"/>
      <c r="U408" s="4"/>
      <c r="V408" s="4"/>
      <c r="W408" s="4"/>
      <c r="X408" s="4"/>
      <c r="Y408" s="4"/>
      <c r="Z408" s="4"/>
      <c r="AA408" s="37"/>
      <c r="AB408" s="4"/>
      <c r="AC408" s="4"/>
      <c r="AD408" s="4"/>
      <c r="AE408" s="4"/>
      <c r="AF408" s="4"/>
    </row>
    <row r="409" spans="1:32" x14ac:dyDescent="0.25">
      <c r="A409" s="4" t="str">
        <f t="shared" si="48"/>
        <v>'',</v>
      </c>
      <c r="B409" s="4" t="str">
        <f t="shared" si="49"/>
        <v>'',</v>
      </c>
      <c r="C409" s="15"/>
      <c r="D409" s="5"/>
      <c r="E409" s="5"/>
      <c r="F409" s="5"/>
      <c r="G409" s="29"/>
      <c r="H409" s="5"/>
      <c r="I409" s="22"/>
      <c r="J409" s="16"/>
      <c r="K409" s="25"/>
      <c r="L409" s="16"/>
      <c r="M409" s="16" t="str">
        <f t="shared" si="46"/>
        <v/>
      </c>
      <c r="N409" s="16" t="str">
        <f t="shared" si="47"/>
        <v/>
      </c>
      <c r="O409" s="7" t="str">
        <f t="shared" si="50"/>
        <v/>
      </c>
      <c r="P409" s="7" t="str">
        <f t="shared" si="51"/>
        <v/>
      </c>
      <c r="Q409" s="7"/>
      <c r="R409" s="7"/>
      <c r="S409" s="16"/>
      <c r="T409" s="4"/>
      <c r="U409" s="4"/>
      <c r="V409" s="4"/>
      <c r="W409" s="4"/>
      <c r="X409" s="4"/>
      <c r="Y409" s="4"/>
      <c r="Z409" s="4"/>
      <c r="AA409" s="37"/>
      <c r="AB409" s="4"/>
      <c r="AC409" s="4"/>
      <c r="AD409" s="4"/>
      <c r="AE409" s="4"/>
      <c r="AF409" s="4"/>
    </row>
    <row r="410" spans="1:32" x14ac:dyDescent="0.25">
      <c r="A410" s="4" t="str">
        <f t="shared" si="48"/>
        <v>'',</v>
      </c>
      <c r="B410" s="4" t="str">
        <f t="shared" si="49"/>
        <v>'',</v>
      </c>
      <c r="C410" s="15"/>
      <c r="D410" s="5"/>
      <c r="E410" s="5"/>
      <c r="F410" s="5"/>
      <c r="G410" s="29"/>
      <c r="H410" s="5"/>
      <c r="I410" s="22"/>
      <c r="J410" s="16"/>
      <c r="K410" s="25"/>
      <c r="L410" s="16"/>
      <c r="M410" s="16" t="str">
        <f t="shared" si="46"/>
        <v/>
      </c>
      <c r="N410" s="16" t="str">
        <f t="shared" si="47"/>
        <v/>
      </c>
      <c r="O410" s="7" t="str">
        <f t="shared" si="50"/>
        <v/>
      </c>
      <c r="P410" s="7" t="str">
        <f t="shared" si="51"/>
        <v/>
      </c>
      <c r="Q410" s="7"/>
      <c r="R410" s="7"/>
      <c r="S410" s="16"/>
      <c r="T410" s="4"/>
      <c r="U410" s="4"/>
      <c r="V410" s="4"/>
      <c r="W410" s="4"/>
      <c r="X410" s="4"/>
      <c r="Y410" s="4"/>
      <c r="Z410" s="4"/>
      <c r="AA410" s="37"/>
      <c r="AB410" s="4"/>
      <c r="AC410" s="4"/>
      <c r="AD410" s="4"/>
      <c r="AE410" s="4"/>
      <c r="AF410" s="4"/>
    </row>
    <row r="411" spans="1:32" x14ac:dyDescent="0.25">
      <c r="A411" s="4" t="str">
        <f t="shared" si="48"/>
        <v>'',</v>
      </c>
      <c r="B411" s="4" t="str">
        <f t="shared" si="49"/>
        <v>'',</v>
      </c>
      <c r="C411" s="15"/>
      <c r="D411" s="5"/>
      <c r="E411" s="5"/>
      <c r="F411" s="5"/>
      <c r="G411" s="29"/>
      <c r="H411" s="5"/>
      <c r="I411" s="22"/>
      <c r="J411" s="16"/>
      <c r="K411" s="25"/>
      <c r="L411" s="16"/>
      <c r="M411" s="16" t="str">
        <f t="shared" si="46"/>
        <v/>
      </c>
      <c r="N411" s="16" t="str">
        <f t="shared" si="47"/>
        <v/>
      </c>
      <c r="O411" s="7" t="str">
        <f t="shared" si="50"/>
        <v/>
      </c>
      <c r="P411" s="7" t="str">
        <f t="shared" si="51"/>
        <v/>
      </c>
      <c r="Q411" s="7"/>
      <c r="R411" s="7"/>
      <c r="S411" s="16"/>
      <c r="T411" s="4"/>
      <c r="U411" s="4"/>
      <c r="V411" s="4"/>
      <c r="W411" s="4"/>
      <c r="X411" s="4"/>
      <c r="Y411" s="4"/>
      <c r="Z411" s="4"/>
      <c r="AA411" s="37"/>
      <c r="AB411" s="4"/>
      <c r="AC411" s="4"/>
      <c r="AD411" s="4"/>
      <c r="AE411" s="4"/>
      <c r="AF411" s="4"/>
    </row>
    <row r="412" spans="1:32" x14ac:dyDescent="0.25">
      <c r="A412" s="4" t="str">
        <f t="shared" si="48"/>
        <v>'',</v>
      </c>
      <c r="B412" s="4" t="str">
        <f t="shared" si="49"/>
        <v>'',</v>
      </c>
      <c r="C412" s="15"/>
      <c r="D412" s="5"/>
      <c r="E412" s="5"/>
      <c r="F412" s="5"/>
      <c r="G412" s="29"/>
      <c r="H412" s="5"/>
      <c r="I412" s="22"/>
      <c r="J412" s="16"/>
      <c r="K412" s="25"/>
      <c r="L412" s="16"/>
      <c r="M412" s="16" t="str">
        <f t="shared" si="46"/>
        <v/>
      </c>
      <c r="N412" s="16" t="str">
        <f t="shared" si="47"/>
        <v/>
      </c>
      <c r="O412" s="7" t="str">
        <f t="shared" si="50"/>
        <v/>
      </c>
      <c r="P412" s="7" t="str">
        <f t="shared" si="51"/>
        <v/>
      </c>
      <c r="Q412" s="7"/>
      <c r="R412" s="7"/>
      <c r="S412" s="16"/>
      <c r="T412" s="4"/>
      <c r="U412" s="4"/>
      <c r="V412" s="4"/>
      <c r="W412" s="4"/>
      <c r="X412" s="4"/>
      <c r="Y412" s="4"/>
      <c r="Z412" s="4"/>
      <c r="AA412" s="37"/>
      <c r="AB412" s="4"/>
      <c r="AC412" s="4"/>
      <c r="AD412" s="4"/>
      <c r="AE412" s="4"/>
      <c r="AF412" s="4"/>
    </row>
    <row r="413" spans="1:32" x14ac:dyDescent="0.25">
      <c r="A413" s="4" t="str">
        <f t="shared" si="48"/>
        <v>'',</v>
      </c>
      <c r="B413" s="4" t="str">
        <f t="shared" si="49"/>
        <v>'',</v>
      </c>
      <c r="C413" s="15"/>
      <c r="D413" s="5"/>
      <c r="E413" s="5"/>
      <c r="F413" s="5"/>
      <c r="G413" s="29"/>
      <c r="H413" s="5"/>
      <c r="I413" s="22"/>
      <c r="J413" s="16"/>
      <c r="K413" s="25"/>
      <c r="L413" s="16"/>
      <c r="M413" s="16" t="str">
        <f t="shared" si="46"/>
        <v/>
      </c>
      <c r="N413" s="16" t="str">
        <f t="shared" si="47"/>
        <v/>
      </c>
      <c r="O413" s="7" t="str">
        <f t="shared" si="50"/>
        <v/>
      </c>
      <c r="P413" s="7" t="str">
        <f t="shared" si="51"/>
        <v/>
      </c>
      <c r="Q413" s="7"/>
      <c r="R413" s="7"/>
      <c r="S413" s="16"/>
      <c r="T413" s="4"/>
      <c r="U413" s="4"/>
      <c r="V413" s="4"/>
      <c r="W413" s="4"/>
      <c r="X413" s="4"/>
      <c r="Y413" s="4"/>
      <c r="Z413" s="4"/>
      <c r="AA413" s="37"/>
      <c r="AB413" s="4"/>
      <c r="AC413" s="4"/>
      <c r="AD413" s="4"/>
      <c r="AE413" s="4"/>
      <c r="AF413" s="4"/>
    </row>
    <row r="414" spans="1:32" x14ac:dyDescent="0.25">
      <c r="A414" s="4" t="str">
        <f t="shared" si="48"/>
        <v>'',</v>
      </c>
      <c r="B414" s="4" t="str">
        <f t="shared" si="49"/>
        <v>'',</v>
      </c>
      <c r="C414" s="15"/>
      <c r="D414" s="5"/>
      <c r="E414" s="5"/>
      <c r="F414" s="5"/>
      <c r="G414" s="29"/>
      <c r="H414" s="5"/>
      <c r="I414" s="22"/>
      <c r="J414" s="16"/>
      <c r="K414" s="25"/>
      <c r="L414" s="16"/>
      <c r="M414" s="16" t="str">
        <f t="shared" si="46"/>
        <v/>
      </c>
      <c r="N414" s="16" t="str">
        <f t="shared" si="47"/>
        <v/>
      </c>
      <c r="O414" s="7" t="str">
        <f t="shared" si="50"/>
        <v/>
      </c>
      <c r="P414" s="7" t="str">
        <f t="shared" si="51"/>
        <v/>
      </c>
      <c r="Q414" s="7"/>
      <c r="R414" s="7"/>
      <c r="S414" s="16"/>
      <c r="T414" s="4"/>
      <c r="U414" s="4"/>
      <c r="V414" s="4"/>
      <c r="W414" s="4"/>
      <c r="X414" s="4"/>
      <c r="Y414" s="4"/>
      <c r="Z414" s="4"/>
      <c r="AA414" s="37"/>
      <c r="AB414" s="4"/>
      <c r="AC414" s="4"/>
      <c r="AD414" s="4"/>
      <c r="AE414" s="4"/>
      <c r="AF414" s="4"/>
    </row>
    <row r="415" spans="1:32" x14ac:dyDescent="0.25">
      <c r="A415" s="4" t="str">
        <f t="shared" si="48"/>
        <v>'',</v>
      </c>
      <c r="B415" s="4" t="str">
        <f t="shared" si="49"/>
        <v>'',</v>
      </c>
      <c r="C415" s="15"/>
      <c r="D415" s="5"/>
      <c r="E415" s="5"/>
      <c r="F415" s="5"/>
      <c r="G415" s="29"/>
      <c r="H415" s="5"/>
      <c r="I415" s="22"/>
      <c r="J415" s="16"/>
      <c r="K415" s="25"/>
      <c r="L415" s="16"/>
      <c r="M415" s="16" t="str">
        <f t="shared" ref="M415:M478" si="52">IF($L415&lt;&gt;"",IF($L415="清除單筆同步失敗註記","UPDATE CIFX.TB_SERVICE_EXECUTION_CONTROL SET EXECUTION_STATE = "&amp;"'"&amp;"EXECUTED"&amp;"'"&amp;", ap_server_EXECUTING = NULL WHERE SERVICE_EXECUTION_CONTROL_ID IN ("&amp;"'"&amp;$Y415&amp;"'"&amp;") and execution_type = "&amp;"'"&amp;"STAGE1_EXECUTION"&amp;"';"&amp;"",IF($L415="重送單筆CIP電文","UPDATE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("&amp;"'"&amp;$Y415&amp;"'"&amp;") AND EXECUTION_TYPE = "&amp;"'"&amp;"STAGE1_EXECUTION"&amp;"'"&amp;";",IF($L415="清除顧客下同步任務","update cifx.tb_service_execution_control sec set sec.EXECUTION_STATE = "&amp;"'"&amp;"EXECUTED"&amp;"'"&amp;"  where sec.circi_key ="&amp;"'"&amp;AA415&amp;"';",IF($L415="重送顧客下特定同步任務","update cifx.tb_service_execution_control sec set sec.EXECUTION_STATE = "&amp;"'"&amp;"TO_EXECUTE"&amp;"'"&amp;"  where sec.SERVICE_EXECUTION_CONTROL_ID IN ();","沒有對應")))),"")</f>
        <v/>
      </c>
      <c r="N415" s="16" t="str">
        <f t="shared" ref="N415:N478" si="53">IF($L415&lt;&gt;"",IF($L415&lt;&gt;"清除顧客下同步任務","SELECT EXECUTION_TYPE,SERVICE_INTERCHANGE_ID,CIRCI_KEY,EXECUTION_STATE FROM CIFX.TB_SERVICE_EXECUTION_CONTROL WHERE SERVICE_EXECUTION_CONTROL_ID IN ("&amp;"'"&amp;$Y415&amp;"'"&amp;") AND EXECUTION_TYPE = "&amp;"'"&amp;"STAGE1_EXECUTION"&amp;"'"&amp;";","SELECT EXECUTION_TYPE,SERVICE_INTERCHANGE_ID,CIRCI_KEY,EXECUTION_STATE FROM CIFX.TB_SERVICE_EXECUTION_CONTROL SEC   where sec.circi_key ="&amp;"'"&amp;AA415&amp;"'order by req_timestamp desc ;"),"")</f>
        <v/>
      </c>
      <c r="O415" s="7" t="str">
        <f t="shared" si="50"/>
        <v/>
      </c>
      <c r="P415" s="7" t="str">
        <f t="shared" si="51"/>
        <v/>
      </c>
      <c r="Q415" s="7"/>
      <c r="R415" s="7"/>
      <c r="S415" s="16"/>
      <c r="T415" s="4"/>
      <c r="U415" s="4"/>
      <c r="V415" s="4"/>
      <c r="W415" s="4"/>
      <c r="X415" s="4"/>
      <c r="Y415" s="4"/>
      <c r="Z415" s="4"/>
      <c r="AA415" s="37"/>
      <c r="AB415" s="4"/>
      <c r="AC415" s="4"/>
      <c r="AD415" s="4"/>
      <c r="AE415" s="4"/>
      <c r="AF415" s="4"/>
    </row>
    <row r="416" spans="1:32" x14ac:dyDescent="0.25">
      <c r="A416" s="4" t="str">
        <f t="shared" si="48"/>
        <v>'',</v>
      </c>
      <c r="B416" s="4" t="str">
        <f t="shared" si="49"/>
        <v>'',</v>
      </c>
      <c r="C416" s="15"/>
      <c r="D416" s="5"/>
      <c r="E416" s="5"/>
      <c r="F416" s="5"/>
      <c r="G416" s="29"/>
      <c r="H416" s="5"/>
      <c r="I416" s="22"/>
      <c r="J416" s="16"/>
      <c r="K416" s="25"/>
      <c r="L416" s="16"/>
      <c r="M416" s="16" t="str">
        <f t="shared" si="52"/>
        <v/>
      </c>
      <c r="N416" s="16" t="str">
        <f t="shared" si="53"/>
        <v/>
      </c>
      <c r="O416" s="7" t="str">
        <f t="shared" si="50"/>
        <v/>
      </c>
      <c r="P416" s="7" t="str">
        <f t="shared" si="51"/>
        <v/>
      </c>
      <c r="Q416" s="7"/>
      <c r="R416" s="7"/>
      <c r="S416" s="16"/>
      <c r="T416" s="4"/>
      <c r="U416" s="4"/>
      <c r="V416" s="4"/>
      <c r="W416" s="4"/>
      <c r="X416" s="4"/>
      <c r="Y416" s="4"/>
      <c r="Z416" s="4"/>
      <c r="AA416" s="37"/>
      <c r="AB416" s="4"/>
      <c r="AC416" s="4"/>
      <c r="AD416" s="4"/>
      <c r="AE416" s="4"/>
      <c r="AF416" s="4"/>
    </row>
    <row r="417" spans="1:32" x14ac:dyDescent="0.25">
      <c r="A417" s="4" t="str">
        <f t="shared" si="48"/>
        <v>'',</v>
      </c>
      <c r="B417" s="4" t="str">
        <f t="shared" si="49"/>
        <v>'',</v>
      </c>
      <c r="C417" s="15"/>
      <c r="D417" s="5"/>
      <c r="E417" s="5"/>
      <c r="F417" s="5"/>
      <c r="G417" s="29"/>
      <c r="H417" s="5"/>
      <c r="I417" s="22"/>
      <c r="J417" s="16"/>
      <c r="K417" s="25"/>
      <c r="L417" s="16"/>
      <c r="M417" s="16" t="str">
        <f t="shared" si="52"/>
        <v/>
      </c>
      <c r="N417" s="16" t="str">
        <f t="shared" si="53"/>
        <v/>
      </c>
      <c r="O417" s="7" t="str">
        <f t="shared" si="50"/>
        <v/>
      </c>
      <c r="P417" s="7" t="str">
        <f t="shared" si="51"/>
        <v/>
      </c>
      <c r="Q417" s="7"/>
      <c r="R417" s="7"/>
      <c r="S417" s="16"/>
      <c r="T417" s="4"/>
      <c r="U417" s="4"/>
      <c r="V417" s="4"/>
      <c r="W417" s="4"/>
      <c r="X417" s="4"/>
      <c r="Y417" s="4"/>
      <c r="Z417" s="4"/>
      <c r="AA417" s="37"/>
      <c r="AB417" s="4"/>
      <c r="AC417" s="4"/>
      <c r="AD417" s="4"/>
      <c r="AE417" s="4"/>
      <c r="AF417" s="4"/>
    </row>
    <row r="418" spans="1:32" x14ac:dyDescent="0.25">
      <c r="A418" s="4" t="str">
        <f t="shared" si="48"/>
        <v>'',</v>
      </c>
      <c r="B418" s="4" t="str">
        <f t="shared" si="49"/>
        <v>'',</v>
      </c>
      <c r="C418" s="15"/>
      <c r="D418" s="5"/>
      <c r="E418" s="5"/>
      <c r="F418" s="5"/>
      <c r="G418" s="29"/>
      <c r="H418" s="5"/>
      <c r="I418" s="22"/>
      <c r="J418" s="16"/>
      <c r="K418" s="25"/>
      <c r="L418" s="16"/>
      <c r="M418" s="16" t="str">
        <f t="shared" si="52"/>
        <v/>
      </c>
      <c r="N418" s="16" t="str">
        <f t="shared" si="53"/>
        <v/>
      </c>
      <c r="O418" s="7" t="str">
        <f t="shared" si="50"/>
        <v/>
      </c>
      <c r="P418" s="7" t="str">
        <f t="shared" si="51"/>
        <v/>
      </c>
      <c r="Q418" s="7"/>
      <c r="R418" s="7"/>
      <c r="S418" s="16"/>
      <c r="T418" s="4"/>
      <c r="U418" s="4"/>
      <c r="V418" s="4"/>
      <c r="W418" s="4"/>
      <c r="X418" s="4"/>
      <c r="Y418" s="4"/>
      <c r="Z418" s="4"/>
      <c r="AA418" s="37"/>
      <c r="AB418" s="4"/>
      <c r="AC418" s="4"/>
      <c r="AD418" s="4"/>
      <c r="AE418" s="4"/>
      <c r="AF418" s="4"/>
    </row>
    <row r="419" spans="1:32" x14ac:dyDescent="0.25">
      <c r="A419" s="4" t="str">
        <f t="shared" si="48"/>
        <v>'',</v>
      </c>
      <c r="B419" s="4" t="str">
        <f t="shared" si="49"/>
        <v>'',</v>
      </c>
      <c r="C419" s="15"/>
      <c r="D419" s="5"/>
      <c r="E419" s="5"/>
      <c r="F419" s="5"/>
      <c r="G419" s="29"/>
      <c r="H419" s="5"/>
      <c r="I419" s="22"/>
      <c r="J419" s="16"/>
      <c r="K419" s="25"/>
      <c r="L419" s="16"/>
      <c r="M419" s="16" t="str">
        <f t="shared" si="52"/>
        <v/>
      </c>
      <c r="N419" s="16" t="str">
        <f t="shared" si="53"/>
        <v/>
      </c>
      <c r="O419" s="7" t="str">
        <f t="shared" si="50"/>
        <v/>
      </c>
      <c r="P419" s="7" t="str">
        <f t="shared" si="51"/>
        <v/>
      </c>
      <c r="Q419" s="7"/>
      <c r="R419" s="7"/>
      <c r="S419" s="16"/>
      <c r="T419" s="4"/>
      <c r="U419" s="4"/>
      <c r="V419" s="4"/>
      <c r="W419" s="4"/>
      <c r="X419" s="4"/>
      <c r="Y419" s="4"/>
      <c r="Z419" s="4"/>
      <c r="AA419" s="37"/>
      <c r="AB419" s="4"/>
      <c r="AC419" s="4"/>
      <c r="AD419" s="4"/>
      <c r="AE419" s="4"/>
      <c r="AF419" s="4"/>
    </row>
    <row r="420" spans="1:32" x14ac:dyDescent="0.25">
      <c r="A420" s="4" t="str">
        <f t="shared" si="48"/>
        <v>'',</v>
      </c>
      <c r="B420" s="4" t="str">
        <f t="shared" si="49"/>
        <v>'',</v>
      </c>
      <c r="C420" s="15"/>
      <c r="D420" s="5"/>
      <c r="E420" s="5"/>
      <c r="F420" s="5"/>
      <c r="G420" s="29"/>
      <c r="H420" s="5"/>
      <c r="I420" s="22"/>
      <c r="J420" s="16"/>
      <c r="K420" s="25"/>
      <c r="L420" s="16"/>
      <c r="M420" s="16" t="str">
        <f t="shared" si="52"/>
        <v/>
      </c>
      <c r="N420" s="16" t="str">
        <f t="shared" si="53"/>
        <v/>
      </c>
      <c r="O420" s="7" t="str">
        <f t="shared" si="50"/>
        <v/>
      </c>
      <c r="P420" s="7" t="str">
        <f t="shared" si="51"/>
        <v/>
      </c>
      <c r="Q420" s="7"/>
      <c r="R420" s="7"/>
      <c r="S420" s="16"/>
      <c r="T420" s="4"/>
      <c r="U420" s="4"/>
      <c r="V420" s="4"/>
      <c r="W420" s="4"/>
      <c r="X420" s="4"/>
      <c r="Y420" s="4"/>
      <c r="Z420" s="4"/>
      <c r="AA420" s="37"/>
      <c r="AB420" s="4"/>
      <c r="AC420" s="4"/>
      <c r="AD420" s="4"/>
      <c r="AE420" s="4"/>
      <c r="AF420" s="4"/>
    </row>
    <row r="421" spans="1:32" x14ac:dyDescent="0.25">
      <c r="A421" s="4" t="str">
        <f t="shared" si="48"/>
        <v>'',</v>
      </c>
      <c r="B421" s="4" t="str">
        <f t="shared" si="49"/>
        <v>'',</v>
      </c>
      <c r="C421" s="15"/>
      <c r="D421" s="5"/>
      <c r="E421" s="5"/>
      <c r="F421" s="5"/>
      <c r="G421" s="29"/>
      <c r="H421" s="5"/>
      <c r="I421" s="22"/>
      <c r="J421" s="16"/>
      <c r="K421" s="25"/>
      <c r="L421" s="16"/>
      <c r="M421" s="16" t="str">
        <f t="shared" si="52"/>
        <v/>
      </c>
      <c r="N421" s="16" t="str">
        <f t="shared" si="53"/>
        <v/>
      </c>
      <c r="O421" s="7" t="str">
        <f t="shared" si="50"/>
        <v/>
      </c>
      <c r="P421" s="7" t="str">
        <f t="shared" si="51"/>
        <v/>
      </c>
      <c r="Q421" s="7"/>
      <c r="R421" s="7"/>
      <c r="S421" s="16"/>
      <c r="T421" s="4"/>
      <c r="U421" s="4"/>
      <c r="V421" s="4"/>
      <c r="W421" s="4"/>
      <c r="X421" s="4"/>
      <c r="Y421" s="4"/>
      <c r="Z421" s="4"/>
      <c r="AA421" s="37"/>
      <c r="AB421" s="4"/>
      <c r="AC421" s="4"/>
      <c r="AD421" s="4"/>
      <c r="AE421" s="4"/>
      <c r="AF421" s="4"/>
    </row>
    <row r="422" spans="1:32" x14ac:dyDescent="0.25">
      <c r="A422" s="4" t="str">
        <f t="shared" si="48"/>
        <v>'',</v>
      </c>
      <c r="B422" s="4" t="str">
        <f t="shared" si="49"/>
        <v>'',</v>
      </c>
      <c r="C422" s="15"/>
      <c r="D422" s="5"/>
      <c r="E422" s="5"/>
      <c r="F422" s="5"/>
      <c r="G422" s="29"/>
      <c r="H422" s="5"/>
      <c r="I422" s="22"/>
      <c r="J422" s="16"/>
      <c r="K422" s="25"/>
      <c r="L422" s="16"/>
      <c r="M422" s="16" t="str">
        <f t="shared" si="52"/>
        <v/>
      </c>
      <c r="N422" s="16" t="str">
        <f t="shared" si="53"/>
        <v/>
      </c>
      <c r="O422" s="7" t="str">
        <f t="shared" si="50"/>
        <v/>
      </c>
      <c r="P422" s="7" t="str">
        <f t="shared" si="51"/>
        <v/>
      </c>
      <c r="Q422" s="7"/>
      <c r="R422" s="7"/>
      <c r="S422" s="16"/>
      <c r="T422" s="4"/>
      <c r="U422" s="4"/>
      <c r="V422" s="4"/>
      <c r="W422" s="4"/>
      <c r="X422" s="4"/>
      <c r="Y422" s="4"/>
      <c r="Z422" s="4"/>
      <c r="AA422" s="37"/>
      <c r="AB422" s="4"/>
      <c r="AC422" s="4"/>
      <c r="AD422" s="4"/>
      <c r="AE422" s="4"/>
      <c r="AF422" s="4"/>
    </row>
    <row r="423" spans="1:32" x14ac:dyDescent="0.25">
      <c r="A423" s="4" t="str">
        <f t="shared" si="48"/>
        <v>'',</v>
      </c>
      <c r="B423" s="4" t="str">
        <f t="shared" si="49"/>
        <v>'',</v>
      </c>
      <c r="C423" s="15"/>
      <c r="D423" s="5"/>
      <c r="E423" s="5"/>
      <c r="F423" s="5"/>
      <c r="G423" s="29"/>
      <c r="H423" s="5"/>
      <c r="I423" s="22"/>
      <c r="J423" s="16"/>
      <c r="K423" s="25"/>
      <c r="L423" s="16"/>
      <c r="M423" s="16" t="str">
        <f t="shared" si="52"/>
        <v/>
      </c>
      <c r="N423" s="16" t="str">
        <f t="shared" si="53"/>
        <v/>
      </c>
      <c r="O423" s="7" t="str">
        <f t="shared" si="50"/>
        <v/>
      </c>
      <c r="P423" s="7" t="str">
        <f t="shared" si="51"/>
        <v/>
      </c>
      <c r="Q423" s="7"/>
      <c r="R423" s="7"/>
      <c r="S423" s="16"/>
      <c r="T423" s="4"/>
      <c r="U423" s="4"/>
      <c r="V423" s="4"/>
      <c r="W423" s="4"/>
      <c r="X423" s="4"/>
      <c r="Y423" s="4"/>
      <c r="Z423" s="4"/>
      <c r="AA423" s="37"/>
      <c r="AB423" s="4"/>
      <c r="AC423" s="4"/>
      <c r="AD423" s="4"/>
      <c r="AE423" s="4"/>
      <c r="AF423" s="4"/>
    </row>
    <row r="424" spans="1:32" x14ac:dyDescent="0.25">
      <c r="A424" s="4" t="str">
        <f t="shared" si="48"/>
        <v>'',</v>
      </c>
      <c r="B424" s="4" t="str">
        <f t="shared" si="49"/>
        <v>'',</v>
      </c>
      <c r="C424" s="15"/>
      <c r="D424" s="5"/>
      <c r="E424" s="5"/>
      <c r="F424" s="5"/>
      <c r="G424" s="29"/>
      <c r="H424" s="5"/>
      <c r="I424" s="22"/>
      <c r="J424" s="16"/>
      <c r="K424" s="25"/>
      <c r="L424" s="16"/>
      <c r="M424" s="16" t="str">
        <f t="shared" si="52"/>
        <v/>
      </c>
      <c r="N424" s="16" t="str">
        <f t="shared" si="53"/>
        <v/>
      </c>
      <c r="O424" s="7" t="str">
        <f t="shared" si="50"/>
        <v/>
      </c>
      <c r="P424" s="7" t="str">
        <f t="shared" si="51"/>
        <v/>
      </c>
      <c r="Q424" s="7"/>
      <c r="R424" s="7"/>
      <c r="S424" s="16"/>
      <c r="T424" s="4"/>
      <c r="U424" s="4"/>
      <c r="V424" s="4"/>
      <c r="W424" s="4"/>
      <c r="X424" s="4"/>
      <c r="Y424" s="4"/>
      <c r="Z424" s="4"/>
      <c r="AA424" s="37"/>
      <c r="AB424" s="4"/>
      <c r="AC424" s="4"/>
      <c r="AD424" s="4"/>
      <c r="AE424" s="4"/>
      <c r="AF424" s="4"/>
    </row>
    <row r="425" spans="1:32" x14ac:dyDescent="0.25">
      <c r="A425" s="4" t="str">
        <f t="shared" si="48"/>
        <v>'',</v>
      </c>
      <c r="B425" s="4" t="str">
        <f t="shared" si="49"/>
        <v>'',</v>
      </c>
      <c r="C425" s="15"/>
      <c r="D425" s="5"/>
      <c r="E425" s="5"/>
      <c r="F425" s="5"/>
      <c r="G425" s="29"/>
      <c r="H425" s="5"/>
      <c r="I425" s="22"/>
      <c r="J425" s="16"/>
      <c r="K425" s="25"/>
      <c r="L425" s="16"/>
      <c r="M425" s="16" t="str">
        <f t="shared" si="52"/>
        <v/>
      </c>
      <c r="N425" s="16" t="str">
        <f t="shared" si="53"/>
        <v/>
      </c>
      <c r="O425" s="7" t="str">
        <f t="shared" si="50"/>
        <v/>
      </c>
      <c r="P425" s="7" t="str">
        <f t="shared" si="51"/>
        <v/>
      </c>
      <c r="Q425" s="7"/>
      <c r="R425" s="7"/>
      <c r="S425" s="16"/>
      <c r="T425" s="4"/>
      <c r="U425" s="4"/>
      <c r="V425" s="4"/>
      <c r="W425" s="4"/>
      <c r="X425" s="4"/>
      <c r="Y425" s="4"/>
      <c r="Z425" s="4"/>
      <c r="AA425" s="37"/>
      <c r="AB425" s="4"/>
      <c r="AC425" s="4"/>
      <c r="AD425" s="4"/>
      <c r="AE425" s="4"/>
      <c r="AF425" s="4"/>
    </row>
    <row r="426" spans="1:32" x14ac:dyDescent="0.25">
      <c r="A426" s="4" t="str">
        <f t="shared" si="48"/>
        <v>'',</v>
      </c>
      <c r="B426" s="4" t="str">
        <f t="shared" si="49"/>
        <v>'',</v>
      </c>
      <c r="C426" s="15"/>
      <c r="D426" s="5"/>
      <c r="E426" s="5"/>
      <c r="F426" s="5"/>
      <c r="G426" s="29"/>
      <c r="H426" s="5"/>
      <c r="I426" s="22"/>
      <c r="J426" s="16"/>
      <c r="K426" s="25"/>
      <c r="L426" s="16"/>
      <c r="M426" s="16" t="str">
        <f t="shared" si="52"/>
        <v/>
      </c>
      <c r="N426" s="16" t="str">
        <f t="shared" si="53"/>
        <v/>
      </c>
      <c r="O426" s="7" t="str">
        <f t="shared" si="50"/>
        <v/>
      </c>
      <c r="P426" s="7" t="str">
        <f t="shared" si="51"/>
        <v/>
      </c>
      <c r="Q426" s="7"/>
      <c r="R426" s="7"/>
      <c r="S426" s="16"/>
      <c r="T426" s="4"/>
      <c r="U426" s="4"/>
      <c r="V426" s="4"/>
      <c r="W426" s="4"/>
      <c r="X426" s="4"/>
      <c r="Y426" s="4"/>
      <c r="Z426" s="4"/>
      <c r="AA426" s="37"/>
      <c r="AB426" s="4"/>
      <c r="AC426" s="4"/>
      <c r="AD426" s="4"/>
      <c r="AE426" s="4"/>
      <c r="AF426" s="4"/>
    </row>
    <row r="427" spans="1:32" x14ac:dyDescent="0.25">
      <c r="A427" s="4" t="str">
        <f t="shared" si="48"/>
        <v>'',</v>
      </c>
      <c r="B427" s="4" t="str">
        <f t="shared" si="49"/>
        <v>'',</v>
      </c>
      <c r="C427" s="15"/>
      <c r="D427" s="5"/>
      <c r="E427" s="5"/>
      <c r="F427" s="5"/>
      <c r="G427" s="29"/>
      <c r="H427" s="5"/>
      <c r="I427" s="22"/>
      <c r="J427" s="16"/>
      <c r="K427" s="25"/>
      <c r="L427" s="16"/>
      <c r="M427" s="16" t="str">
        <f t="shared" si="52"/>
        <v/>
      </c>
      <c r="N427" s="16" t="str">
        <f t="shared" si="53"/>
        <v/>
      </c>
      <c r="O427" s="7" t="str">
        <f t="shared" si="50"/>
        <v/>
      </c>
      <c r="P427" s="7" t="str">
        <f t="shared" si="51"/>
        <v/>
      </c>
      <c r="Q427" s="7"/>
      <c r="R427" s="7"/>
      <c r="S427" s="16"/>
      <c r="T427" s="4"/>
      <c r="U427" s="4"/>
      <c r="V427" s="4"/>
      <c r="W427" s="4"/>
      <c r="X427" s="4"/>
      <c r="Y427" s="4"/>
      <c r="Z427" s="4"/>
      <c r="AA427" s="37"/>
      <c r="AB427" s="4"/>
      <c r="AC427" s="4"/>
      <c r="AD427" s="4"/>
      <c r="AE427" s="4"/>
      <c r="AF427" s="4"/>
    </row>
    <row r="428" spans="1:32" x14ac:dyDescent="0.25">
      <c r="A428" s="4" t="str">
        <f t="shared" si="48"/>
        <v>'',</v>
      </c>
      <c r="B428" s="4" t="str">
        <f t="shared" si="49"/>
        <v>'',</v>
      </c>
      <c r="C428" s="15"/>
      <c r="D428" s="5"/>
      <c r="E428" s="5"/>
      <c r="F428" s="5"/>
      <c r="G428" s="29"/>
      <c r="H428" s="5"/>
      <c r="I428" s="22"/>
      <c r="J428" s="16"/>
      <c r="K428" s="25"/>
      <c r="L428" s="16"/>
      <c r="M428" s="16" t="str">
        <f t="shared" si="52"/>
        <v/>
      </c>
      <c r="N428" s="16" t="str">
        <f t="shared" si="53"/>
        <v/>
      </c>
      <c r="O428" s="7" t="str">
        <f t="shared" si="50"/>
        <v/>
      </c>
      <c r="P428" s="7" t="str">
        <f t="shared" si="51"/>
        <v/>
      </c>
      <c r="Q428" s="7"/>
      <c r="R428" s="7"/>
      <c r="S428" s="16"/>
      <c r="T428" s="4"/>
      <c r="U428" s="4"/>
      <c r="V428" s="4"/>
      <c r="W428" s="4"/>
      <c r="X428" s="4"/>
      <c r="Y428" s="4"/>
      <c r="Z428" s="4"/>
      <c r="AA428" s="37"/>
      <c r="AB428" s="4"/>
      <c r="AC428" s="4"/>
      <c r="AD428" s="4"/>
      <c r="AE428" s="4"/>
      <c r="AF428" s="4"/>
    </row>
    <row r="429" spans="1:32" x14ac:dyDescent="0.25">
      <c r="A429" s="4" t="str">
        <f t="shared" si="48"/>
        <v>'',</v>
      </c>
      <c r="B429" s="4" t="str">
        <f t="shared" si="49"/>
        <v>'',</v>
      </c>
      <c r="C429" s="15"/>
      <c r="D429" s="5"/>
      <c r="E429" s="5"/>
      <c r="F429" s="5"/>
      <c r="G429" s="29"/>
      <c r="H429" s="5"/>
      <c r="I429" s="22"/>
      <c r="J429" s="16"/>
      <c r="K429" s="25"/>
      <c r="L429" s="16"/>
      <c r="M429" s="16" t="str">
        <f t="shared" si="52"/>
        <v/>
      </c>
      <c r="N429" s="16" t="str">
        <f t="shared" si="53"/>
        <v/>
      </c>
      <c r="O429" s="7" t="str">
        <f t="shared" si="50"/>
        <v/>
      </c>
      <c r="P429" s="7" t="str">
        <f t="shared" si="51"/>
        <v/>
      </c>
      <c r="Q429" s="7"/>
      <c r="R429" s="7"/>
      <c r="S429" s="16"/>
      <c r="T429" s="4"/>
      <c r="U429" s="4"/>
      <c r="V429" s="4"/>
      <c r="W429" s="4"/>
      <c r="X429" s="4"/>
      <c r="Y429" s="4"/>
      <c r="Z429" s="4"/>
      <c r="AA429" s="37"/>
      <c r="AB429" s="4"/>
      <c r="AC429" s="4"/>
      <c r="AD429" s="4"/>
      <c r="AE429" s="4"/>
      <c r="AF429" s="4"/>
    </row>
    <row r="430" spans="1:32" x14ac:dyDescent="0.25">
      <c r="A430" s="4" t="str">
        <f t="shared" si="48"/>
        <v>'',</v>
      </c>
      <c r="B430" s="4" t="str">
        <f t="shared" si="49"/>
        <v>'',</v>
      </c>
      <c r="C430" s="15"/>
      <c r="D430" s="5"/>
      <c r="E430" s="5"/>
      <c r="F430" s="5"/>
      <c r="G430" s="29"/>
      <c r="H430" s="5"/>
      <c r="I430" s="22"/>
      <c r="J430" s="16"/>
      <c r="K430" s="25"/>
      <c r="L430" s="16"/>
      <c r="M430" s="16" t="str">
        <f t="shared" si="52"/>
        <v/>
      </c>
      <c r="N430" s="16" t="str">
        <f t="shared" si="53"/>
        <v/>
      </c>
      <c r="O430" s="7" t="str">
        <f t="shared" si="50"/>
        <v/>
      </c>
      <c r="P430" s="7" t="str">
        <f t="shared" si="51"/>
        <v/>
      </c>
      <c r="Q430" s="7"/>
      <c r="R430" s="7"/>
      <c r="S430" s="16"/>
      <c r="T430" s="4"/>
      <c r="U430" s="4"/>
      <c r="V430" s="4"/>
      <c r="W430" s="4"/>
      <c r="X430" s="4"/>
      <c r="Y430" s="4"/>
      <c r="Z430" s="4"/>
      <c r="AA430" s="37"/>
      <c r="AB430" s="4"/>
      <c r="AC430" s="4"/>
      <c r="AD430" s="4"/>
      <c r="AE430" s="4"/>
      <c r="AF430" s="4"/>
    </row>
    <row r="431" spans="1:32" x14ac:dyDescent="0.25">
      <c r="A431" s="4" t="str">
        <f t="shared" si="48"/>
        <v>'',</v>
      </c>
      <c r="B431" s="4" t="str">
        <f t="shared" si="49"/>
        <v>'',</v>
      </c>
      <c r="C431" s="15"/>
      <c r="D431" s="5"/>
      <c r="E431" s="5"/>
      <c r="F431" s="5"/>
      <c r="G431" s="29"/>
      <c r="H431" s="5"/>
      <c r="I431" s="22"/>
      <c r="J431" s="16"/>
      <c r="K431" s="25"/>
      <c r="L431" s="16"/>
      <c r="M431" s="16" t="str">
        <f t="shared" si="52"/>
        <v/>
      </c>
      <c r="N431" s="16" t="str">
        <f t="shared" si="53"/>
        <v/>
      </c>
      <c r="O431" s="7" t="str">
        <f t="shared" si="50"/>
        <v/>
      </c>
      <c r="P431" s="7" t="str">
        <f t="shared" si="51"/>
        <v/>
      </c>
      <c r="Q431" s="7"/>
      <c r="R431" s="7"/>
      <c r="S431" s="16"/>
      <c r="T431" s="4"/>
      <c r="U431" s="4"/>
      <c r="V431" s="4"/>
      <c r="W431" s="4"/>
      <c r="X431" s="4"/>
      <c r="Y431" s="4"/>
      <c r="Z431" s="4"/>
      <c r="AA431" s="37"/>
      <c r="AB431" s="4"/>
      <c r="AC431" s="4"/>
      <c r="AD431" s="4"/>
      <c r="AE431" s="4"/>
      <c r="AF431" s="4"/>
    </row>
    <row r="432" spans="1:32" x14ac:dyDescent="0.25">
      <c r="A432" s="4" t="str">
        <f t="shared" si="48"/>
        <v>'',</v>
      </c>
      <c r="B432" s="4" t="str">
        <f t="shared" si="49"/>
        <v>'',</v>
      </c>
      <c r="C432" s="15"/>
      <c r="D432" s="5"/>
      <c r="E432" s="5"/>
      <c r="F432" s="5"/>
      <c r="G432" s="29"/>
      <c r="H432" s="5"/>
      <c r="I432" s="22"/>
      <c r="J432" s="16"/>
      <c r="K432" s="25"/>
      <c r="L432" s="16"/>
      <c r="M432" s="16" t="str">
        <f t="shared" si="52"/>
        <v/>
      </c>
      <c r="N432" s="16" t="str">
        <f t="shared" si="53"/>
        <v/>
      </c>
      <c r="O432" s="7" t="str">
        <f t="shared" si="50"/>
        <v/>
      </c>
      <c r="P432" s="7" t="str">
        <f t="shared" si="51"/>
        <v/>
      </c>
      <c r="Q432" s="7"/>
      <c r="R432" s="7"/>
      <c r="S432" s="16"/>
      <c r="T432" s="4"/>
      <c r="U432" s="4"/>
      <c r="V432" s="4"/>
      <c r="W432" s="4"/>
      <c r="X432" s="4"/>
      <c r="Y432" s="4"/>
      <c r="Z432" s="4"/>
      <c r="AA432" s="37"/>
      <c r="AB432" s="4"/>
      <c r="AC432" s="4"/>
      <c r="AD432" s="4"/>
      <c r="AE432" s="4"/>
      <c r="AF432" s="4"/>
    </row>
    <row r="433" spans="1:32" x14ac:dyDescent="0.25">
      <c r="A433" s="4" t="str">
        <f t="shared" si="48"/>
        <v>'',</v>
      </c>
      <c r="B433" s="4" t="str">
        <f t="shared" si="49"/>
        <v>'',</v>
      </c>
      <c r="C433" s="15"/>
      <c r="D433" s="5"/>
      <c r="E433" s="5"/>
      <c r="F433" s="5"/>
      <c r="G433" s="29"/>
      <c r="H433" s="5"/>
      <c r="I433" s="22"/>
      <c r="J433" s="16"/>
      <c r="K433" s="25"/>
      <c r="L433" s="16"/>
      <c r="M433" s="16" t="str">
        <f t="shared" si="52"/>
        <v/>
      </c>
      <c r="N433" s="16" t="str">
        <f t="shared" si="53"/>
        <v/>
      </c>
      <c r="O433" s="7" t="str">
        <f t="shared" si="50"/>
        <v/>
      </c>
      <c r="P433" s="7" t="str">
        <f t="shared" si="51"/>
        <v/>
      </c>
      <c r="Q433" s="7"/>
      <c r="R433" s="7"/>
      <c r="S433" s="16"/>
      <c r="T433" s="4"/>
      <c r="U433" s="4"/>
      <c r="V433" s="4"/>
      <c r="W433" s="4"/>
      <c r="X433" s="4"/>
      <c r="Y433" s="4"/>
      <c r="Z433" s="4"/>
      <c r="AA433" s="37"/>
      <c r="AB433" s="4"/>
      <c r="AC433" s="4"/>
      <c r="AD433" s="4"/>
      <c r="AE433" s="4"/>
      <c r="AF433" s="4"/>
    </row>
    <row r="434" spans="1:32" x14ac:dyDescent="0.25">
      <c r="A434" s="4" t="str">
        <f t="shared" si="48"/>
        <v>'',</v>
      </c>
      <c r="B434" s="4" t="str">
        <f t="shared" si="49"/>
        <v>'',</v>
      </c>
      <c r="C434" s="15"/>
      <c r="D434" s="5"/>
      <c r="E434" s="5"/>
      <c r="F434" s="5"/>
      <c r="G434" s="29"/>
      <c r="H434" s="5"/>
      <c r="I434" s="22"/>
      <c r="J434" s="16"/>
      <c r="K434" s="25"/>
      <c r="L434" s="16"/>
      <c r="M434" s="16" t="str">
        <f t="shared" si="52"/>
        <v/>
      </c>
      <c r="N434" s="16" t="str">
        <f t="shared" si="53"/>
        <v/>
      </c>
      <c r="O434" s="7" t="str">
        <f t="shared" si="50"/>
        <v/>
      </c>
      <c r="P434" s="7" t="str">
        <f t="shared" si="51"/>
        <v/>
      </c>
      <c r="Q434" s="7"/>
      <c r="R434" s="7"/>
      <c r="S434" s="16"/>
      <c r="T434" s="4"/>
      <c r="U434" s="4"/>
      <c r="V434" s="4"/>
      <c r="W434" s="4"/>
      <c r="X434" s="4"/>
      <c r="Y434" s="4"/>
      <c r="Z434" s="4"/>
      <c r="AA434" s="37"/>
      <c r="AB434" s="4"/>
      <c r="AC434" s="4"/>
      <c r="AD434" s="4"/>
      <c r="AE434" s="4"/>
      <c r="AF434" s="4"/>
    </row>
    <row r="435" spans="1:32" x14ac:dyDescent="0.25">
      <c r="A435" s="4" t="str">
        <f t="shared" si="48"/>
        <v>'',</v>
      </c>
      <c r="B435" s="4" t="str">
        <f t="shared" si="49"/>
        <v>'',</v>
      </c>
      <c r="C435" s="15"/>
      <c r="D435" s="5"/>
      <c r="E435" s="5"/>
      <c r="F435" s="5"/>
      <c r="G435" s="29"/>
      <c r="H435" s="5"/>
      <c r="I435" s="22"/>
      <c r="J435" s="16"/>
      <c r="K435" s="25"/>
      <c r="L435" s="16"/>
      <c r="M435" s="16" t="str">
        <f t="shared" si="52"/>
        <v/>
      </c>
      <c r="N435" s="16" t="str">
        <f t="shared" si="53"/>
        <v/>
      </c>
      <c r="O435" s="7" t="str">
        <f t="shared" si="50"/>
        <v/>
      </c>
      <c r="P435" s="7" t="str">
        <f t="shared" si="51"/>
        <v/>
      </c>
      <c r="Q435" s="7"/>
      <c r="R435" s="7"/>
      <c r="S435" s="16"/>
      <c r="T435" s="4"/>
      <c r="U435" s="4"/>
      <c r="V435" s="4"/>
      <c r="W435" s="4"/>
      <c r="X435" s="4"/>
      <c r="Y435" s="4"/>
      <c r="Z435" s="4"/>
      <c r="AA435" s="37"/>
      <c r="AB435" s="4"/>
      <c r="AC435" s="4"/>
      <c r="AD435" s="4"/>
      <c r="AE435" s="4"/>
      <c r="AF435" s="4"/>
    </row>
    <row r="436" spans="1:32" x14ac:dyDescent="0.25">
      <c r="A436" s="4" t="str">
        <f t="shared" si="48"/>
        <v>'',</v>
      </c>
      <c r="B436" s="4" t="str">
        <f t="shared" si="49"/>
        <v>'',</v>
      </c>
      <c r="C436" s="15"/>
      <c r="D436" s="5"/>
      <c r="E436" s="5"/>
      <c r="F436" s="5"/>
      <c r="G436" s="29"/>
      <c r="H436" s="5"/>
      <c r="I436" s="22"/>
      <c r="J436" s="16"/>
      <c r="K436" s="25"/>
      <c r="L436" s="16"/>
      <c r="M436" s="16" t="str">
        <f t="shared" si="52"/>
        <v/>
      </c>
      <c r="N436" s="16" t="str">
        <f t="shared" si="53"/>
        <v/>
      </c>
      <c r="O436" s="7" t="str">
        <f t="shared" si="50"/>
        <v/>
      </c>
      <c r="P436" s="7" t="str">
        <f t="shared" si="51"/>
        <v/>
      </c>
      <c r="Q436" s="7"/>
      <c r="R436" s="7"/>
      <c r="S436" s="16"/>
      <c r="T436" s="4"/>
      <c r="U436" s="4"/>
      <c r="V436" s="4"/>
      <c r="W436" s="4"/>
      <c r="X436" s="4"/>
      <c r="Y436" s="4"/>
      <c r="Z436" s="4"/>
      <c r="AA436" s="37"/>
      <c r="AB436" s="4"/>
      <c r="AC436" s="4"/>
      <c r="AD436" s="4"/>
      <c r="AE436" s="4"/>
      <c r="AF436" s="4"/>
    </row>
    <row r="437" spans="1:32" x14ac:dyDescent="0.25">
      <c r="A437" s="4" t="str">
        <f t="shared" si="48"/>
        <v>'',</v>
      </c>
      <c r="B437" s="4" t="str">
        <f t="shared" si="49"/>
        <v>'',</v>
      </c>
      <c r="C437" s="15"/>
      <c r="D437" s="5"/>
      <c r="E437" s="5"/>
      <c r="F437" s="5"/>
      <c r="G437" s="29"/>
      <c r="H437" s="5"/>
      <c r="I437" s="22"/>
      <c r="J437" s="16"/>
      <c r="K437" s="25"/>
      <c r="L437" s="16"/>
      <c r="M437" s="16" t="str">
        <f t="shared" si="52"/>
        <v/>
      </c>
      <c r="N437" s="16" t="str">
        <f t="shared" si="53"/>
        <v/>
      </c>
      <c r="O437" s="7" t="str">
        <f t="shared" si="50"/>
        <v/>
      </c>
      <c r="P437" s="7" t="str">
        <f t="shared" si="51"/>
        <v/>
      </c>
      <c r="Q437" s="7"/>
      <c r="R437" s="7"/>
      <c r="S437" s="16"/>
      <c r="T437" s="4"/>
      <c r="U437" s="4"/>
      <c r="V437" s="4"/>
      <c r="W437" s="4"/>
      <c r="X437" s="4"/>
      <c r="Y437" s="4"/>
      <c r="Z437" s="4"/>
      <c r="AA437" s="37"/>
      <c r="AB437" s="4"/>
      <c r="AC437" s="4"/>
      <c r="AD437" s="4"/>
      <c r="AE437" s="4"/>
      <c r="AF437" s="4"/>
    </row>
    <row r="438" spans="1:32" x14ac:dyDescent="0.25">
      <c r="A438" s="4" t="str">
        <f t="shared" si="48"/>
        <v>'',</v>
      </c>
      <c r="B438" s="4" t="str">
        <f t="shared" si="49"/>
        <v>'',</v>
      </c>
      <c r="C438" s="15"/>
      <c r="D438" s="5"/>
      <c r="E438" s="5"/>
      <c r="F438" s="5"/>
      <c r="G438" s="29"/>
      <c r="H438" s="5"/>
      <c r="I438" s="22"/>
      <c r="J438" s="16"/>
      <c r="K438" s="25"/>
      <c r="L438" s="16"/>
      <c r="M438" s="16" t="str">
        <f t="shared" si="52"/>
        <v/>
      </c>
      <c r="N438" s="16" t="str">
        <f t="shared" si="53"/>
        <v/>
      </c>
      <c r="O438" s="7" t="str">
        <f t="shared" si="50"/>
        <v/>
      </c>
      <c r="P438" s="7" t="str">
        <f t="shared" si="51"/>
        <v/>
      </c>
      <c r="Q438" s="7"/>
      <c r="R438" s="7"/>
      <c r="S438" s="16"/>
      <c r="T438" s="4"/>
      <c r="U438" s="4"/>
      <c r="V438" s="4"/>
      <c r="W438" s="4"/>
      <c r="X438" s="4"/>
      <c r="Y438" s="4"/>
      <c r="Z438" s="4"/>
      <c r="AA438" s="37"/>
      <c r="AB438" s="4"/>
      <c r="AC438" s="4"/>
      <c r="AD438" s="4"/>
      <c r="AE438" s="4"/>
      <c r="AF438" s="4"/>
    </row>
    <row r="439" spans="1:32" x14ac:dyDescent="0.25">
      <c r="A439" s="4" t="str">
        <f t="shared" si="48"/>
        <v>'',</v>
      </c>
      <c r="B439" s="4" t="str">
        <f t="shared" si="49"/>
        <v>'',</v>
      </c>
      <c r="C439" s="15"/>
      <c r="D439" s="5"/>
      <c r="E439" s="5"/>
      <c r="F439" s="5"/>
      <c r="G439" s="29"/>
      <c r="H439" s="5"/>
      <c r="I439" s="22"/>
      <c r="J439" s="16"/>
      <c r="K439" s="25"/>
      <c r="L439" s="16"/>
      <c r="M439" s="16" t="str">
        <f t="shared" si="52"/>
        <v/>
      </c>
      <c r="N439" s="16" t="str">
        <f t="shared" si="53"/>
        <v/>
      </c>
      <c r="O439" s="7" t="str">
        <f t="shared" si="50"/>
        <v/>
      </c>
      <c r="P439" s="7" t="str">
        <f t="shared" si="51"/>
        <v/>
      </c>
      <c r="Q439" s="7"/>
      <c r="R439" s="7"/>
      <c r="S439" s="16"/>
      <c r="T439" s="4"/>
      <c r="U439" s="4"/>
      <c r="V439" s="4"/>
      <c r="W439" s="4"/>
      <c r="X439" s="4"/>
      <c r="Y439" s="4"/>
      <c r="Z439" s="4"/>
      <c r="AA439" s="37"/>
      <c r="AB439" s="4"/>
      <c r="AC439" s="4"/>
      <c r="AD439" s="4"/>
      <c r="AE439" s="4"/>
      <c r="AF439" s="4"/>
    </row>
    <row r="440" spans="1:32" x14ac:dyDescent="0.25">
      <c r="A440" s="4" t="str">
        <f t="shared" si="48"/>
        <v>'',</v>
      </c>
      <c r="B440" s="4" t="str">
        <f t="shared" si="49"/>
        <v>'',</v>
      </c>
      <c r="C440" s="15"/>
      <c r="D440" s="5"/>
      <c r="E440" s="5"/>
      <c r="F440" s="5"/>
      <c r="G440" s="29"/>
      <c r="H440" s="5"/>
      <c r="I440" s="22"/>
      <c r="J440" s="16"/>
      <c r="K440" s="25"/>
      <c r="L440" s="16"/>
      <c r="M440" s="16" t="str">
        <f t="shared" si="52"/>
        <v/>
      </c>
      <c r="N440" s="16" t="str">
        <f t="shared" si="53"/>
        <v/>
      </c>
      <c r="O440" s="7" t="str">
        <f t="shared" si="50"/>
        <v/>
      </c>
      <c r="P440" s="7" t="str">
        <f t="shared" si="51"/>
        <v/>
      </c>
      <c r="Q440" s="7"/>
      <c r="R440" s="7"/>
      <c r="S440" s="16"/>
      <c r="T440" s="4"/>
      <c r="U440" s="4"/>
      <c r="V440" s="4"/>
      <c r="W440" s="4"/>
      <c r="X440" s="4"/>
      <c r="Y440" s="4"/>
      <c r="Z440" s="4"/>
      <c r="AA440" s="37"/>
      <c r="AB440" s="4"/>
      <c r="AC440" s="4"/>
      <c r="AD440" s="4"/>
      <c r="AE440" s="4"/>
      <c r="AF440" s="4"/>
    </row>
    <row r="441" spans="1:32" x14ac:dyDescent="0.25">
      <c r="A441" s="4" t="str">
        <f t="shared" si="48"/>
        <v>'',</v>
      </c>
      <c r="B441" s="4" t="str">
        <f t="shared" si="49"/>
        <v>'',</v>
      </c>
      <c r="C441" s="15"/>
      <c r="D441" s="5"/>
      <c r="E441" s="5"/>
      <c r="F441" s="5"/>
      <c r="G441" s="29"/>
      <c r="H441" s="5"/>
      <c r="I441" s="22"/>
      <c r="J441" s="16"/>
      <c r="K441" s="25"/>
      <c r="L441" s="16"/>
      <c r="M441" s="16" t="str">
        <f t="shared" si="52"/>
        <v/>
      </c>
      <c r="N441" s="16" t="str">
        <f t="shared" si="53"/>
        <v/>
      </c>
      <c r="O441" s="7" t="str">
        <f t="shared" si="50"/>
        <v/>
      </c>
      <c r="P441" s="7" t="str">
        <f t="shared" si="51"/>
        <v/>
      </c>
      <c r="Q441" s="7"/>
      <c r="R441" s="7"/>
      <c r="S441" s="16"/>
      <c r="T441" s="4"/>
      <c r="U441" s="4"/>
      <c r="V441" s="4"/>
      <c r="W441" s="4"/>
      <c r="X441" s="4"/>
      <c r="Y441" s="4"/>
      <c r="Z441" s="4"/>
      <c r="AA441" s="37"/>
      <c r="AB441" s="4"/>
      <c r="AC441" s="4"/>
      <c r="AD441" s="4"/>
      <c r="AE441" s="4"/>
      <c r="AF441" s="4"/>
    </row>
    <row r="442" spans="1:32" x14ac:dyDescent="0.25">
      <c r="A442" s="4" t="str">
        <f t="shared" si="48"/>
        <v>'',</v>
      </c>
      <c r="B442" s="4" t="str">
        <f t="shared" si="49"/>
        <v>'',</v>
      </c>
      <c r="C442" s="15"/>
      <c r="D442" s="5"/>
      <c r="E442" s="5"/>
      <c r="F442" s="5"/>
      <c r="G442" s="29"/>
      <c r="H442" s="5"/>
      <c r="I442" s="22"/>
      <c r="J442" s="16"/>
      <c r="K442" s="25"/>
      <c r="L442" s="16"/>
      <c r="M442" s="16" t="str">
        <f t="shared" si="52"/>
        <v/>
      </c>
      <c r="N442" s="16" t="str">
        <f t="shared" si="53"/>
        <v/>
      </c>
      <c r="O442" s="7" t="str">
        <f t="shared" si="50"/>
        <v/>
      </c>
      <c r="P442" s="7" t="str">
        <f t="shared" si="51"/>
        <v/>
      </c>
      <c r="Q442" s="7"/>
      <c r="R442" s="7"/>
      <c r="S442" s="16"/>
      <c r="T442" s="4"/>
      <c r="U442" s="4"/>
      <c r="V442" s="4"/>
      <c r="W442" s="4"/>
      <c r="X442" s="4"/>
      <c r="Y442" s="4"/>
      <c r="Z442" s="4"/>
      <c r="AA442" s="37"/>
      <c r="AB442" s="4"/>
      <c r="AC442" s="4"/>
      <c r="AD442" s="4"/>
      <c r="AE442" s="4"/>
      <c r="AF442" s="4"/>
    </row>
    <row r="443" spans="1:32" x14ac:dyDescent="0.25">
      <c r="A443" s="4" t="str">
        <f t="shared" si="48"/>
        <v>'',</v>
      </c>
      <c r="B443" s="4" t="str">
        <f t="shared" si="49"/>
        <v>'',</v>
      </c>
      <c r="C443" s="15"/>
      <c r="D443" s="5"/>
      <c r="E443" s="5"/>
      <c r="F443" s="5"/>
      <c r="G443" s="29"/>
      <c r="H443" s="5"/>
      <c r="I443" s="22"/>
      <c r="J443" s="16"/>
      <c r="K443" s="25"/>
      <c r="L443" s="16"/>
      <c r="M443" s="16" t="str">
        <f t="shared" si="52"/>
        <v/>
      </c>
      <c r="N443" s="16" t="str">
        <f t="shared" si="53"/>
        <v/>
      </c>
      <c r="O443" s="7" t="str">
        <f t="shared" si="50"/>
        <v/>
      </c>
      <c r="P443" s="7" t="str">
        <f t="shared" si="51"/>
        <v/>
      </c>
      <c r="Q443" s="7"/>
      <c r="R443" s="7"/>
      <c r="S443" s="16"/>
      <c r="T443" s="4"/>
      <c r="U443" s="4"/>
      <c r="V443" s="4"/>
      <c r="W443" s="4"/>
      <c r="X443" s="4"/>
      <c r="Y443" s="4"/>
      <c r="Z443" s="4"/>
      <c r="AA443" s="37"/>
      <c r="AB443" s="4"/>
      <c r="AC443" s="4"/>
      <c r="AD443" s="4"/>
      <c r="AE443" s="4"/>
      <c r="AF443" s="4"/>
    </row>
    <row r="444" spans="1:32" x14ac:dyDescent="0.25">
      <c r="A444" s="4" t="str">
        <f t="shared" si="48"/>
        <v>'',</v>
      </c>
      <c r="B444" s="4" t="str">
        <f t="shared" si="49"/>
        <v>'',</v>
      </c>
      <c r="C444" s="15"/>
      <c r="D444" s="5"/>
      <c r="E444" s="5"/>
      <c r="F444" s="5"/>
      <c r="G444" s="29"/>
      <c r="H444" s="5"/>
      <c r="I444" s="22"/>
      <c r="J444" s="16"/>
      <c r="K444" s="25"/>
      <c r="L444" s="16"/>
      <c r="M444" s="16" t="str">
        <f t="shared" si="52"/>
        <v/>
      </c>
      <c r="N444" s="16" t="str">
        <f t="shared" si="53"/>
        <v/>
      </c>
      <c r="O444" s="7" t="str">
        <f t="shared" si="50"/>
        <v/>
      </c>
      <c r="P444" s="7" t="str">
        <f t="shared" si="51"/>
        <v/>
      </c>
      <c r="Q444" s="7"/>
      <c r="R444" s="7"/>
      <c r="S444" s="16"/>
      <c r="T444" s="4"/>
      <c r="U444" s="4"/>
      <c r="V444" s="4"/>
      <c r="W444" s="4"/>
      <c r="X444" s="4"/>
      <c r="Y444" s="4"/>
      <c r="Z444" s="4"/>
      <c r="AA444" s="37"/>
      <c r="AB444" s="4"/>
      <c r="AC444" s="4"/>
      <c r="AD444" s="4"/>
      <c r="AE444" s="4"/>
      <c r="AF444" s="4"/>
    </row>
    <row r="445" spans="1:32" x14ac:dyDescent="0.25">
      <c r="A445" s="4" t="str">
        <f t="shared" si="48"/>
        <v>'',</v>
      </c>
      <c r="B445" s="4" t="str">
        <f t="shared" si="49"/>
        <v>'',</v>
      </c>
      <c r="C445" s="15"/>
      <c r="D445" s="5"/>
      <c r="E445" s="5"/>
      <c r="F445" s="5"/>
      <c r="G445" s="29"/>
      <c r="H445" s="5"/>
      <c r="I445" s="22"/>
      <c r="J445" s="16"/>
      <c r="K445" s="25"/>
      <c r="L445" s="16"/>
      <c r="M445" s="16" t="str">
        <f t="shared" si="52"/>
        <v/>
      </c>
      <c r="N445" s="16" t="str">
        <f t="shared" si="53"/>
        <v/>
      </c>
      <c r="O445" s="7" t="str">
        <f t="shared" si="50"/>
        <v/>
      </c>
      <c r="P445" s="7" t="str">
        <f t="shared" si="51"/>
        <v/>
      </c>
      <c r="Q445" s="7"/>
      <c r="R445" s="7"/>
      <c r="S445" s="16"/>
      <c r="T445" s="4"/>
      <c r="U445" s="4"/>
      <c r="V445" s="4"/>
      <c r="W445" s="4"/>
      <c r="X445" s="4"/>
      <c r="Y445" s="4"/>
      <c r="Z445" s="4"/>
      <c r="AA445" s="37"/>
      <c r="AB445" s="4"/>
      <c r="AC445" s="4"/>
      <c r="AD445" s="4"/>
      <c r="AE445" s="4"/>
      <c r="AF445" s="4"/>
    </row>
    <row r="446" spans="1:32" x14ac:dyDescent="0.25">
      <c r="A446" s="4" t="str">
        <f t="shared" si="48"/>
        <v>'',</v>
      </c>
      <c r="B446" s="4" t="str">
        <f t="shared" si="49"/>
        <v>'',</v>
      </c>
      <c r="C446" s="15"/>
      <c r="D446" s="5"/>
      <c r="E446" s="5"/>
      <c r="F446" s="5"/>
      <c r="G446" s="29"/>
      <c r="H446" s="5"/>
      <c r="I446" s="22"/>
      <c r="J446" s="16"/>
      <c r="K446" s="25"/>
      <c r="L446" s="16"/>
      <c r="M446" s="16" t="str">
        <f t="shared" si="52"/>
        <v/>
      </c>
      <c r="N446" s="16" t="str">
        <f t="shared" si="53"/>
        <v/>
      </c>
      <c r="O446" s="7" t="str">
        <f t="shared" si="50"/>
        <v/>
      </c>
      <c r="P446" s="7" t="str">
        <f t="shared" si="51"/>
        <v/>
      </c>
      <c r="Q446" s="7"/>
      <c r="R446" s="7"/>
      <c r="S446" s="16"/>
      <c r="T446" s="4"/>
      <c r="U446" s="4"/>
      <c r="V446" s="4"/>
      <c r="W446" s="4"/>
      <c r="X446" s="4"/>
      <c r="Y446" s="4"/>
      <c r="Z446" s="4"/>
      <c r="AA446" s="37"/>
      <c r="AB446" s="4"/>
      <c r="AC446" s="4"/>
      <c r="AD446" s="4"/>
      <c r="AE446" s="4"/>
      <c r="AF446" s="4"/>
    </row>
    <row r="447" spans="1:32" x14ac:dyDescent="0.25">
      <c r="A447" s="4" t="str">
        <f t="shared" si="48"/>
        <v>'',</v>
      </c>
      <c r="B447" s="4" t="str">
        <f t="shared" si="49"/>
        <v>'',</v>
      </c>
      <c r="C447" s="15"/>
      <c r="D447" s="5"/>
      <c r="E447" s="5"/>
      <c r="F447" s="5"/>
      <c r="G447" s="29"/>
      <c r="H447" s="5"/>
      <c r="I447" s="22"/>
      <c r="J447" s="16"/>
      <c r="K447" s="25"/>
      <c r="L447" s="16"/>
      <c r="M447" s="16" t="str">
        <f t="shared" si="52"/>
        <v/>
      </c>
      <c r="N447" s="16" t="str">
        <f t="shared" si="53"/>
        <v/>
      </c>
      <c r="O447" s="7" t="str">
        <f t="shared" si="50"/>
        <v/>
      </c>
      <c r="P447" s="7" t="str">
        <f t="shared" si="51"/>
        <v/>
      </c>
      <c r="Q447" s="7"/>
      <c r="R447" s="7"/>
      <c r="S447" s="16"/>
      <c r="T447" s="4"/>
      <c r="U447" s="4"/>
      <c r="V447" s="4"/>
      <c r="W447" s="4"/>
      <c r="X447" s="4"/>
      <c r="Y447" s="4"/>
      <c r="Z447" s="4"/>
      <c r="AA447" s="37"/>
      <c r="AB447" s="4"/>
      <c r="AC447" s="4"/>
      <c r="AD447" s="4"/>
      <c r="AE447" s="4"/>
      <c r="AF447" s="4"/>
    </row>
    <row r="448" spans="1:32" x14ac:dyDescent="0.25">
      <c r="A448" s="4" t="str">
        <f t="shared" si="48"/>
        <v>'',</v>
      </c>
      <c r="B448" s="4" t="str">
        <f t="shared" si="49"/>
        <v>'',</v>
      </c>
      <c r="C448" s="15"/>
      <c r="D448" s="5"/>
      <c r="E448" s="5"/>
      <c r="F448" s="5"/>
      <c r="G448" s="29"/>
      <c r="H448" s="5"/>
      <c r="I448" s="22"/>
      <c r="J448" s="16"/>
      <c r="K448" s="25"/>
      <c r="L448" s="16"/>
      <c r="M448" s="16" t="str">
        <f t="shared" si="52"/>
        <v/>
      </c>
      <c r="N448" s="16" t="str">
        <f t="shared" si="53"/>
        <v/>
      </c>
      <c r="O448" s="7" t="str">
        <f t="shared" si="50"/>
        <v/>
      </c>
      <c r="P448" s="7" t="str">
        <f t="shared" si="51"/>
        <v/>
      </c>
      <c r="Q448" s="7"/>
      <c r="R448" s="7"/>
      <c r="S448" s="16"/>
      <c r="T448" s="4"/>
      <c r="U448" s="4"/>
      <c r="V448" s="4"/>
      <c r="W448" s="4"/>
      <c r="X448" s="4"/>
      <c r="Y448" s="4"/>
      <c r="Z448" s="4"/>
      <c r="AA448" s="37"/>
      <c r="AB448" s="4"/>
      <c r="AC448" s="4"/>
      <c r="AD448" s="4"/>
      <c r="AE448" s="4"/>
      <c r="AF448" s="4"/>
    </row>
    <row r="449" spans="1:32" x14ac:dyDescent="0.25">
      <c r="A449" s="4" t="str">
        <f t="shared" si="48"/>
        <v>'',</v>
      </c>
      <c r="B449" s="4" t="str">
        <f t="shared" si="49"/>
        <v>'',</v>
      </c>
      <c r="C449" s="15"/>
      <c r="D449" s="5"/>
      <c r="E449" s="5"/>
      <c r="F449" s="5"/>
      <c r="G449" s="29"/>
      <c r="H449" s="5"/>
      <c r="I449" s="22"/>
      <c r="J449" s="16"/>
      <c r="K449" s="25"/>
      <c r="L449" s="16"/>
      <c r="M449" s="16" t="str">
        <f t="shared" si="52"/>
        <v/>
      </c>
      <c r="N449" s="16" t="str">
        <f t="shared" si="53"/>
        <v/>
      </c>
      <c r="O449" s="7" t="str">
        <f t="shared" si="50"/>
        <v/>
      </c>
      <c r="P449" s="7" t="str">
        <f t="shared" si="51"/>
        <v/>
      </c>
      <c r="Q449" s="7"/>
      <c r="R449" s="7"/>
      <c r="S449" s="16"/>
      <c r="T449" s="4"/>
      <c r="U449" s="4"/>
      <c r="V449" s="4"/>
      <c r="W449" s="4"/>
      <c r="X449" s="4"/>
      <c r="Y449" s="4"/>
      <c r="Z449" s="4"/>
      <c r="AA449" s="37"/>
      <c r="AB449" s="4"/>
      <c r="AC449" s="4"/>
      <c r="AD449" s="4"/>
      <c r="AE449" s="4"/>
      <c r="AF449" s="4"/>
    </row>
    <row r="450" spans="1:32" x14ac:dyDescent="0.25">
      <c r="A450" s="4" t="str">
        <f t="shared" si="48"/>
        <v>'',</v>
      </c>
      <c r="B450" s="4" t="str">
        <f t="shared" si="49"/>
        <v>'',</v>
      </c>
      <c r="C450" s="15"/>
      <c r="D450" s="5"/>
      <c r="E450" s="5"/>
      <c r="F450" s="5"/>
      <c r="G450" s="29"/>
      <c r="H450" s="5"/>
      <c r="I450" s="22"/>
      <c r="J450" s="16"/>
      <c r="K450" s="25"/>
      <c r="L450" s="16"/>
      <c r="M450" s="16" t="str">
        <f t="shared" si="52"/>
        <v/>
      </c>
      <c r="N450" s="16" t="str">
        <f t="shared" si="53"/>
        <v/>
      </c>
      <c r="O450" s="7" t="str">
        <f t="shared" si="50"/>
        <v/>
      </c>
      <c r="P450" s="7" t="str">
        <f t="shared" si="51"/>
        <v/>
      </c>
      <c r="Q450" s="7"/>
      <c r="R450" s="7"/>
      <c r="S450" s="16"/>
      <c r="T450" s="4"/>
      <c r="U450" s="4"/>
      <c r="V450" s="4"/>
      <c r="W450" s="4"/>
      <c r="X450" s="4"/>
      <c r="Y450" s="4"/>
      <c r="Z450" s="4"/>
      <c r="AA450" s="37"/>
      <c r="AB450" s="4"/>
      <c r="AC450" s="4"/>
      <c r="AD450" s="4"/>
      <c r="AE450" s="4"/>
      <c r="AF450" s="4"/>
    </row>
    <row r="451" spans="1:32" x14ac:dyDescent="0.25">
      <c r="A451" s="4" t="str">
        <f t="shared" si="48"/>
        <v>'',</v>
      </c>
      <c r="B451" s="4" t="str">
        <f t="shared" si="49"/>
        <v>'',</v>
      </c>
      <c r="C451" s="15"/>
      <c r="D451" s="5"/>
      <c r="E451" s="5"/>
      <c r="F451" s="5"/>
      <c r="G451" s="29"/>
      <c r="H451" s="5"/>
      <c r="I451" s="22"/>
      <c r="J451" s="16"/>
      <c r="K451" s="25"/>
      <c r="L451" s="16"/>
      <c r="M451" s="16" t="str">
        <f t="shared" si="52"/>
        <v/>
      </c>
      <c r="N451" s="16" t="str">
        <f t="shared" si="53"/>
        <v/>
      </c>
      <c r="O451" s="7" t="str">
        <f t="shared" si="50"/>
        <v/>
      </c>
      <c r="P451" s="7" t="str">
        <f t="shared" si="51"/>
        <v/>
      </c>
      <c r="Q451" s="7"/>
      <c r="R451" s="7"/>
      <c r="S451" s="16"/>
      <c r="T451" s="4"/>
      <c r="U451" s="4"/>
      <c r="V451" s="4"/>
      <c r="W451" s="4"/>
      <c r="X451" s="4"/>
      <c r="Y451" s="4"/>
      <c r="Z451" s="4"/>
      <c r="AA451" s="37"/>
      <c r="AB451" s="4"/>
      <c r="AC451" s="4"/>
      <c r="AD451" s="4"/>
      <c r="AE451" s="4"/>
      <c r="AF451" s="4"/>
    </row>
    <row r="452" spans="1:32" x14ac:dyDescent="0.25">
      <c r="A452" s="4" t="str">
        <f t="shared" si="48"/>
        <v>'',</v>
      </c>
      <c r="B452" s="4" t="str">
        <f t="shared" si="49"/>
        <v>'',</v>
      </c>
      <c r="C452" s="15"/>
      <c r="D452" s="5"/>
      <c r="E452" s="5"/>
      <c r="F452" s="5"/>
      <c r="G452" s="29"/>
      <c r="H452" s="5"/>
      <c r="I452" s="22"/>
      <c r="J452" s="16"/>
      <c r="K452" s="25"/>
      <c r="L452" s="16"/>
      <c r="M452" s="16" t="str">
        <f t="shared" si="52"/>
        <v/>
      </c>
      <c r="N452" s="16" t="str">
        <f t="shared" si="53"/>
        <v/>
      </c>
      <c r="O452" s="7" t="str">
        <f t="shared" si="50"/>
        <v/>
      </c>
      <c r="P452" s="7" t="str">
        <f t="shared" si="51"/>
        <v/>
      </c>
      <c r="Q452" s="7"/>
      <c r="R452" s="7"/>
      <c r="S452" s="16"/>
      <c r="T452" s="4"/>
      <c r="U452" s="4"/>
      <c r="V452" s="4"/>
      <c r="W452" s="4"/>
      <c r="X452" s="4"/>
      <c r="Y452" s="4"/>
      <c r="Z452" s="4"/>
      <c r="AA452" s="37"/>
      <c r="AB452" s="4"/>
      <c r="AC452" s="4"/>
      <c r="AD452" s="4"/>
      <c r="AE452" s="4"/>
      <c r="AF452" s="4"/>
    </row>
    <row r="453" spans="1:32" x14ac:dyDescent="0.25">
      <c r="A453" s="4" t="str">
        <f t="shared" si="48"/>
        <v>'',</v>
      </c>
      <c r="B453" s="4" t="str">
        <f t="shared" si="49"/>
        <v>'',</v>
      </c>
      <c r="C453" s="15"/>
      <c r="D453" s="5"/>
      <c r="E453" s="5"/>
      <c r="F453" s="5"/>
      <c r="G453" s="29"/>
      <c r="H453" s="5"/>
      <c r="I453" s="22"/>
      <c r="J453" s="16"/>
      <c r="K453" s="25"/>
      <c r="L453" s="16"/>
      <c r="M453" s="16" t="str">
        <f t="shared" si="52"/>
        <v/>
      </c>
      <c r="N453" s="16" t="str">
        <f t="shared" si="53"/>
        <v/>
      </c>
      <c r="O453" s="7" t="str">
        <f t="shared" si="50"/>
        <v/>
      </c>
      <c r="P453" s="7" t="str">
        <f t="shared" si="51"/>
        <v/>
      </c>
      <c r="Q453" s="7"/>
      <c r="R453" s="7"/>
      <c r="S453" s="16"/>
      <c r="T453" s="4"/>
      <c r="U453" s="4"/>
      <c r="V453" s="4"/>
      <c r="W453" s="4"/>
      <c r="X453" s="4"/>
      <c r="Y453" s="4"/>
      <c r="Z453" s="4"/>
      <c r="AA453" s="37"/>
      <c r="AB453" s="4"/>
      <c r="AC453" s="4"/>
      <c r="AD453" s="4"/>
      <c r="AE453" s="4"/>
      <c r="AF453" s="4"/>
    </row>
    <row r="454" spans="1:32" x14ac:dyDescent="0.25">
      <c r="A454" s="4" t="str">
        <f t="shared" si="48"/>
        <v>'',</v>
      </c>
      <c r="B454" s="4" t="str">
        <f t="shared" si="49"/>
        <v>'',</v>
      </c>
      <c r="C454" s="15"/>
      <c r="D454" s="5"/>
      <c r="E454" s="5"/>
      <c r="F454" s="5"/>
      <c r="G454" s="29"/>
      <c r="H454" s="5"/>
      <c r="I454" s="22"/>
      <c r="J454" s="16"/>
      <c r="K454" s="25"/>
      <c r="L454" s="16"/>
      <c r="M454" s="16" t="str">
        <f t="shared" si="52"/>
        <v/>
      </c>
      <c r="N454" s="16" t="str">
        <f t="shared" si="53"/>
        <v/>
      </c>
      <c r="O454" s="7" t="str">
        <f t="shared" si="50"/>
        <v/>
      </c>
      <c r="P454" s="7" t="str">
        <f t="shared" si="51"/>
        <v/>
      </c>
      <c r="Q454" s="7"/>
      <c r="R454" s="7"/>
      <c r="S454" s="16"/>
      <c r="T454" s="4"/>
      <c r="U454" s="4"/>
      <c r="V454" s="4"/>
      <c r="W454" s="4"/>
      <c r="X454" s="4"/>
      <c r="Y454" s="4"/>
      <c r="Z454" s="4"/>
      <c r="AA454" s="37"/>
      <c r="AB454" s="4"/>
      <c r="AC454" s="4"/>
      <c r="AD454" s="4"/>
      <c r="AE454" s="4"/>
      <c r="AF454" s="4"/>
    </row>
    <row r="455" spans="1:32" x14ac:dyDescent="0.25">
      <c r="A455" s="4" t="str">
        <f t="shared" si="48"/>
        <v>'',</v>
      </c>
      <c r="B455" s="4" t="str">
        <f t="shared" si="49"/>
        <v>'',</v>
      </c>
      <c r="C455" s="15"/>
      <c r="D455" s="5"/>
      <c r="E455" s="5"/>
      <c r="F455" s="5"/>
      <c r="G455" s="29"/>
      <c r="H455" s="5"/>
      <c r="I455" s="22"/>
      <c r="J455" s="16"/>
      <c r="K455" s="25"/>
      <c r="L455" s="16"/>
      <c r="M455" s="16" t="str">
        <f t="shared" si="52"/>
        <v/>
      </c>
      <c r="N455" s="16" t="str">
        <f t="shared" si="53"/>
        <v/>
      </c>
      <c r="O455" s="7" t="str">
        <f t="shared" si="50"/>
        <v/>
      </c>
      <c r="P455" s="7" t="str">
        <f t="shared" si="51"/>
        <v/>
      </c>
      <c r="Q455" s="7"/>
      <c r="R455" s="7"/>
      <c r="S455" s="16"/>
      <c r="T455" s="4"/>
      <c r="U455" s="4"/>
      <c r="V455" s="4"/>
      <c r="W455" s="4"/>
      <c r="X455" s="4"/>
      <c r="Y455" s="4"/>
      <c r="Z455" s="4"/>
      <c r="AA455" s="37"/>
      <c r="AB455" s="4"/>
      <c r="AC455" s="4"/>
      <c r="AD455" s="4"/>
      <c r="AE455" s="4"/>
      <c r="AF455" s="4"/>
    </row>
    <row r="456" spans="1:32" x14ac:dyDescent="0.25">
      <c r="A456" s="4" t="str">
        <f t="shared" si="48"/>
        <v>'',</v>
      </c>
      <c r="B456" s="4" t="str">
        <f t="shared" si="49"/>
        <v>'',</v>
      </c>
      <c r="C456" s="15"/>
      <c r="D456" s="5"/>
      <c r="E456" s="5"/>
      <c r="F456" s="5"/>
      <c r="G456" s="29"/>
      <c r="H456" s="5"/>
      <c r="I456" s="22"/>
      <c r="J456" s="16"/>
      <c r="K456" s="25"/>
      <c r="L456" s="16"/>
      <c r="M456" s="16" t="str">
        <f t="shared" si="52"/>
        <v/>
      </c>
      <c r="N456" s="16" t="str">
        <f t="shared" si="53"/>
        <v/>
      </c>
      <c r="O456" s="7" t="str">
        <f t="shared" si="50"/>
        <v/>
      </c>
      <c r="P456" s="7" t="str">
        <f t="shared" si="51"/>
        <v/>
      </c>
      <c r="Q456" s="7"/>
      <c r="R456" s="7"/>
      <c r="S456" s="16"/>
      <c r="T456" s="4"/>
      <c r="U456" s="4"/>
      <c r="V456" s="4"/>
      <c r="W456" s="4"/>
      <c r="X456" s="4"/>
      <c r="Y456" s="4"/>
      <c r="Z456" s="4"/>
      <c r="AA456" s="37"/>
      <c r="AB456" s="4"/>
      <c r="AC456" s="4"/>
      <c r="AD456" s="4"/>
      <c r="AE456" s="4"/>
      <c r="AF456" s="4"/>
    </row>
    <row r="457" spans="1:32" x14ac:dyDescent="0.25">
      <c r="A457" s="4" t="str">
        <f t="shared" si="48"/>
        <v>'',</v>
      </c>
      <c r="B457" s="4" t="str">
        <f t="shared" si="49"/>
        <v>'',</v>
      </c>
      <c r="C457" s="15"/>
      <c r="D457" s="5"/>
      <c r="E457" s="5"/>
      <c r="F457" s="5"/>
      <c r="G457" s="29"/>
      <c r="H457" s="5"/>
      <c r="I457" s="22"/>
      <c r="J457" s="16"/>
      <c r="K457" s="25"/>
      <c r="L457" s="16"/>
      <c r="M457" s="16" t="str">
        <f t="shared" si="52"/>
        <v/>
      </c>
      <c r="N457" s="16" t="str">
        <f t="shared" si="53"/>
        <v/>
      </c>
      <c r="O457" s="7" t="str">
        <f t="shared" si="50"/>
        <v/>
      </c>
      <c r="P457" s="7" t="str">
        <f t="shared" si="51"/>
        <v/>
      </c>
      <c r="Q457" s="7"/>
      <c r="R457" s="7"/>
      <c r="S457" s="16"/>
      <c r="T457" s="4"/>
      <c r="U457" s="4"/>
      <c r="V457" s="4"/>
      <c r="W457" s="4"/>
      <c r="X457" s="4"/>
      <c r="Y457" s="4"/>
      <c r="Z457" s="4"/>
      <c r="AA457" s="37"/>
      <c r="AB457" s="4"/>
      <c r="AC457" s="4"/>
      <c r="AD457" s="4"/>
      <c r="AE457" s="4"/>
      <c r="AF457" s="4"/>
    </row>
    <row r="458" spans="1:32" x14ac:dyDescent="0.25">
      <c r="A458" s="4" t="str">
        <f t="shared" ref="A458:A521" si="54">"'"&amp;X458&amp;"',"</f>
        <v>'',</v>
      </c>
      <c r="B458" s="4" t="str">
        <f t="shared" ref="B458:B521" si="55">"'"&amp;T458&amp;"',"</f>
        <v>'',</v>
      </c>
      <c r="C458" s="15"/>
      <c r="D458" s="5"/>
      <c r="E458" s="5"/>
      <c r="F458" s="5"/>
      <c r="G458" s="29"/>
      <c r="H458" s="5"/>
      <c r="I458" s="22"/>
      <c r="J458" s="16"/>
      <c r="K458" s="25"/>
      <c r="L458" s="16"/>
      <c r="M458" s="16" t="str">
        <f t="shared" si="52"/>
        <v/>
      </c>
      <c r="N458" s="16" t="str">
        <f t="shared" si="53"/>
        <v/>
      </c>
      <c r="O458" s="7" t="str">
        <f t="shared" si="50"/>
        <v/>
      </c>
      <c r="P458" s="7" t="str">
        <f t="shared" si="51"/>
        <v/>
      </c>
      <c r="Q458" s="7"/>
      <c r="R458" s="7"/>
      <c r="S458" s="16"/>
      <c r="T458" s="4"/>
      <c r="U458" s="4"/>
      <c r="V458" s="4"/>
      <c r="W458" s="4"/>
      <c r="X458" s="4"/>
      <c r="Y458" s="4"/>
      <c r="Z458" s="4"/>
      <c r="AA458" s="37"/>
      <c r="AB458" s="4"/>
      <c r="AC458" s="4"/>
      <c r="AD458" s="4"/>
      <c r="AE458" s="4"/>
      <c r="AF458" s="4"/>
    </row>
    <row r="459" spans="1:32" x14ac:dyDescent="0.25">
      <c r="A459" s="4" t="str">
        <f t="shared" si="54"/>
        <v>'',</v>
      </c>
      <c r="B459" s="4" t="str">
        <f t="shared" si="55"/>
        <v>'',</v>
      </c>
      <c r="C459" s="15"/>
      <c r="D459" s="5"/>
      <c r="E459" s="5"/>
      <c r="F459" s="5"/>
      <c r="G459" s="29"/>
      <c r="H459" s="5"/>
      <c r="I459" s="22"/>
      <c r="J459" s="16"/>
      <c r="K459" s="25"/>
      <c r="L459" s="16"/>
      <c r="M459" s="16" t="str">
        <f t="shared" si="52"/>
        <v/>
      </c>
      <c r="N459" s="16" t="str">
        <f t="shared" si="53"/>
        <v/>
      </c>
      <c r="O459" s="7" t="str">
        <f t="shared" si="50"/>
        <v/>
      </c>
      <c r="P459" s="7" t="str">
        <f t="shared" si="51"/>
        <v/>
      </c>
      <c r="Q459" s="7"/>
      <c r="R459" s="7"/>
      <c r="S459" s="16"/>
      <c r="T459" s="4"/>
      <c r="U459" s="4"/>
      <c r="V459" s="4"/>
      <c r="W459" s="4"/>
      <c r="X459" s="4"/>
      <c r="Y459" s="4"/>
      <c r="Z459" s="4"/>
      <c r="AA459" s="37"/>
      <c r="AB459" s="4"/>
      <c r="AC459" s="4"/>
      <c r="AD459" s="4"/>
      <c r="AE459" s="4"/>
      <c r="AF459" s="4"/>
    </row>
    <row r="460" spans="1:32" x14ac:dyDescent="0.25">
      <c r="A460" s="4" t="str">
        <f t="shared" si="54"/>
        <v>'',</v>
      </c>
      <c r="B460" s="4" t="str">
        <f t="shared" si="55"/>
        <v>'',</v>
      </c>
      <c r="C460" s="15"/>
      <c r="D460" s="5"/>
      <c r="E460" s="5"/>
      <c r="F460" s="5"/>
      <c r="G460" s="29"/>
      <c r="H460" s="5"/>
      <c r="I460" s="22"/>
      <c r="J460" s="16"/>
      <c r="K460" s="25"/>
      <c r="L460" s="16"/>
      <c r="M460" s="16" t="str">
        <f t="shared" si="52"/>
        <v/>
      </c>
      <c r="N460" s="16" t="str">
        <f t="shared" si="53"/>
        <v/>
      </c>
      <c r="O460" s="7" t="str">
        <f t="shared" si="50"/>
        <v/>
      </c>
      <c r="P460" s="7" t="str">
        <f t="shared" si="51"/>
        <v/>
      </c>
      <c r="Q460" s="7"/>
      <c r="R460" s="7"/>
      <c r="S460" s="16"/>
      <c r="T460" s="4"/>
      <c r="U460" s="4"/>
      <c r="V460" s="4"/>
      <c r="W460" s="4"/>
      <c r="X460" s="4"/>
      <c r="Y460" s="4"/>
      <c r="Z460" s="4"/>
      <c r="AA460" s="37"/>
      <c r="AB460" s="4"/>
      <c r="AC460" s="4"/>
      <c r="AD460" s="4"/>
      <c r="AE460" s="4"/>
      <c r="AF460" s="4"/>
    </row>
    <row r="461" spans="1:32" x14ac:dyDescent="0.25">
      <c r="A461" s="4" t="str">
        <f t="shared" si="54"/>
        <v>'',</v>
      </c>
      <c r="B461" s="4" t="str">
        <f t="shared" si="55"/>
        <v>'',</v>
      </c>
      <c r="C461" s="15"/>
      <c r="D461" s="5"/>
      <c r="E461" s="5"/>
      <c r="F461" s="5"/>
      <c r="G461" s="29"/>
      <c r="H461" s="5"/>
      <c r="I461" s="22"/>
      <c r="J461" s="16"/>
      <c r="K461" s="25"/>
      <c r="L461" s="16"/>
      <c r="M461" s="16" t="str">
        <f t="shared" si="52"/>
        <v/>
      </c>
      <c r="N461" s="16" t="str">
        <f t="shared" si="53"/>
        <v/>
      </c>
      <c r="O461" s="7" t="str">
        <f t="shared" si="50"/>
        <v/>
      </c>
      <c r="P461" s="7" t="str">
        <f t="shared" si="51"/>
        <v/>
      </c>
      <c r="Q461" s="7"/>
      <c r="R461" s="7"/>
      <c r="S461" s="16"/>
      <c r="T461" s="4"/>
      <c r="U461" s="4"/>
      <c r="V461" s="4"/>
      <c r="W461" s="4"/>
      <c r="X461" s="4"/>
      <c r="Y461" s="4"/>
      <c r="Z461" s="4"/>
      <c r="AA461" s="37"/>
      <c r="AB461" s="4"/>
      <c r="AC461" s="4"/>
      <c r="AD461" s="4"/>
      <c r="AE461" s="4"/>
      <c r="AF461" s="4"/>
    </row>
    <row r="462" spans="1:32" x14ac:dyDescent="0.25">
      <c r="A462" s="4" t="str">
        <f t="shared" si="54"/>
        <v>'',</v>
      </c>
      <c r="B462" s="4" t="str">
        <f t="shared" si="55"/>
        <v>'',</v>
      </c>
      <c r="C462" s="15"/>
      <c r="D462" s="5"/>
      <c r="E462" s="5"/>
      <c r="F462" s="5"/>
      <c r="G462" s="29"/>
      <c r="H462" s="5"/>
      <c r="I462" s="22"/>
      <c r="J462" s="16"/>
      <c r="K462" s="25"/>
      <c r="L462" s="16"/>
      <c r="M462" s="16" t="str">
        <f t="shared" si="52"/>
        <v/>
      </c>
      <c r="N462" s="16" t="str">
        <f t="shared" si="53"/>
        <v/>
      </c>
      <c r="O462" s="7" t="str">
        <f t="shared" si="50"/>
        <v/>
      </c>
      <c r="P462" s="7" t="str">
        <f t="shared" si="51"/>
        <v/>
      </c>
      <c r="Q462" s="7"/>
      <c r="R462" s="7"/>
      <c r="S462" s="16"/>
      <c r="T462" s="4"/>
      <c r="U462" s="4"/>
      <c r="V462" s="4"/>
      <c r="W462" s="4"/>
      <c r="X462" s="4"/>
      <c r="Y462" s="4"/>
      <c r="Z462" s="4"/>
      <c r="AA462" s="37"/>
      <c r="AB462" s="4"/>
      <c r="AC462" s="4"/>
      <c r="AD462" s="4"/>
      <c r="AE462" s="4"/>
      <c r="AF462" s="4"/>
    </row>
    <row r="463" spans="1:32" x14ac:dyDescent="0.25">
      <c r="A463" s="4" t="str">
        <f t="shared" si="54"/>
        <v>'',</v>
      </c>
      <c r="B463" s="4" t="str">
        <f t="shared" si="55"/>
        <v>'',</v>
      </c>
      <c r="C463" s="15"/>
      <c r="D463" s="5"/>
      <c r="E463" s="5"/>
      <c r="F463" s="5"/>
      <c r="G463" s="29"/>
      <c r="H463" s="5"/>
      <c r="I463" s="22"/>
      <c r="J463" s="16"/>
      <c r="K463" s="25"/>
      <c r="L463" s="16"/>
      <c r="M463" s="16" t="str">
        <f t="shared" si="52"/>
        <v/>
      </c>
      <c r="N463" s="16" t="str">
        <f t="shared" si="53"/>
        <v/>
      </c>
      <c r="O463" s="7" t="str">
        <f t="shared" si="50"/>
        <v/>
      </c>
      <c r="P463" s="7" t="str">
        <f t="shared" si="51"/>
        <v/>
      </c>
      <c r="Q463" s="7"/>
      <c r="R463" s="7"/>
      <c r="S463" s="16"/>
      <c r="T463" s="4"/>
      <c r="U463" s="4"/>
      <c r="V463" s="4"/>
      <c r="W463" s="4"/>
      <c r="X463" s="4"/>
      <c r="Y463" s="4"/>
      <c r="Z463" s="4"/>
      <c r="AA463" s="37"/>
      <c r="AB463" s="4"/>
      <c r="AC463" s="4"/>
      <c r="AD463" s="4"/>
      <c r="AE463" s="4"/>
      <c r="AF463" s="4"/>
    </row>
    <row r="464" spans="1:32" x14ac:dyDescent="0.25">
      <c r="A464" s="4" t="str">
        <f t="shared" si="54"/>
        <v>'',</v>
      </c>
      <c r="B464" s="4" t="str">
        <f t="shared" si="55"/>
        <v>'',</v>
      </c>
      <c r="C464" s="15"/>
      <c r="D464" s="5"/>
      <c r="E464" s="5"/>
      <c r="F464" s="5"/>
      <c r="G464" s="29"/>
      <c r="H464" s="5"/>
      <c r="I464" s="22"/>
      <c r="J464" s="16"/>
      <c r="K464" s="25"/>
      <c r="L464" s="16"/>
      <c r="M464" s="16" t="str">
        <f t="shared" si="52"/>
        <v/>
      </c>
      <c r="N464" s="16" t="str">
        <f t="shared" si="53"/>
        <v/>
      </c>
      <c r="O464" s="7" t="str">
        <f t="shared" ref="O464:O527" si="56">IF(V464&lt;&gt;"",V464,"")</f>
        <v/>
      </c>
      <c r="P464" s="7" t="str">
        <f t="shared" ref="P464:P527" si="57">IF(O464="","","請協助處理")</f>
        <v/>
      </c>
      <c r="Q464" s="7"/>
      <c r="R464" s="7"/>
      <c r="S464" s="16"/>
      <c r="T464" s="4"/>
      <c r="U464" s="4"/>
      <c r="V464" s="4"/>
      <c r="W464" s="4"/>
      <c r="X464" s="4"/>
      <c r="Y464" s="4"/>
      <c r="Z464" s="4"/>
      <c r="AA464" s="37"/>
      <c r="AB464" s="4"/>
      <c r="AC464" s="4"/>
      <c r="AD464" s="4"/>
      <c r="AE464" s="4"/>
      <c r="AF464" s="4"/>
    </row>
    <row r="465" spans="1:32" x14ac:dyDescent="0.25">
      <c r="A465" s="4" t="str">
        <f t="shared" si="54"/>
        <v>'',</v>
      </c>
      <c r="B465" s="4" t="str">
        <f t="shared" si="55"/>
        <v>'',</v>
      </c>
      <c r="C465" s="15"/>
      <c r="D465" s="5"/>
      <c r="E465" s="5"/>
      <c r="F465" s="5"/>
      <c r="G465" s="29"/>
      <c r="H465" s="5"/>
      <c r="I465" s="22"/>
      <c r="J465" s="16"/>
      <c r="K465" s="25"/>
      <c r="L465" s="16"/>
      <c r="M465" s="16" t="str">
        <f t="shared" si="52"/>
        <v/>
      </c>
      <c r="N465" s="16" t="str">
        <f t="shared" si="53"/>
        <v/>
      </c>
      <c r="O465" s="7" t="str">
        <f t="shared" si="56"/>
        <v/>
      </c>
      <c r="P465" s="7" t="str">
        <f t="shared" si="57"/>
        <v/>
      </c>
      <c r="Q465" s="7"/>
      <c r="R465" s="7"/>
      <c r="S465" s="16"/>
      <c r="T465" s="4"/>
      <c r="U465" s="4"/>
      <c r="V465" s="4"/>
      <c r="W465" s="4"/>
      <c r="X465" s="4"/>
      <c r="Y465" s="4"/>
      <c r="Z465" s="4"/>
      <c r="AA465" s="37"/>
      <c r="AB465" s="4"/>
      <c r="AC465" s="4"/>
      <c r="AD465" s="4"/>
      <c r="AE465" s="4"/>
      <c r="AF465" s="4"/>
    </row>
    <row r="466" spans="1:32" x14ac:dyDescent="0.25">
      <c r="A466" s="4" t="str">
        <f t="shared" si="54"/>
        <v>'',</v>
      </c>
      <c r="B466" s="4" t="str">
        <f t="shared" si="55"/>
        <v>'',</v>
      </c>
      <c r="C466" s="15"/>
      <c r="D466" s="5"/>
      <c r="E466" s="5"/>
      <c r="F466" s="5"/>
      <c r="G466" s="29"/>
      <c r="H466" s="5"/>
      <c r="I466" s="22"/>
      <c r="J466" s="16"/>
      <c r="K466" s="25"/>
      <c r="L466" s="16"/>
      <c r="M466" s="16" t="str">
        <f t="shared" si="52"/>
        <v/>
      </c>
      <c r="N466" s="16" t="str">
        <f t="shared" si="53"/>
        <v/>
      </c>
      <c r="O466" s="7" t="str">
        <f t="shared" si="56"/>
        <v/>
      </c>
      <c r="P466" s="7" t="str">
        <f t="shared" si="57"/>
        <v/>
      </c>
      <c r="Q466" s="7"/>
      <c r="R466" s="7"/>
      <c r="S466" s="16"/>
      <c r="T466" s="4"/>
      <c r="U466" s="4"/>
      <c r="V466" s="4"/>
      <c r="W466" s="4"/>
      <c r="X466" s="4"/>
      <c r="Y466" s="4"/>
      <c r="Z466" s="4"/>
      <c r="AA466" s="37"/>
      <c r="AB466" s="4"/>
      <c r="AC466" s="4"/>
      <c r="AD466" s="4"/>
      <c r="AE466" s="4"/>
      <c r="AF466" s="4"/>
    </row>
    <row r="467" spans="1:32" x14ac:dyDescent="0.25">
      <c r="A467" s="4" t="str">
        <f t="shared" si="54"/>
        <v>'',</v>
      </c>
      <c r="B467" s="4" t="str">
        <f t="shared" si="55"/>
        <v>'',</v>
      </c>
      <c r="C467" s="15"/>
      <c r="D467" s="5"/>
      <c r="E467" s="5"/>
      <c r="F467" s="5"/>
      <c r="G467" s="29"/>
      <c r="H467" s="5"/>
      <c r="I467" s="22"/>
      <c r="J467" s="16"/>
      <c r="K467" s="25"/>
      <c r="L467" s="16"/>
      <c r="M467" s="16" t="str">
        <f t="shared" si="52"/>
        <v/>
      </c>
      <c r="N467" s="16" t="str">
        <f t="shared" si="53"/>
        <v/>
      </c>
      <c r="O467" s="7" t="str">
        <f t="shared" si="56"/>
        <v/>
      </c>
      <c r="P467" s="7" t="str">
        <f t="shared" si="57"/>
        <v/>
      </c>
      <c r="Q467" s="7"/>
      <c r="R467" s="7"/>
      <c r="S467" s="16"/>
      <c r="T467" s="4"/>
      <c r="U467" s="4"/>
      <c r="V467" s="4"/>
      <c r="W467" s="4"/>
      <c r="X467" s="4"/>
      <c r="Y467" s="4"/>
      <c r="Z467" s="4"/>
      <c r="AA467" s="37"/>
      <c r="AB467" s="4"/>
      <c r="AC467" s="4"/>
      <c r="AD467" s="4"/>
      <c r="AE467" s="4"/>
      <c r="AF467" s="4"/>
    </row>
    <row r="468" spans="1:32" x14ac:dyDescent="0.25">
      <c r="A468" s="4" t="str">
        <f t="shared" si="54"/>
        <v>'',</v>
      </c>
      <c r="B468" s="4" t="str">
        <f t="shared" si="55"/>
        <v>'',</v>
      </c>
      <c r="C468" s="15"/>
      <c r="D468" s="5"/>
      <c r="E468" s="5"/>
      <c r="F468" s="5"/>
      <c r="G468" s="29"/>
      <c r="H468" s="5"/>
      <c r="I468" s="22"/>
      <c r="J468" s="16"/>
      <c r="K468" s="25"/>
      <c r="L468" s="16"/>
      <c r="M468" s="16" t="str">
        <f t="shared" si="52"/>
        <v/>
      </c>
      <c r="N468" s="16" t="str">
        <f t="shared" si="53"/>
        <v/>
      </c>
      <c r="O468" s="7" t="str">
        <f t="shared" si="56"/>
        <v/>
      </c>
      <c r="P468" s="7" t="str">
        <f t="shared" si="57"/>
        <v/>
      </c>
      <c r="Q468" s="7"/>
      <c r="R468" s="7"/>
      <c r="S468" s="16"/>
      <c r="T468" s="4"/>
      <c r="U468" s="4"/>
      <c r="V468" s="4"/>
      <c r="W468" s="4"/>
      <c r="X468" s="4"/>
      <c r="Y468" s="4"/>
      <c r="Z468" s="4"/>
      <c r="AA468" s="37"/>
      <c r="AB468" s="4"/>
      <c r="AC468" s="4"/>
      <c r="AD468" s="4"/>
      <c r="AE468" s="4"/>
      <c r="AF468" s="4"/>
    </row>
    <row r="469" spans="1:32" x14ac:dyDescent="0.25">
      <c r="A469" s="4" t="str">
        <f t="shared" si="54"/>
        <v>'',</v>
      </c>
      <c r="B469" s="4" t="str">
        <f t="shared" si="55"/>
        <v>'',</v>
      </c>
      <c r="C469" s="15"/>
      <c r="D469" s="5"/>
      <c r="E469" s="5"/>
      <c r="F469" s="5"/>
      <c r="G469" s="29"/>
      <c r="H469" s="5"/>
      <c r="I469" s="22"/>
      <c r="J469" s="16"/>
      <c r="K469" s="25"/>
      <c r="L469" s="16"/>
      <c r="M469" s="16" t="str">
        <f t="shared" si="52"/>
        <v/>
      </c>
      <c r="N469" s="16" t="str">
        <f t="shared" si="53"/>
        <v/>
      </c>
      <c r="O469" s="7" t="str">
        <f t="shared" si="56"/>
        <v/>
      </c>
      <c r="P469" s="7" t="str">
        <f t="shared" si="57"/>
        <v/>
      </c>
      <c r="Q469" s="7"/>
      <c r="R469" s="7"/>
      <c r="S469" s="16"/>
      <c r="T469" s="4"/>
      <c r="U469" s="4"/>
      <c r="V469" s="4"/>
      <c r="W469" s="4"/>
      <c r="X469" s="4"/>
      <c r="Y469" s="4"/>
      <c r="Z469" s="4"/>
      <c r="AA469" s="37"/>
      <c r="AB469" s="4"/>
      <c r="AC469" s="4"/>
      <c r="AD469" s="4"/>
      <c r="AE469" s="4"/>
      <c r="AF469" s="4"/>
    </row>
    <row r="470" spans="1:32" x14ac:dyDescent="0.25">
      <c r="A470" s="4" t="str">
        <f t="shared" si="54"/>
        <v>'',</v>
      </c>
      <c r="B470" s="4" t="str">
        <f t="shared" si="55"/>
        <v>'',</v>
      </c>
      <c r="C470" s="15"/>
      <c r="D470" s="5"/>
      <c r="E470" s="5"/>
      <c r="F470" s="5"/>
      <c r="G470" s="29"/>
      <c r="H470" s="5"/>
      <c r="I470" s="22"/>
      <c r="J470" s="16"/>
      <c r="K470" s="25"/>
      <c r="L470" s="16"/>
      <c r="M470" s="16" t="str">
        <f t="shared" si="52"/>
        <v/>
      </c>
      <c r="N470" s="16" t="str">
        <f t="shared" si="53"/>
        <v/>
      </c>
      <c r="O470" s="7" t="str">
        <f t="shared" si="56"/>
        <v/>
      </c>
      <c r="P470" s="7" t="str">
        <f t="shared" si="57"/>
        <v/>
      </c>
      <c r="Q470" s="7"/>
      <c r="R470" s="7"/>
      <c r="S470" s="16"/>
      <c r="T470" s="4"/>
      <c r="U470" s="4"/>
      <c r="V470" s="4"/>
      <c r="W470" s="4"/>
      <c r="X470" s="4"/>
      <c r="Y470" s="4"/>
      <c r="Z470" s="4"/>
      <c r="AA470" s="37"/>
      <c r="AB470" s="4"/>
      <c r="AC470" s="4"/>
      <c r="AD470" s="4"/>
      <c r="AE470" s="4"/>
      <c r="AF470" s="4"/>
    </row>
    <row r="471" spans="1:32" x14ac:dyDescent="0.25">
      <c r="A471" s="4" t="str">
        <f t="shared" si="54"/>
        <v>'',</v>
      </c>
      <c r="B471" s="4" t="str">
        <f t="shared" si="55"/>
        <v>'',</v>
      </c>
      <c r="C471" s="15"/>
      <c r="D471" s="5"/>
      <c r="E471" s="5"/>
      <c r="F471" s="5"/>
      <c r="G471" s="29"/>
      <c r="H471" s="5"/>
      <c r="I471" s="22"/>
      <c r="J471" s="16"/>
      <c r="K471" s="25"/>
      <c r="L471" s="16"/>
      <c r="M471" s="16" t="str">
        <f t="shared" si="52"/>
        <v/>
      </c>
      <c r="N471" s="16" t="str">
        <f t="shared" si="53"/>
        <v/>
      </c>
      <c r="O471" s="7" t="str">
        <f t="shared" si="56"/>
        <v/>
      </c>
      <c r="P471" s="7" t="str">
        <f t="shared" si="57"/>
        <v/>
      </c>
      <c r="Q471" s="7"/>
      <c r="R471" s="7"/>
      <c r="S471" s="16"/>
      <c r="T471" s="4"/>
      <c r="U471" s="4"/>
      <c r="V471" s="4"/>
      <c r="W471" s="4"/>
      <c r="X471" s="4"/>
      <c r="Y471" s="4"/>
      <c r="Z471" s="4"/>
      <c r="AA471" s="37"/>
      <c r="AB471" s="4"/>
      <c r="AC471" s="4"/>
      <c r="AD471" s="4"/>
      <c r="AE471" s="4"/>
      <c r="AF471" s="4"/>
    </row>
    <row r="472" spans="1:32" x14ac:dyDescent="0.25">
      <c r="A472" s="4" t="str">
        <f t="shared" si="54"/>
        <v>'',</v>
      </c>
      <c r="B472" s="4" t="str">
        <f t="shared" si="55"/>
        <v>'',</v>
      </c>
      <c r="C472" s="15"/>
      <c r="D472" s="5"/>
      <c r="E472" s="5"/>
      <c r="F472" s="5"/>
      <c r="G472" s="29"/>
      <c r="H472" s="5"/>
      <c r="I472" s="22"/>
      <c r="J472" s="16"/>
      <c r="K472" s="25"/>
      <c r="L472" s="16"/>
      <c r="M472" s="16" t="str">
        <f t="shared" si="52"/>
        <v/>
      </c>
      <c r="N472" s="16" t="str">
        <f t="shared" si="53"/>
        <v/>
      </c>
      <c r="O472" s="7" t="str">
        <f t="shared" si="56"/>
        <v/>
      </c>
      <c r="P472" s="7" t="str">
        <f t="shared" si="57"/>
        <v/>
      </c>
      <c r="Q472" s="7"/>
      <c r="R472" s="7"/>
      <c r="S472" s="16"/>
      <c r="T472" s="4"/>
      <c r="U472" s="4"/>
      <c r="V472" s="4"/>
      <c r="W472" s="4"/>
      <c r="X472" s="4"/>
      <c r="Y472" s="4"/>
      <c r="Z472" s="4"/>
      <c r="AA472" s="37"/>
      <c r="AB472" s="4"/>
      <c r="AC472" s="4"/>
      <c r="AD472" s="4"/>
      <c r="AE472" s="4"/>
      <c r="AF472" s="4"/>
    </row>
    <row r="473" spans="1:32" x14ac:dyDescent="0.25">
      <c r="A473" s="4" t="str">
        <f t="shared" si="54"/>
        <v>'',</v>
      </c>
      <c r="B473" s="4" t="str">
        <f t="shared" si="55"/>
        <v>'',</v>
      </c>
      <c r="C473" s="15"/>
      <c r="D473" s="5"/>
      <c r="E473" s="5"/>
      <c r="F473" s="5"/>
      <c r="G473" s="29"/>
      <c r="H473" s="5"/>
      <c r="I473" s="22"/>
      <c r="J473" s="16"/>
      <c r="K473" s="25"/>
      <c r="L473" s="16"/>
      <c r="M473" s="16" t="str">
        <f t="shared" si="52"/>
        <v/>
      </c>
      <c r="N473" s="16" t="str">
        <f t="shared" si="53"/>
        <v/>
      </c>
      <c r="O473" s="7" t="str">
        <f t="shared" si="56"/>
        <v/>
      </c>
      <c r="P473" s="7" t="str">
        <f t="shared" si="57"/>
        <v/>
      </c>
      <c r="Q473" s="7"/>
      <c r="R473" s="7"/>
      <c r="S473" s="16"/>
      <c r="T473" s="4"/>
      <c r="U473" s="4"/>
      <c r="V473" s="4"/>
      <c r="W473" s="4"/>
      <c r="X473" s="4"/>
      <c r="Y473" s="4"/>
      <c r="Z473" s="4"/>
      <c r="AA473" s="37"/>
      <c r="AB473" s="4"/>
      <c r="AC473" s="4"/>
      <c r="AD473" s="4"/>
      <c r="AE473" s="4"/>
      <c r="AF473" s="4"/>
    </row>
    <row r="474" spans="1:32" x14ac:dyDescent="0.25">
      <c r="A474" s="4" t="str">
        <f t="shared" si="54"/>
        <v>'',</v>
      </c>
      <c r="B474" s="4" t="str">
        <f t="shared" si="55"/>
        <v>'',</v>
      </c>
      <c r="C474" s="15"/>
      <c r="D474" s="5"/>
      <c r="E474" s="5"/>
      <c r="F474" s="5"/>
      <c r="G474" s="29"/>
      <c r="H474" s="5"/>
      <c r="I474" s="22"/>
      <c r="J474" s="16"/>
      <c r="K474" s="25"/>
      <c r="L474" s="16"/>
      <c r="M474" s="16" t="str">
        <f t="shared" si="52"/>
        <v/>
      </c>
      <c r="N474" s="16" t="str">
        <f t="shared" si="53"/>
        <v/>
      </c>
      <c r="O474" s="7" t="str">
        <f t="shared" si="56"/>
        <v/>
      </c>
      <c r="P474" s="7" t="str">
        <f t="shared" si="57"/>
        <v/>
      </c>
      <c r="Q474" s="7"/>
      <c r="R474" s="7"/>
      <c r="S474" s="16"/>
      <c r="T474" s="4"/>
      <c r="U474" s="4"/>
      <c r="V474" s="4"/>
      <c r="W474" s="4"/>
      <c r="X474" s="4"/>
      <c r="Y474" s="4"/>
      <c r="Z474" s="4"/>
      <c r="AA474" s="37"/>
      <c r="AB474" s="4"/>
      <c r="AC474" s="4"/>
      <c r="AD474" s="4"/>
      <c r="AE474" s="4"/>
      <c r="AF474" s="4"/>
    </row>
    <row r="475" spans="1:32" x14ac:dyDescent="0.25">
      <c r="A475" s="4" t="str">
        <f t="shared" si="54"/>
        <v>'',</v>
      </c>
      <c r="B475" s="4" t="str">
        <f t="shared" si="55"/>
        <v>'',</v>
      </c>
      <c r="C475" s="15"/>
      <c r="D475" s="5"/>
      <c r="E475" s="5"/>
      <c r="F475" s="5"/>
      <c r="G475" s="29"/>
      <c r="H475" s="5"/>
      <c r="I475" s="22"/>
      <c r="J475" s="16"/>
      <c r="K475" s="25"/>
      <c r="L475" s="16"/>
      <c r="M475" s="16" t="str">
        <f t="shared" si="52"/>
        <v/>
      </c>
      <c r="N475" s="16" t="str">
        <f t="shared" si="53"/>
        <v/>
      </c>
      <c r="O475" s="7" t="str">
        <f t="shared" si="56"/>
        <v/>
      </c>
      <c r="P475" s="7" t="str">
        <f t="shared" si="57"/>
        <v/>
      </c>
      <c r="Q475" s="7"/>
      <c r="R475" s="7"/>
      <c r="S475" s="16"/>
      <c r="T475" s="4"/>
      <c r="U475" s="4"/>
      <c r="V475" s="4"/>
      <c r="W475" s="4"/>
      <c r="X475" s="4"/>
      <c r="Y475" s="4"/>
      <c r="Z475" s="4"/>
      <c r="AA475" s="37"/>
      <c r="AB475" s="4"/>
      <c r="AC475" s="4"/>
      <c r="AD475" s="4"/>
      <c r="AE475" s="4"/>
      <c r="AF475" s="4"/>
    </row>
    <row r="476" spans="1:32" x14ac:dyDescent="0.25">
      <c r="A476" s="4" t="str">
        <f t="shared" si="54"/>
        <v>'',</v>
      </c>
      <c r="B476" s="4" t="str">
        <f t="shared" si="55"/>
        <v>'',</v>
      </c>
      <c r="C476" s="15"/>
      <c r="D476" s="5"/>
      <c r="E476" s="5"/>
      <c r="F476" s="5"/>
      <c r="G476" s="29"/>
      <c r="H476" s="5"/>
      <c r="I476" s="22"/>
      <c r="J476" s="16"/>
      <c r="K476" s="25"/>
      <c r="L476" s="16"/>
      <c r="M476" s="16" t="str">
        <f t="shared" si="52"/>
        <v/>
      </c>
      <c r="N476" s="16" t="str">
        <f t="shared" si="53"/>
        <v/>
      </c>
      <c r="O476" s="7" t="str">
        <f t="shared" si="56"/>
        <v/>
      </c>
      <c r="P476" s="7" t="str">
        <f t="shared" si="57"/>
        <v/>
      </c>
      <c r="Q476" s="7"/>
      <c r="R476" s="7"/>
      <c r="S476" s="16"/>
      <c r="T476" s="4"/>
      <c r="U476" s="4"/>
      <c r="V476" s="4"/>
      <c r="W476" s="4"/>
      <c r="X476" s="4"/>
      <c r="Y476" s="4"/>
      <c r="Z476" s="4"/>
      <c r="AA476" s="37"/>
      <c r="AB476" s="4"/>
      <c r="AC476" s="4"/>
      <c r="AD476" s="4"/>
      <c r="AE476" s="4"/>
      <c r="AF476" s="4"/>
    </row>
    <row r="477" spans="1:32" x14ac:dyDescent="0.25">
      <c r="A477" s="4" t="str">
        <f t="shared" si="54"/>
        <v>'',</v>
      </c>
      <c r="B477" s="4" t="str">
        <f t="shared" si="55"/>
        <v>'',</v>
      </c>
      <c r="C477" s="15"/>
      <c r="D477" s="5"/>
      <c r="E477" s="5"/>
      <c r="F477" s="5"/>
      <c r="G477" s="29"/>
      <c r="H477" s="5"/>
      <c r="I477" s="22"/>
      <c r="J477" s="16"/>
      <c r="K477" s="25"/>
      <c r="L477" s="16"/>
      <c r="M477" s="16" t="str">
        <f t="shared" si="52"/>
        <v/>
      </c>
      <c r="N477" s="16" t="str">
        <f t="shared" si="53"/>
        <v/>
      </c>
      <c r="O477" s="7" t="str">
        <f t="shared" si="56"/>
        <v/>
      </c>
      <c r="P477" s="7" t="str">
        <f t="shared" si="57"/>
        <v/>
      </c>
      <c r="Q477" s="7"/>
      <c r="R477" s="7"/>
      <c r="S477" s="16"/>
      <c r="T477" s="4"/>
      <c r="U477" s="4"/>
      <c r="V477" s="4"/>
      <c r="W477" s="4"/>
      <c r="X477" s="4"/>
      <c r="Y477" s="4"/>
      <c r="Z477" s="4"/>
      <c r="AA477" s="37"/>
      <c r="AB477" s="4"/>
      <c r="AC477" s="4"/>
      <c r="AD477" s="4"/>
      <c r="AE477" s="4"/>
      <c r="AF477" s="4"/>
    </row>
    <row r="478" spans="1:32" x14ac:dyDescent="0.25">
      <c r="A478" s="4" t="str">
        <f t="shared" si="54"/>
        <v>'',</v>
      </c>
      <c r="B478" s="4" t="str">
        <f t="shared" si="55"/>
        <v>'',</v>
      </c>
      <c r="C478" s="15"/>
      <c r="D478" s="5"/>
      <c r="E478" s="5"/>
      <c r="F478" s="5"/>
      <c r="G478" s="29"/>
      <c r="H478" s="5"/>
      <c r="I478" s="22"/>
      <c r="J478" s="16"/>
      <c r="K478" s="25"/>
      <c r="L478" s="16"/>
      <c r="M478" s="16" t="str">
        <f t="shared" si="52"/>
        <v/>
      </c>
      <c r="N478" s="16" t="str">
        <f t="shared" si="53"/>
        <v/>
      </c>
      <c r="O478" s="7" t="str">
        <f t="shared" si="56"/>
        <v/>
      </c>
      <c r="P478" s="7" t="str">
        <f t="shared" si="57"/>
        <v/>
      </c>
      <c r="Q478" s="7"/>
      <c r="R478" s="7"/>
      <c r="S478" s="16"/>
      <c r="T478" s="4"/>
      <c r="U478" s="4"/>
      <c r="V478" s="4"/>
      <c r="W478" s="4"/>
      <c r="X478" s="4"/>
      <c r="Y478" s="4"/>
      <c r="Z478" s="4"/>
      <c r="AA478" s="37"/>
      <c r="AB478" s="4"/>
      <c r="AC478" s="4"/>
      <c r="AD478" s="4"/>
      <c r="AE478" s="4"/>
      <c r="AF478" s="4"/>
    </row>
    <row r="479" spans="1:32" x14ac:dyDescent="0.25">
      <c r="A479" s="4" t="str">
        <f t="shared" si="54"/>
        <v>'',</v>
      </c>
      <c r="B479" s="4" t="str">
        <f t="shared" si="55"/>
        <v>'',</v>
      </c>
      <c r="C479" s="15"/>
      <c r="D479" s="5"/>
      <c r="E479" s="5"/>
      <c r="F479" s="5"/>
      <c r="G479" s="29"/>
      <c r="H479" s="5"/>
      <c r="I479" s="22"/>
      <c r="J479" s="16"/>
      <c r="K479" s="25"/>
      <c r="L479" s="16"/>
      <c r="M479" s="16" t="str">
        <f t="shared" ref="M479:M542" si="58">IF($L479&lt;&gt;"",IF($L479="清除單筆同步失敗註記","UPDATE CIFX.TB_SERVICE_EXECUTION_CONTROL SET EXECUTION_STATE = "&amp;"'"&amp;"EXECUTED"&amp;"'"&amp;", ap_server_EXECUTING = NULL WHERE SERVICE_EXECUTION_CONTROL_ID IN ("&amp;"'"&amp;$Y479&amp;"'"&amp;") and execution_type = "&amp;"'"&amp;"STAGE1_EXECUTION"&amp;"';"&amp;"",IF($L479="重送單筆CIP電文","UPDATE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("&amp;"'"&amp;$Y479&amp;"'"&amp;") AND EXECUTION_TYPE = "&amp;"'"&amp;"STAGE1_EXECUTION"&amp;"'"&amp;";",IF($L479="清除顧客下同步任務","update cifx.tb_service_execution_control sec set sec.EXECUTION_STATE = "&amp;"'"&amp;"EXECUTED"&amp;"'"&amp;"  where sec.circi_key ="&amp;"'"&amp;AA479&amp;"';",IF($L479="重送顧客下特定同步任務","update cifx.tb_service_execution_control sec set sec.EXECUTION_STATE = "&amp;"'"&amp;"TO_EXECUTE"&amp;"'"&amp;"  where sec.SERVICE_EXECUTION_CONTROL_ID IN ();","沒有對應")))),"")</f>
        <v/>
      </c>
      <c r="N479" s="16" t="str">
        <f t="shared" ref="N479:N542" si="59">IF($L479&lt;&gt;"",IF($L479&lt;&gt;"清除顧客下同步任務","SELECT EXECUTION_TYPE,SERVICE_INTERCHANGE_ID,CIRCI_KEY,EXECUTION_STATE FROM CIFX.TB_SERVICE_EXECUTION_CONTROL WHERE SERVICE_EXECUTION_CONTROL_ID IN ("&amp;"'"&amp;$Y479&amp;"'"&amp;") AND EXECUTION_TYPE = "&amp;"'"&amp;"STAGE1_EXECUTION"&amp;"'"&amp;";","SELECT EXECUTION_TYPE,SERVICE_INTERCHANGE_ID,CIRCI_KEY,EXECUTION_STATE FROM CIFX.TB_SERVICE_EXECUTION_CONTROL SEC   where sec.circi_key ="&amp;"'"&amp;AA479&amp;"'order by req_timestamp desc ;"),"")</f>
        <v/>
      </c>
      <c r="O479" s="7" t="str">
        <f t="shared" si="56"/>
        <v/>
      </c>
      <c r="P479" s="7" t="str">
        <f t="shared" si="57"/>
        <v/>
      </c>
      <c r="Q479" s="7"/>
      <c r="R479" s="7"/>
      <c r="S479" s="16"/>
      <c r="T479" s="4"/>
      <c r="U479" s="4"/>
      <c r="V479" s="4"/>
      <c r="W479" s="4"/>
      <c r="X479" s="4"/>
      <c r="Y479" s="4"/>
      <c r="Z479" s="4"/>
      <c r="AA479" s="37"/>
      <c r="AB479" s="4"/>
      <c r="AC479" s="4"/>
      <c r="AD479" s="4"/>
      <c r="AE479" s="4"/>
      <c r="AF479" s="4"/>
    </row>
    <row r="480" spans="1:32" x14ac:dyDescent="0.25">
      <c r="A480" s="4" t="str">
        <f t="shared" si="54"/>
        <v>'',</v>
      </c>
      <c r="B480" s="4" t="str">
        <f t="shared" si="55"/>
        <v>'',</v>
      </c>
      <c r="C480" s="15"/>
      <c r="D480" s="5"/>
      <c r="E480" s="5"/>
      <c r="F480" s="5"/>
      <c r="G480" s="29"/>
      <c r="H480" s="5"/>
      <c r="I480" s="22"/>
      <c r="J480" s="16"/>
      <c r="K480" s="25"/>
      <c r="L480" s="16"/>
      <c r="M480" s="16" t="str">
        <f t="shared" si="58"/>
        <v/>
      </c>
      <c r="N480" s="16" t="str">
        <f t="shared" si="59"/>
        <v/>
      </c>
      <c r="O480" s="7" t="str">
        <f t="shared" si="56"/>
        <v/>
      </c>
      <c r="P480" s="7" t="str">
        <f t="shared" si="57"/>
        <v/>
      </c>
      <c r="Q480" s="7"/>
      <c r="R480" s="7"/>
      <c r="S480" s="16"/>
      <c r="T480" s="4"/>
      <c r="U480" s="4"/>
      <c r="V480" s="4"/>
      <c r="W480" s="4"/>
      <c r="X480" s="4"/>
      <c r="Y480" s="4"/>
      <c r="Z480" s="4"/>
      <c r="AA480" s="37"/>
      <c r="AB480" s="4"/>
      <c r="AC480" s="4"/>
      <c r="AD480" s="4"/>
      <c r="AE480" s="4"/>
      <c r="AF480" s="4"/>
    </row>
    <row r="481" spans="1:32" x14ac:dyDescent="0.25">
      <c r="A481" s="4" t="str">
        <f t="shared" si="54"/>
        <v>'',</v>
      </c>
      <c r="B481" s="4" t="str">
        <f t="shared" si="55"/>
        <v>'',</v>
      </c>
      <c r="C481" s="15"/>
      <c r="D481" s="5"/>
      <c r="E481" s="5"/>
      <c r="F481" s="5"/>
      <c r="G481" s="29"/>
      <c r="H481" s="5"/>
      <c r="I481" s="22"/>
      <c r="J481" s="16"/>
      <c r="K481" s="25"/>
      <c r="L481" s="16"/>
      <c r="M481" s="16" t="str">
        <f t="shared" si="58"/>
        <v/>
      </c>
      <c r="N481" s="16" t="str">
        <f t="shared" si="59"/>
        <v/>
      </c>
      <c r="O481" s="7" t="str">
        <f t="shared" si="56"/>
        <v/>
      </c>
      <c r="P481" s="7" t="str">
        <f t="shared" si="57"/>
        <v/>
      </c>
      <c r="Q481" s="7"/>
      <c r="R481" s="7"/>
      <c r="S481" s="16"/>
      <c r="T481" s="4"/>
      <c r="U481" s="4"/>
      <c r="V481" s="4"/>
      <c r="W481" s="4"/>
      <c r="X481" s="4"/>
      <c r="Y481" s="4"/>
      <c r="Z481" s="4"/>
      <c r="AA481" s="37"/>
      <c r="AB481" s="4"/>
      <c r="AC481" s="4"/>
      <c r="AD481" s="4"/>
      <c r="AE481" s="4"/>
      <c r="AF481" s="4"/>
    </row>
    <row r="482" spans="1:32" x14ac:dyDescent="0.25">
      <c r="A482" s="4" t="str">
        <f t="shared" si="54"/>
        <v>'',</v>
      </c>
      <c r="B482" s="4" t="str">
        <f t="shared" si="55"/>
        <v>'',</v>
      </c>
      <c r="C482" s="15"/>
      <c r="D482" s="5"/>
      <c r="E482" s="5"/>
      <c r="F482" s="5"/>
      <c r="G482" s="29"/>
      <c r="H482" s="5"/>
      <c r="I482" s="22"/>
      <c r="J482" s="16"/>
      <c r="K482" s="25"/>
      <c r="L482" s="16"/>
      <c r="M482" s="16" t="str">
        <f t="shared" si="58"/>
        <v/>
      </c>
      <c r="N482" s="16" t="str">
        <f t="shared" si="59"/>
        <v/>
      </c>
      <c r="O482" s="7" t="str">
        <f t="shared" si="56"/>
        <v/>
      </c>
      <c r="P482" s="7" t="str">
        <f t="shared" si="57"/>
        <v/>
      </c>
      <c r="Q482" s="7"/>
      <c r="R482" s="7"/>
      <c r="S482" s="16"/>
      <c r="T482" s="4"/>
      <c r="U482" s="4"/>
      <c r="V482" s="4"/>
      <c r="W482" s="4"/>
      <c r="X482" s="4"/>
      <c r="Y482" s="4"/>
      <c r="Z482" s="4"/>
      <c r="AA482" s="37"/>
      <c r="AB482" s="4"/>
      <c r="AC482" s="4"/>
      <c r="AD482" s="4"/>
      <c r="AE482" s="4"/>
      <c r="AF482" s="4"/>
    </row>
    <row r="483" spans="1:32" x14ac:dyDescent="0.25">
      <c r="A483" s="4" t="str">
        <f t="shared" si="54"/>
        <v>'',</v>
      </c>
      <c r="B483" s="4" t="str">
        <f t="shared" si="55"/>
        <v>'',</v>
      </c>
      <c r="C483" s="15"/>
      <c r="D483" s="5"/>
      <c r="E483" s="5"/>
      <c r="F483" s="5"/>
      <c r="G483" s="29"/>
      <c r="H483" s="5"/>
      <c r="I483" s="22"/>
      <c r="J483" s="16"/>
      <c r="K483" s="25"/>
      <c r="L483" s="16"/>
      <c r="M483" s="16" t="str">
        <f t="shared" si="58"/>
        <v/>
      </c>
      <c r="N483" s="16" t="str">
        <f t="shared" si="59"/>
        <v/>
      </c>
      <c r="O483" s="7" t="str">
        <f t="shared" si="56"/>
        <v/>
      </c>
      <c r="P483" s="7" t="str">
        <f t="shared" si="57"/>
        <v/>
      </c>
      <c r="Q483" s="7"/>
      <c r="R483" s="7"/>
      <c r="S483" s="16"/>
      <c r="T483" s="4"/>
      <c r="U483" s="4"/>
      <c r="V483" s="4"/>
      <c r="W483" s="4"/>
      <c r="X483" s="4"/>
      <c r="Y483" s="4"/>
      <c r="Z483" s="4"/>
      <c r="AA483" s="37"/>
      <c r="AB483" s="4"/>
      <c r="AC483" s="4"/>
      <c r="AD483" s="4"/>
      <c r="AE483" s="4"/>
      <c r="AF483" s="4"/>
    </row>
    <row r="484" spans="1:32" x14ac:dyDescent="0.25">
      <c r="A484" s="4" t="str">
        <f t="shared" si="54"/>
        <v>'',</v>
      </c>
      <c r="B484" s="4" t="str">
        <f t="shared" si="55"/>
        <v>'',</v>
      </c>
      <c r="C484" s="15"/>
      <c r="D484" s="5"/>
      <c r="E484" s="5"/>
      <c r="F484" s="5"/>
      <c r="G484" s="29"/>
      <c r="H484" s="5"/>
      <c r="I484" s="22"/>
      <c r="J484" s="16"/>
      <c r="K484" s="25"/>
      <c r="L484" s="16"/>
      <c r="M484" s="16" t="str">
        <f t="shared" si="58"/>
        <v/>
      </c>
      <c r="N484" s="16" t="str">
        <f t="shared" si="59"/>
        <v/>
      </c>
      <c r="O484" s="7" t="str">
        <f t="shared" si="56"/>
        <v/>
      </c>
      <c r="P484" s="7" t="str">
        <f t="shared" si="57"/>
        <v/>
      </c>
      <c r="Q484" s="7"/>
      <c r="R484" s="7"/>
      <c r="S484" s="16"/>
      <c r="T484" s="4"/>
      <c r="U484" s="4"/>
      <c r="V484" s="4"/>
      <c r="W484" s="4"/>
      <c r="X484" s="4"/>
      <c r="Y484" s="4"/>
      <c r="Z484" s="4"/>
      <c r="AA484" s="37"/>
      <c r="AB484" s="4"/>
      <c r="AC484" s="4"/>
      <c r="AD484" s="4"/>
      <c r="AE484" s="4"/>
      <c r="AF484" s="4"/>
    </row>
    <row r="485" spans="1:32" x14ac:dyDescent="0.25">
      <c r="A485" s="4" t="str">
        <f t="shared" si="54"/>
        <v>'',</v>
      </c>
      <c r="B485" s="4" t="str">
        <f t="shared" si="55"/>
        <v>'',</v>
      </c>
      <c r="C485" s="15"/>
      <c r="D485" s="5"/>
      <c r="E485" s="5"/>
      <c r="F485" s="5"/>
      <c r="G485" s="29"/>
      <c r="H485" s="5"/>
      <c r="I485" s="22"/>
      <c r="J485" s="16"/>
      <c r="K485" s="25"/>
      <c r="L485" s="16"/>
      <c r="M485" s="16" t="str">
        <f t="shared" si="58"/>
        <v/>
      </c>
      <c r="N485" s="16" t="str">
        <f t="shared" si="59"/>
        <v/>
      </c>
      <c r="O485" s="7" t="str">
        <f t="shared" si="56"/>
        <v/>
      </c>
      <c r="P485" s="7" t="str">
        <f t="shared" si="57"/>
        <v/>
      </c>
      <c r="Q485" s="7"/>
      <c r="R485" s="7"/>
      <c r="S485" s="16"/>
      <c r="T485" s="4"/>
      <c r="U485" s="4"/>
      <c r="V485" s="4"/>
      <c r="W485" s="4"/>
      <c r="X485" s="4"/>
      <c r="Y485" s="4"/>
      <c r="Z485" s="4"/>
      <c r="AA485" s="37"/>
      <c r="AB485" s="4"/>
      <c r="AC485" s="4"/>
      <c r="AD485" s="4"/>
      <c r="AE485" s="4"/>
      <c r="AF485" s="4"/>
    </row>
    <row r="486" spans="1:32" x14ac:dyDescent="0.25">
      <c r="A486" s="4" t="str">
        <f t="shared" si="54"/>
        <v>'',</v>
      </c>
      <c r="B486" s="4" t="str">
        <f t="shared" si="55"/>
        <v>'',</v>
      </c>
      <c r="C486" s="15"/>
      <c r="D486" s="5"/>
      <c r="E486" s="5"/>
      <c r="F486" s="5"/>
      <c r="G486" s="29"/>
      <c r="H486" s="5"/>
      <c r="I486" s="22"/>
      <c r="J486" s="16"/>
      <c r="K486" s="25"/>
      <c r="L486" s="16"/>
      <c r="M486" s="16" t="str">
        <f t="shared" si="58"/>
        <v/>
      </c>
      <c r="N486" s="16" t="str">
        <f t="shared" si="59"/>
        <v/>
      </c>
      <c r="O486" s="7" t="str">
        <f t="shared" si="56"/>
        <v/>
      </c>
      <c r="P486" s="7" t="str">
        <f t="shared" si="57"/>
        <v/>
      </c>
      <c r="Q486" s="7"/>
      <c r="R486" s="7"/>
      <c r="S486" s="16"/>
      <c r="T486" s="4"/>
      <c r="U486" s="4"/>
      <c r="V486" s="4"/>
      <c r="W486" s="4"/>
      <c r="X486" s="4"/>
      <c r="Y486" s="4"/>
      <c r="Z486" s="4"/>
      <c r="AA486" s="37"/>
      <c r="AB486" s="4"/>
      <c r="AC486" s="4"/>
      <c r="AD486" s="4"/>
      <c r="AE486" s="4"/>
      <c r="AF486" s="4"/>
    </row>
    <row r="487" spans="1:32" x14ac:dyDescent="0.25">
      <c r="A487" s="4" t="str">
        <f t="shared" si="54"/>
        <v>'',</v>
      </c>
      <c r="B487" s="4" t="str">
        <f t="shared" si="55"/>
        <v>'',</v>
      </c>
      <c r="C487" s="15"/>
      <c r="D487" s="5"/>
      <c r="E487" s="5"/>
      <c r="F487" s="5"/>
      <c r="G487" s="29"/>
      <c r="H487" s="5"/>
      <c r="I487" s="22"/>
      <c r="J487" s="16"/>
      <c r="K487" s="25"/>
      <c r="L487" s="16"/>
      <c r="M487" s="16" t="str">
        <f t="shared" si="58"/>
        <v/>
      </c>
      <c r="N487" s="16" t="str">
        <f t="shared" si="59"/>
        <v/>
      </c>
      <c r="O487" s="7" t="str">
        <f t="shared" si="56"/>
        <v/>
      </c>
      <c r="P487" s="7" t="str">
        <f t="shared" si="57"/>
        <v/>
      </c>
      <c r="Q487" s="7"/>
      <c r="R487" s="7"/>
      <c r="S487" s="16"/>
      <c r="T487" s="4"/>
      <c r="U487" s="4"/>
      <c r="V487" s="4"/>
      <c r="W487" s="4"/>
      <c r="X487" s="4"/>
      <c r="Y487" s="4"/>
      <c r="Z487" s="4"/>
      <c r="AA487" s="37"/>
      <c r="AB487" s="4"/>
      <c r="AC487" s="4"/>
      <c r="AD487" s="4"/>
      <c r="AE487" s="4"/>
      <c r="AF487" s="4"/>
    </row>
    <row r="488" spans="1:32" x14ac:dyDescent="0.25">
      <c r="A488" s="4" t="str">
        <f t="shared" si="54"/>
        <v>'',</v>
      </c>
      <c r="B488" s="4" t="str">
        <f t="shared" si="55"/>
        <v>'',</v>
      </c>
      <c r="C488" s="15"/>
      <c r="D488" s="5"/>
      <c r="E488" s="5"/>
      <c r="F488" s="5"/>
      <c r="G488" s="29"/>
      <c r="H488" s="5"/>
      <c r="I488" s="22"/>
      <c r="J488" s="16"/>
      <c r="K488" s="25"/>
      <c r="L488" s="16"/>
      <c r="M488" s="16" t="str">
        <f t="shared" si="58"/>
        <v/>
      </c>
      <c r="N488" s="16" t="str">
        <f t="shared" si="59"/>
        <v/>
      </c>
      <c r="O488" s="7" t="str">
        <f t="shared" si="56"/>
        <v/>
      </c>
      <c r="P488" s="7" t="str">
        <f t="shared" si="57"/>
        <v/>
      </c>
      <c r="Q488" s="7"/>
      <c r="R488" s="7"/>
      <c r="S488" s="16"/>
      <c r="T488" s="4"/>
      <c r="U488" s="4"/>
      <c r="V488" s="4"/>
      <c r="W488" s="4"/>
      <c r="X488" s="4"/>
      <c r="Y488" s="4"/>
      <c r="Z488" s="4"/>
      <c r="AA488" s="37"/>
      <c r="AB488" s="4"/>
      <c r="AC488" s="4"/>
      <c r="AD488" s="4"/>
      <c r="AE488" s="4"/>
      <c r="AF488" s="4"/>
    </row>
    <row r="489" spans="1:32" x14ac:dyDescent="0.25">
      <c r="A489" s="4" t="str">
        <f t="shared" si="54"/>
        <v>'',</v>
      </c>
      <c r="B489" s="4" t="str">
        <f t="shared" si="55"/>
        <v>'',</v>
      </c>
      <c r="C489" s="15"/>
      <c r="D489" s="5"/>
      <c r="E489" s="5"/>
      <c r="F489" s="5"/>
      <c r="G489" s="29"/>
      <c r="H489" s="5"/>
      <c r="I489" s="22"/>
      <c r="J489" s="16"/>
      <c r="K489" s="25"/>
      <c r="L489" s="16"/>
      <c r="M489" s="16" t="str">
        <f t="shared" si="58"/>
        <v/>
      </c>
      <c r="N489" s="16" t="str">
        <f t="shared" si="59"/>
        <v/>
      </c>
      <c r="O489" s="7" t="str">
        <f t="shared" si="56"/>
        <v/>
      </c>
      <c r="P489" s="7" t="str">
        <f t="shared" si="57"/>
        <v/>
      </c>
      <c r="Q489" s="7"/>
      <c r="R489" s="7"/>
      <c r="S489" s="16"/>
      <c r="T489" s="4"/>
      <c r="U489" s="4"/>
      <c r="V489" s="4"/>
      <c r="W489" s="4"/>
      <c r="X489" s="4"/>
      <c r="Y489" s="4"/>
      <c r="Z489" s="4"/>
      <c r="AA489" s="37"/>
      <c r="AB489" s="4"/>
      <c r="AC489" s="4"/>
      <c r="AD489" s="4"/>
      <c r="AE489" s="4"/>
      <c r="AF489" s="4"/>
    </row>
    <row r="490" spans="1:32" x14ac:dyDescent="0.25">
      <c r="A490" s="4" t="str">
        <f t="shared" si="54"/>
        <v>'',</v>
      </c>
      <c r="B490" s="4" t="str">
        <f t="shared" si="55"/>
        <v>'',</v>
      </c>
      <c r="C490" s="15"/>
      <c r="D490" s="5"/>
      <c r="E490" s="5"/>
      <c r="F490" s="5"/>
      <c r="G490" s="29"/>
      <c r="H490" s="5"/>
      <c r="I490" s="22"/>
      <c r="J490" s="16"/>
      <c r="K490" s="25"/>
      <c r="L490" s="16"/>
      <c r="M490" s="16" t="str">
        <f t="shared" si="58"/>
        <v/>
      </c>
      <c r="N490" s="16" t="str">
        <f t="shared" si="59"/>
        <v/>
      </c>
      <c r="O490" s="7" t="str">
        <f t="shared" si="56"/>
        <v/>
      </c>
      <c r="P490" s="7" t="str">
        <f t="shared" si="57"/>
        <v/>
      </c>
      <c r="Q490" s="7"/>
      <c r="R490" s="7"/>
      <c r="S490" s="16"/>
      <c r="T490" s="4"/>
      <c r="U490" s="4"/>
      <c r="V490" s="4"/>
      <c r="W490" s="4"/>
      <c r="X490" s="4"/>
      <c r="Y490" s="4"/>
      <c r="Z490" s="4"/>
      <c r="AA490" s="37"/>
      <c r="AB490" s="4"/>
      <c r="AC490" s="4"/>
      <c r="AD490" s="4"/>
      <c r="AE490" s="4"/>
      <c r="AF490" s="4"/>
    </row>
    <row r="491" spans="1:32" x14ac:dyDescent="0.25">
      <c r="A491" s="4" t="str">
        <f t="shared" si="54"/>
        <v>'',</v>
      </c>
      <c r="B491" s="4" t="str">
        <f t="shared" si="55"/>
        <v>'',</v>
      </c>
      <c r="C491" s="15"/>
      <c r="D491" s="5"/>
      <c r="E491" s="5"/>
      <c r="F491" s="5"/>
      <c r="G491" s="29"/>
      <c r="H491" s="5"/>
      <c r="I491" s="22"/>
      <c r="J491" s="16"/>
      <c r="K491" s="25"/>
      <c r="L491" s="16"/>
      <c r="M491" s="16" t="str">
        <f t="shared" si="58"/>
        <v/>
      </c>
      <c r="N491" s="16" t="str">
        <f t="shared" si="59"/>
        <v/>
      </c>
      <c r="O491" s="7" t="str">
        <f t="shared" si="56"/>
        <v/>
      </c>
      <c r="P491" s="7" t="str">
        <f t="shared" si="57"/>
        <v/>
      </c>
      <c r="Q491" s="7"/>
      <c r="R491" s="7"/>
      <c r="S491" s="16"/>
      <c r="T491" s="4"/>
      <c r="U491" s="4"/>
      <c r="V491" s="4"/>
      <c r="W491" s="4"/>
      <c r="X491" s="4"/>
      <c r="Y491" s="4"/>
      <c r="Z491" s="4"/>
      <c r="AA491" s="37"/>
      <c r="AB491" s="4"/>
      <c r="AC491" s="4"/>
      <c r="AD491" s="4"/>
      <c r="AE491" s="4"/>
      <c r="AF491" s="4"/>
    </row>
    <row r="492" spans="1:32" x14ac:dyDescent="0.25">
      <c r="A492" s="4" t="str">
        <f t="shared" si="54"/>
        <v>'',</v>
      </c>
      <c r="B492" s="4" t="str">
        <f t="shared" si="55"/>
        <v>'',</v>
      </c>
      <c r="C492" s="15"/>
      <c r="D492" s="5"/>
      <c r="E492" s="5"/>
      <c r="F492" s="5"/>
      <c r="G492" s="29"/>
      <c r="H492" s="5"/>
      <c r="I492" s="22"/>
      <c r="J492" s="16"/>
      <c r="K492" s="25"/>
      <c r="L492" s="16"/>
      <c r="M492" s="16" t="str">
        <f t="shared" si="58"/>
        <v/>
      </c>
      <c r="N492" s="16" t="str">
        <f t="shared" si="59"/>
        <v/>
      </c>
      <c r="O492" s="7" t="str">
        <f t="shared" si="56"/>
        <v/>
      </c>
      <c r="P492" s="7" t="str">
        <f t="shared" si="57"/>
        <v/>
      </c>
      <c r="Q492" s="7"/>
      <c r="R492" s="7"/>
      <c r="S492" s="16"/>
      <c r="T492" s="4"/>
      <c r="U492" s="4"/>
      <c r="V492" s="4"/>
      <c r="W492" s="4"/>
      <c r="X492" s="4"/>
      <c r="Y492" s="4"/>
      <c r="Z492" s="4"/>
      <c r="AA492" s="37"/>
      <c r="AB492" s="4"/>
      <c r="AC492" s="4"/>
      <c r="AD492" s="4"/>
      <c r="AE492" s="4"/>
      <c r="AF492" s="4"/>
    </row>
    <row r="493" spans="1:32" x14ac:dyDescent="0.25">
      <c r="A493" s="4" t="str">
        <f t="shared" si="54"/>
        <v>'',</v>
      </c>
      <c r="B493" s="4" t="str">
        <f t="shared" si="55"/>
        <v>'',</v>
      </c>
      <c r="C493" s="15"/>
      <c r="D493" s="5"/>
      <c r="E493" s="5"/>
      <c r="F493" s="5"/>
      <c r="G493" s="29"/>
      <c r="H493" s="5"/>
      <c r="I493" s="22"/>
      <c r="J493" s="16"/>
      <c r="K493" s="25"/>
      <c r="L493" s="16"/>
      <c r="M493" s="16" t="str">
        <f t="shared" si="58"/>
        <v/>
      </c>
      <c r="N493" s="16" t="str">
        <f t="shared" si="59"/>
        <v/>
      </c>
      <c r="O493" s="7" t="str">
        <f t="shared" si="56"/>
        <v/>
      </c>
      <c r="P493" s="7" t="str">
        <f t="shared" si="57"/>
        <v/>
      </c>
      <c r="Q493" s="7"/>
      <c r="R493" s="7"/>
      <c r="S493" s="16"/>
      <c r="T493" s="4"/>
      <c r="U493" s="4"/>
      <c r="V493" s="4"/>
      <c r="W493" s="4"/>
      <c r="X493" s="4"/>
      <c r="Y493" s="4"/>
      <c r="Z493" s="4"/>
      <c r="AA493" s="37"/>
      <c r="AB493" s="4"/>
      <c r="AC493" s="4"/>
      <c r="AD493" s="4"/>
      <c r="AE493" s="4"/>
      <c r="AF493" s="4"/>
    </row>
    <row r="494" spans="1:32" x14ac:dyDescent="0.25">
      <c r="A494" s="4" t="str">
        <f t="shared" si="54"/>
        <v>'',</v>
      </c>
      <c r="B494" s="4" t="str">
        <f t="shared" si="55"/>
        <v>'',</v>
      </c>
      <c r="C494" s="15"/>
      <c r="D494" s="5"/>
      <c r="E494" s="5"/>
      <c r="F494" s="5"/>
      <c r="G494" s="29"/>
      <c r="H494" s="5"/>
      <c r="I494" s="22"/>
      <c r="J494" s="16"/>
      <c r="K494" s="25"/>
      <c r="L494" s="16"/>
      <c r="M494" s="16" t="str">
        <f t="shared" si="58"/>
        <v/>
      </c>
      <c r="N494" s="16" t="str">
        <f t="shared" si="59"/>
        <v/>
      </c>
      <c r="O494" s="7" t="str">
        <f t="shared" si="56"/>
        <v/>
      </c>
      <c r="P494" s="7" t="str">
        <f t="shared" si="57"/>
        <v/>
      </c>
      <c r="Q494" s="7"/>
      <c r="R494" s="7"/>
      <c r="S494" s="16"/>
      <c r="T494" s="4"/>
      <c r="U494" s="4"/>
      <c r="V494" s="4"/>
      <c r="W494" s="4"/>
      <c r="X494" s="4"/>
      <c r="Y494" s="4"/>
      <c r="Z494" s="4"/>
      <c r="AA494" s="37"/>
      <c r="AB494" s="4"/>
      <c r="AC494" s="4"/>
      <c r="AD494" s="4"/>
      <c r="AE494" s="4"/>
      <c r="AF494" s="4"/>
    </row>
    <row r="495" spans="1:32" x14ac:dyDescent="0.25">
      <c r="A495" s="4" t="str">
        <f t="shared" si="54"/>
        <v>'',</v>
      </c>
      <c r="B495" s="4" t="str">
        <f t="shared" si="55"/>
        <v>'',</v>
      </c>
      <c r="C495" s="15"/>
      <c r="D495" s="5"/>
      <c r="E495" s="5"/>
      <c r="F495" s="5"/>
      <c r="G495" s="29"/>
      <c r="H495" s="5"/>
      <c r="I495" s="22"/>
      <c r="J495" s="16"/>
      <c r="K495" s="25"/>
      <c r="L495" s="16"/>
      <c r="M495" s="16" t="str">
        <f t="shared" si="58"/>
        <v/>
      </c>
      <c r="N495" s="16" t="str">
        <f t="shared" si="59"/>
        <v/>
      </c>
      <c r="O495" s="7" t="str">
        <f t="shared" si="56"/>
        <v/>
      </c>
      <c r="P495" s="7" t="str">
        <f t="shared" si="57"/>
        <v/>
      </c>
      <c r="Q495" s="7"/>
      <c r="R495" s="7"/>
      <c r="S495" s="16"/>
      <c r="T495" s="4"/>
      <c r="U495" s="4"/>
      <c r="V495" s="4"/>
      <c r="W495" s="4"/>
      <c r="X495" s="4"/>
      <c r="Y495" s="4"/>
      <c r="Z495" s="4"/>
      <c r="AA495" s="37"/>
      <c r="AB495" s="4"/>
      <c r="AC495" s="4"/>
      <c r="AD495" s="4"/>
      <c r="AE495" s="4"/>
      <c r="AF495" s="4"/>
    </row>
    <row r="496" spans="1:32" x14ac:dyDescent="0.25">
      <c r="A496" s="4" t="str">
        <f t="shared" si="54"/>
        <v>'',</v>
      </c>
      <c r="B496" s="4" t="str">
        <f t="shared" si="55"/>
        <v>'',</v>
      </c>
      <c r="C496" s="15"/>
      <c r="D496" s="5"/>
      <c r="E496" s="5"/>
      <c r="F496" s="5"/>
      <c r="G496" s="29"/>
      <c r="H496" s="5"/>
      <c r="I496" s="22"/>
      <c r="J496" s="16"/>
      <c r="K496" s="25"/>
      <c r="L496" s="16"/>
      <c r="M496" s="16" t="str">
        <f t="shared" si="58"/>
        <v/>
      </c>
      <c r="N496" s="16" t="str">
        <f t="shared" si="59"/>
        <v/>
      </c>
      <c r="O496" s="7" t="str">
        <f t="shared" si="56"/>
        <v/>
      </c>
      <c r="P496" s="7" t="str">
        <f t="shared" si="57"/>
        <v/>
      </c>
      <c r="Q496" s="7"/>
      <c r="R496" s="7"/>
      <c r="S496" s="16"/>
      <c r="T496" s="4"/>
      <c r="U496" s="4"/>
      <c r="V496" s="4"/>
      <c r="W496" s="4"/>
      <c r="X496" s="4"/>
      <c r="Y496" s="4"/>
      <c r="Z496" s="4"/>
      <c r="AA496" s="37"/>
      <c r="AB496" s="4"/>
      <c r="AC496" s="4"/>
      <c r="AD496" s="4"/>
      <c r="AE496" s="4"/>
      <c r="AF496" s="4"/>
    </row>
    <row r="497" spans="1:32" x14ac:dyDescent="0.25">
      <c r="A497" s="4" t="str">
        <f t="shared" si="54"/>
        <v>'',</v>
      </c>
      <c r="B497" s="4" t="str">
        <f t="shared" si="55"/>
        <v>'',</v>
      </c>
      <c r="C497" s="15"/>
      <c r="D497" s="5"/>
      <c r="E497" s="5"/>
      <c r="F497" s="5"/>
      <c r="G497" s="29"/>
      <c r="H497" s="5"/>
      <c r="I497" s="22"/>
      <c r="J497" s="16"/>
      <c r="K497" s="25"/>
      <c r="L497" s="16"/>
      <c r="M497" s="16" t="str">
        <f t="shared" si="58"/>
        <v/>
      </c>
      <c r="N497" s="16" t="str">
        <f t="shared" si="59"/>
        <v/>
      </c>
      <c r="O497" s="7" t="str">
        <f t="shared" si="56"/>
        <v/>
      </c>
      <c r="P497" s="7" t="str">
        <f t="shared" si="57"/>
        <v/>
      </c>
      <c r="Q497" s="7"/>
      <c r="R497" s="7"/>
      <c r="S497" s="16"/>
      <c r="T497" s="4"/>
      <c r="U497" s="4"/>
      <c r="V497" s="4"/>
      <c r="W497" s="4"/>
      <c r="X497" s="4"/>
      <c r="Y497" s="4"/>
      <c r="Z497" s="4"/>
      <c r="AA497" s="37"/>
      <c r="AB497" s="4"/>
      <c r="AC497" s="4"/>
      <c r="AD497" s="4"/>
      <c r="AE497" s="4"/>
      <c r="AF497" s="4"/>
    </row>
    <row r="498" spans="1:32" x14ac:dyDescent="0.25">
      <c r="A498" s="4" t="str">
        <f t="shared" si="54"/>
        <v>'',</v>
      </c>
      <c r="B498" s="4" t="str">
        <f t="shared" si="55"/>
        <v>'',</v>
      </c>
      <c r="C498" s="15"/>
      <c r="D498" s="5"/>
      <c r="E498" s="5"/>
      <c r="F498" s="5"/>
      <c r="G498" s="29"/>
      <c r="H498" s="5"/>
      <c r="I498" s="22"/>
      <c r="J498" s="16"/>
      <c r="K498" s="25"/>
      <c r="L498" s="16"/>
      <c r="M498" s="16" t="str">
        <f t="shared" si="58"/>
        <v/>
      </c>
      <c r="N498" s="16" t="str">
        <f t="shared" si="59"/>
        <v/>
      </c>
      <c r="O498" s="7" t="str">
        <f t="shared" si="56"/>
        <v/>
      </c>
      <c r="P498" s="7" t="str">
        <f t="shared" si="57"/>
        <v/>
      </c>
      <c r="Q498" s="7"/>
      <c r="R498" s="7"/>
      <c r="S498" s="16"/>
      <c r="T498" s="4"/>
      <c r="U498" s="4"/>
      <c r="V498" s="4"/>
      <c r="W498" s="4"/>
      <c r="X498" s="4"/>
      <c r="Y498" s="4"/>
      <c r="Z498" s="4"/>
      <c r="AA498" s="37"/>
      <c r="AB498" s="4"/>
      <c r="AC498" s="4"/>
      <c r="AD498" s="4"/>
      <c r="AE498" s="4"/>
      <c r="AF498" s="4"/>
    </row>
    <row r="499" spans="1:32" x14ac:dyDescent="0.25">
      <c r="A499" s="4" t="str">
        <f t="shared" si="54"/>
        <v>'',</v>
      </c>
      <c r="B499" s="4" t="str">
        <f t="shared" si="55"/>
        <v>'',</v>
      </c>
      <c r="C499" s="15"/>
      <c r="D499" s="5"/>
      <c r="E499" s="5"/>
      <c r="F499" s="5"/>
      <c r="G499" s="29"/>
      <c r="H499" s="5"/>
      <c r="I499" s="22"/>
      <c r="J499" s="16"/>
      <c r="K499" s="25"/>
      <c r="L499" s="16"/>
      <c r="M499" s="16" t="str">
        <f t="shared" si="58"/>
        <v/>
      </c>
      <c r="N499" s="16" t="str">
        <f t="shared" si="59"/>
        <v/>
      </c>
      <c r="O499" s="7" t="str">
        <f t="shared" si="56"/>
        <v/>
      </c>
      <c r="P499" s="7" t="str">
        <f t="shared" si="57"/>
        <v/>
      </c>
      <c r="Q499" s="7"/>
      <c r="R499" s="7"/>
      <c r="S499" s="16"/>
      <c r="T499" s="4"/>
      <c r="U499" s="4"/>
      <c r="V499" s="4"/>
      <c r="W499" s="4"/>
      <c r="X499" s="4"/>
      <c r="Y499" s="4"/>
      <c r="Z499" s="4"/>
      <c r="AA499" s="37"/>
      <c r="AB499" s="4"/>
      <c r="AC499" s="4"/>
      <c r="AD499" s="4"/>
      <c r="AE499" s="4"/>
      <c r="AF499" s="4"/>
    </row>
    <row r="500" spans="1:32" x14ac:dyDescent="0.25">
      <c r="A500" s="4" t="str">
        <f t="shared" si="54"/>
        <v>'',</v>
      </c>
      <c r="B500" s="4" t="str">
        <f t="shared" si="55"/>
        <v>'',</v>
      </c>
      <c r="C500" s="15"/>
      <c r="D500" s="5"/>
      <c r="E500" s="5"/>
      <c r="F500" s="5"/>
      <c r="G500" s="29"/>
      <c r="H500" s="5"/>
      <c r="I500" s="22"/>
      <c r="J500" s="16"/>
      <c r="K500" s="25"/>
      <c r="L500" s="16"/>
      <c r="M500" s="16" t="str">
        <f t="shared" si="58"/>
        <v/>
      </c>
      <c r="N500" s="16" t="str">
        <f t="shared" si="59"/>
        <v/>
      </c>
      <c r="O500" s="7" t="str">
        <f t="shared" si="56"/>
        <v/>
      </c>
      <c r="P500" s="7" t="str">
        <f t="shared" si="57"/>
        <v/>
      </c>
      <c r="Q500" s="7"/>
      <c r="R500" s="7"/>
      <c r="S500" s="16"/>
      <c r="T500" s="4"/>
      <c r="U500" s="4"/>
      <c r="V500" s="4"/>
      <c r="W500" s="4"/>
      <c r="X500" s="4"/>
      <c r="Y500" s="4"/>
      <c r="Z500" s="4"/>
      <c r="AA500" s="37"/>
      <c r="AB500" s="4"/>
      <c r="AC500" s="4"/>
      <c r="AD500" s="4"/>
      <c r="AE500" s="4"/>
      <c r="AF500" s="4"/>
    </row>
    <row r="501" spans="1:32" x14ac:dyDescent="0.25">
      <c r="A501" s="4" t="str">
        <f t="shared" si="54"/>
        <v>'',</v>
      </c>
      <c r="B501" s="4" t="str">
        <f t="shared" si="55"/>
        <v>'',</v>
      </c>
      <c r="C501" s="15"/>
      <c r="D501" s="5"/>
      <c r="E501" s="5"/>
      <c r="F501" s="5"/>
      <c r="G501" s="29"/>
      <c r="H501" s="5"/>
      <c r="I501" s="22"/>
      <c r="J501" s="16"/>
      <c r="K501" s="25"/>
      <c r="L501" s="16"/>
      <c r="M501" s="16" t="str">
        <f t="shared" si="58"/>
        <v/>
      </c>
      <c r="N501" s="16" t="str">
        <f t="shared" si="59"/>
        <v/>
      </c>
      <c r="O501" s="7" t="str">
        <f t="shared" si="56"/>
        <v/>
      </c>
      <c r="P501" s="7" t="str">
        <f t="shared" si="57"/>
        <v/>
      </c>
      <c r="Q501" s="7"/>
      <c r="R501" s="7"/>
      <c r="S501" s="16"/>
      <c r="T501" s="4"/>
      <c r="U501" s="4"/>
      <c r="V501" s="4"/>
      <c r="W501" s="4"/>
      <c r="X501" s="4"/>
      <c r="Y501" s="4"/>
      <c r="Z501" s="4"/>
      <c r="AA501" s="37"/>
      <c r="AB501" s="4"/>
      <c r="AC501" s="4"/>
      <c r="AD501" s="4"/>
      <c r="AE501" s="4"/>
      <c r="AF501" s="4"/>
    </row>
    <row r="502" spans="1:32" x14ac:dyDescent="0.25">
      <c r="A502" s="4" t="str">
        <f t="shared" si="54"/>
        <v>'',</v>
      </c>
      <c r="B502" s="4" t="str">
        <f t="shared" si="55"/>
        <v>'',</v>
      </c>
      <c r="C502" s="15"/>
      <c r="D502" s="5"/>
      <c r="E502" s="5"/>
      <c r="F502" s="5"/>
      <c r="G502" s="29"/>
      <c r="H502" s="5"/>
      <c r="I502" s="22"/>
      <c r="J502" s="16"/>
      <c r="K502" s="25"/>
      <c r="L502" s="16"/>
      <c r="M502" s="16" t="str">
        <f t="shared" si="58"/>
        <v/>
      </c>
      <c r="N502" s="16" t="str">
        <f t="shared" si="59"/>
        <v/>
      </c>
      <c r="O502" s="7" t="str">
        <f t="shared" si="56"/>
        <v/>
      </c>
      <c r="P502" s="7" t="str">
        <f t="shared" si="57"/>
        <v/>
      </c>
      <c r="Q502" s="7"/>
      <c r="R502" s="7"/>
      <c r="S502" s="16"/>
      <c r="T502" s="4"/>
      <c r="U502" s="4"/>
      <c r="V502" s="4"/>
      <c r="W502" s="4"/>
      <c r="X502" s="4"/>
      <c r="Y502" s="4"/>
      <c r="Z502" s="4"/>
      <c r="AA502" s="37"/>
      <c r="AB502" s="4"/>
      <c r="AC502" s="4"/>
      <c r="AD502" s="4"/>
      <c r="AE502" s="4"/>
      <c r="AF502" s="4"/>
    </row>
    <row r="503" spans="1:32" x14ac:dyDescent="0.25">
      <c r="A503" s="4" t="str">
        <f t="shared" si="54"/>
        <v>'',</v>
      </c>
      <c r="B503" s="4" t="str">
        <f t="shared" si="55"/>
        <v>'',</v>
      </c>
      <c r="C503" s="15"/>
      <c r="D503" s="5"/>
      <c r="E503" s="5"/>
      <c r="F503" s="5"/>
      <c r="G503" s="29"/>
      <c r="H503" s="5"/>
      <c r="I503" s="22"/>
      <c r="J503" s="16"/>
      <c r="K503" s="25"/>
      <c r="L503" s="16"/>
      <c r="M503" s="16" t="str">
        <f t="shared" si="58"/>
        <v/>
      </c>
      <c r="N503" s="16" t="str">
        <f t="shared" si="59"/>
        <v/>
      </c>
      <c r="O503" s="7" t="str">
        <f t="shared" si="56"/>
        <v/>
      </c>
      <c r="P503" s="7" t="str">
        <f t="shared" si="57"/>
        <v/>
      </c>
      <c r="Q503" s="7"/>
      <c r="R503" s="7"/>
      <c r="S503" s="16"/>
      <c r="T503" s="4"/>
      <c r="U503" s="4"/>
      <c r="V503" s="4"/>
      <c r="W503" s="4"/>
      <c r="X503" s="4"/>
      <c r="Y503" s="4"/>
      <c r="Z503" s="4"/>
      <c r="AA503" s="37"/>
      <c r="AB503" s="4"/>
      <c r="AC503" s="4"/>
      <c r="AD503" s="4"/>
      <c r="AE503" s="4"/>
      <c r="AF503" s="4"/>
    </row>
    <row r="504" spans="1:32" x14ac:dyDescent="0.25">
      <c r="A504" s="4" t="str">
        <f t="shared" si="54"/>
        <v>'',</v>
      </c>
      <c r="B504" s="4" t="str">
        <f t="shared" si="55"/>
        <v>'',</v>
      </c>
      <c r="C504" s="15"/>
      <c r="D504" s="5"/>
      <c r="E504" s="5"/>
      <c r="F504" s="5"/>
      <c r="G504" s="29"/>
      <c r="H504" s="5"/>
      <c r="I504" s="22"/>
      <c r="J504" s="16"/>
      <c r="K504" s="25"/>
      <c r="L504" s="16"/>
      <c r="M504" s="16" t="str">
        <f t="shared" si="58"/>
        <v/>
      </c>
      <c r="N504" s="16" t="str">
        <f t="shared" si="59"/>
        <v/>
      </c>
      <c r="O504" s="7" t="str">
        <f t="shared" si="56"/>
        <v/>
      </c>
      <c r="P504" s="7" t="str">
        <f t="shared" si="57"/>
        <v/>
      </c>
      <c r="Q504" s="7"/>
      <c r="R504" s="7"/>
      <c r="S504" s="16"/>
      <c r="T504" s="4"/>
      <c r="U504" s="4"/>
      <c r="V504" s="4"/>
      <c r="W504" s="4"/>
      <c r="X504" s="4"/>
      <c r="Y504" s="4"/>
      <c r="Z504" s="4"/>
      <c r="AA504" s="37"/>
      <c r="AB504" s="4"/>
      <c r="AC504" s="4"/>
      <c r="AD504" s="4"/>
      <c r="AE504" s="4"/>
      <c r="AF504" s="4"/>
    </row>
    <row r="505" spans="1:32" x14ac:dyDescent="0.25">
      <c r="A505" s="4" t="str">
        <f t="shared" si="54"/>
        <v>'',</v>
      </c>
      <c r="B505" s="4" t="str">
        <f t="shared" si="55"/>
        <v>'',</v>
      </c>
      <c r="C505" s="15"/>
      <c r="D505" s="5"/>
      <c r="E505" s="5"/>
      <c r="F505" s="5"/>
      <c r="G505" s="29"/>
      <c r="H505" s="5"/>
      <c r="I505" s="22"/>
      <c r="J505" s="16"/>
      <c r="K505" s="25"/>
      <c r="L505" s="16"/>
      <c r="M505" s="16" t="str">
        <f t="shared" si="58"/>
        <v/>
      </c>
      <c r="N505" s="16" t="str">
        <f t="shared" si="59"/>
        <v/>
      </c>
      <c r="O505" s="7" t="str">
        <f t="shared" si="56"/>
        <v/>
      </c>
      <c r="P505" s="7" t="str">
        <f t="shared" si="57"/>
        <v/>
      </c>
      <c r="Q505" s="7"/>
      <c r="R505" s="7"/>
      <c r="S505" s="16"/>
      <c r="T505" s="4"/>
      <c r="U505" s="4"/>
      <c r="V505" s="4"/>
      <c r="W505" s="4"/>
      <c r="X505" s="4"/>
      <c r="Y505" s="4"/>
      <c r="Z505" s="4"/>
      <c r="AA505" s="37"/>
      <c r="AB505" s="4"/>
      <c r="AC505" s="4"/>
      <c r="AD505" s="4"/>
      <c r="AE505" s="4"/>
      <c r="AF505" s="4"/>
    </row>
    <row r="506" spans="1:32" x14ac:dyDescent="0.25">
      <c r="A506" s="4" t="str">
        <f t="shared" si="54"/>
        <v>'',</v>
      </c>
      <c r="B506" s="4" t="str">
        <f t="shared" si="55"/>
        <v>'',</v>
      </c>
      <c r="C506" s="15"/>
      <c r="D506" s="5"/>
      <c r="E506" s="5"/>
      <c r="F506" s="5"/>
      <c r="G506" s="29"/>
      <c r="H506" s="5"/>
      <c r="I506" s="22"/>
      <c r="J506" s="16"/>
      <c r="K506" s="25"/>
      <c r="L506" s="16"/>
      <c r="M506" s="16" t="str">
        <f t="shared" si="58"/>
        <v/>
      </c>
      <c r="N506" s="16" t="str">
        <f t="shared" si="59"/>
        <v/>
      </c>
      <c r="O506" s="7" t="str">
        <f t="shared" si="56"/>
        <v/>
      </c>
      <c r="P506" s="7" t="str">
        <f t="shared" si="57"/>
        <v/>
      </c>
      <c r="Q506" s="7"/>
      <c r="R506" s="7"/>
      <c r="S506" s="16"/>
      <c r="T506" s="4"/>
      <c r="U506" s="4"/>
      <c r="V506" s="4"/>
      <c r="W506" s="4"/>
      <c r="X506" s="4"/>
      <c r="Y506" s="4"/>
      <c r="Z506" s="4"/>
      <c r="AA506" s="37"/>
      <c r="AB506" s="4"/>
      <c r="AC506" s="4"/>
      <c r="AD506" s="4"/>
      <c r="AE506" s="4"/>
      <c r="AF506" s="4"/>
    </row>
    <row r="507" spans="1:32" x14ac:dyDescent="0.25">
      <c r="A507" s="4" t="str">
        <f t="shared" si="54"/>
        <v>'',</v>
      </c>
      <c r="B507" s="4" t="str">
        <f t="shared" si="55"/>
        <v>'',</v>
      </c>
      <c r="C507" s="15"/>
      <c r="D507" s="5"/>
      <c r="E507" s="5"/>
      <c r="F507" s="5"/>
      <c r="G507" s="29"/>
      <c r="H507" s="5"/>
      <c r="I507" s="22"/>
      <c r="J507" s="16"/>
      <c r="K507" s="25"/>
      <c r="L507" s="16"/>
      <c r="M507" s="16" t="str">
        <f t="shared" si="58"/>
        <v/>
      </c>
      <c r="N507" s="16" t="str">
        <f t="shared" si="59"/>
        <v/>
      </c>
      <c r="O507" s="7" t="str">
        <f t="shared" si="56"/>
        <v/>
      </c>
      <c r="P507" s="7" t="str">
        <f t="shared" si="57"/>
        <v/>
      </c>
      <c r="Q507" s="7"/>
      <c r="R507" s="7"/>
      <c r="S507" s="16"/>
      <c r="T507" s="4"/>
      <c r="U507" s="4"/>
      <c r="V507" s="4"/>
      <c r="W507" s="4"/>
      <c r="X507" s="4"/>
      <c r="Y507" s="4"/>
      <c r="Z507" s="4"/>
      <c r="AA507" s="37"/>
      <c r="AB507" s="4"/>
      <c r="AC507" s="4"/>
      <c r="AD507" s="4"/>
      <c r="AE507" s="4"/>
      <c r="AF507" s="4"/>
    </row>
    <row r="508" spans="1:32" x14ac:dyDescent="0.25">
      <c r="A508" s="4" t="str">
        <f t="shared" si="54"/>
        <v>'',</v>
      </c>
      <c r="B508" s="4" t="str">
        <f t="shared" si="55"/>
        <v>'',</v>
      </c>
      <c r="C508" s="15"/>
      <c r="D508" s="5"/>
      <c r="E508" s="5"/>
      <c r="F508" s="5"/>
      <c r="G508" s="29"/>
      <c r="H508" s="5"/>
      <c r="I508" s="22"/>
      <c r="J508" s="16"/>
      <c r="K508" s="25"/>
      <c r="L508" s="16"/>
      <c r="M508" s="16" t="str">
        <f t="shared" si="58"/>
        <v/>
      </c>
      <c r="N508" s="16" t="str">
        <f t="shared" si="59"/>
        <v/>
      </c>
      <c r="O508" s="7" t="str">
        <f t="shared" si="56"/>
        <v/>
      </c>
      <c r="P508" s="7" t="str">
        <f t="shared" si="57"/>
        <v/>
      </c>
      <c r="Q508" s="7"/>
      <c r="R508" s="7"/>
      <c r="S508" s="16"/>
      <c r="T508" s="4"/>
      <c r="U508" s="4"/>
      <c r="V508" s="4"/>
      <c r="W508" s="4"/>
      <c r="X508" s="4"/>
      <c r="Y508" s="4"/>
      <c r="Z508" s="4"/>
      <c r="AA508" s="37"/>
      <c r="AB508" s="4"/>
      <c r="AC508" s="4"/>
      <c r="AD508" s="4"/>
      <c r="AE508" s="4"/>
      <c r="AF508" s="4"/>
    </row>
    <row r="509" spans="1:32" x14ac:dyDescent="0.25">
      <c r="A509" s="4" t="str">
        <f t="shared" si="54"/>
        <v>'',</v>
      </c>
      <c r="B509" s="4" t="str">
        <f t="shared" si="55"/>
        <v>'',</v>
      </c>
      <c r="C509" s="15"/>
      <c r="D509" s="5"/>
      <c r="E509" s="5"/>
      <c r="F509" s="5"/>
      <c r="G509" s="29"/>
      <c r="H509" s="5"/>
      <c r="I509" s="22"/>
      <c r="J509" s="16"/>
      <c r="K509" s="25"/>
      <c r="L509" s="16"/>
      <c r="M509" s="16" t="str">
        <f t="shared" si="58"/>
        <v/>
      </c>
      <c r="N509" s="16" t="str">
        <f t="shared" si="59"/>
        <v/>
      </c>
      <c r="O509" s="7" t="str">
        <f t="shared" si="56"/>
        <v/>
      </c>
      <c r="P509" s="7" t="str">
        <f t="shared" si="57"/>
        <v/>
      </c>
      <c r="Q509" s="7"/>
      <c r="R509" s="7"/>
      <c r="S509" s="16"/>
      <c r="T509" s="4"/>
      <c r="U509" s="4"/>
      <c r="V509" s="4"/>
      <c r="W509" s="4"/>
      <c r="X509" s="4"/>
      <c r="Y509" s="4"/>
      <c r="Z509" s="4"/>
      <c r="AA509" s="37"/>
      <c r="AB509" s="4"/>
      <c r="AC509" s="4"/>
      <c r="AD509" s="4"/>
      <c r="AE509" s="4"/>
      <c r="AF509" s="4"/>
    </row>
    <row r="510" spans="1:32" x14ac:dyDescent="0.25">
      <c r="A510" s="4" t="str">
        <f t="shared" si="54"/>
        <v>'',</v>
      </c>
      <c r="B510" s="4" t="str">
        <f t="shared" si="55"/>
        <v>'',</v>
      </c>
      <c r="C510" s="15"/>
      <c r="D510" s="5"/>
      <c r="E510" s="5"/>
      <c r="F510" s="5"/>
      <c r="G510" s="29"/>
      <c r="H510" s="5"/>
      <c r="I510" s="22"/>
      <c r="J510" s="16"/>
      <c r="K510" s="25"/>
      <c r="L510" s="16"/>
      <c r="M510" s="16" t="str">
        <f t="shared" si="58"/>
        <v/>
      </c>
      <c r="N510" s="16" t="str">
        <f t="shared" si="59"/>
        <v/>
      </c>
      <c r="O510" s="7" t="str">
        <f t="shared" si="56"/>
        <v/>
      </c>
      <c r="P510" s="7" t="str">
        <f t="shared" si="57"/>
        <v/>
      </c>
      <c r="Q510" s="7"/>
      <c r="R510" s="7"/>
      <c r="S510" s="16"/>
      <c r="T510" s="4"/>
      <c r="U510" s="4"/>
      <c r="V510" s="4"/>
      <c r="W510" s="4"/>
      <c r="X510" s="4"/>
      <c r="Y510" s="4"/>
      <c r="Z510" s="4"/>
      <c r="AA510" s="37"/>
      <c r="AB510" s="4"/>
      <c r="AC510" s="4"/>
      <c r="AD510" s="4"/>
      <c r="AE510" s="4"/>
      <c r="AF510" s="4"/>
    </row>
    <row r="511" spans="1:32" x14ac:dyDescent="0.25">
      <c r="A511" s="4" t="str">
        <f t="shared" si="54"/>
        <v>'',</v>
      </c>
      <c r="B511" s="4" t="str">
        <f t="shared" si="55"/>
        <v>'',</v>
      </c>
      <c r="C511" s="15"/>
      <c r="D511" s="5"/>
      <c r="E511" s="5"/>
      <c r="F511" s="5"/>
      <c r="G511" s="29"/>
      <c r="H511" s="5"/>
      <c r="I511" s="22"/>
      <c r="J511" s="16"/>
      <c r="K511" s="25"/>
      <c r="L511" s="16"/>
      <c r="M511" s="16" t="str">
        <f t="shared" si="58"/>
        <v/>
      </c>
      <c r="N511" s="16" t="str">
        <f t="shared" si="59"/>
        <v/>
      </c>
      <c r="O511" s="7" t="str">
        <f t="shared" si="56"/>
        <v/>
      </c>
      <c r="P511" s="7" t="str">
        <f t="shared" si="57"/>
        <v/>
      </c>
      <c r="Q511" s="7"/>
      <c r="R511" s="7"/>
      <c r="S511" s="16"/>
      <c r="T511" s="4"/>
      <c r="U511" s="4"/>
      <c r="V511" s="4"/>
      <c r="W511" s="4"/>
      <c r="X511" s="4"/>
      <c r="Y511" s="4"/>
      <c r="Z511" s="4"/>
      <c r="AA511" s="37"/>
      <c r="AB511" s="4"/>
      <c r="AC511" s="4"/>
      <c r="AD511" s="4"/>
      <c r="AE511" s="4"/>
      <c r="AF511" s="4"/>
    </row>
    <row r="512" spans="1:32" x14ac:dyDescent="0.25">
      <c r="A512" s="4" t="str">
        <f t="shared" si="54"/>
        <v>'',</v>
      </c>
      <c r="B512" s="4" t="str">
        <f t="shared" si="55"/>
        <v>'',</v>
      </c>
      <c r="C512" s="15"/>
      <c r="D512" s="5"/>
      <c r="E512" s="5"/>
      <c r="F512" s="5"/>
      <c r="G512" s="29"/>
      <c r="H512" s="5"/>
      <c r="I512" s="22"/>
      <c r="J512" s="16"/>
      <c r="K512" s="25"/>
      <c r="L512" s="16"/>
      <c r="M512" s="16" t="str">
        <f t="shared" si="58"/>
        <v/>
      </c>
      <c r="N512" s="16" t="str">
        <f t="shared" si="59"/>
        <v/>
      </c>
      <c r="O512" s="7" t="str">
        <f t="shared" si="56"/>
        <v/>
      </c>
      <c r="P512" s="7" t="str">
        <f t="shared" si="57"/>
        <v/>
      </c>
      <c r="Q512" s="7"/>
      <c r="R512" s="7"/>
      <c r="S512" s="16"/>
      <c r="T512" s="4"/>
      <c r="U512" s="4"/>
      <c r="V512" s="4"/>
      <c r="W512" s="4"/>
      <c r="X512" s="4"/>
      <c r="Y512" s="4"/>
      <c r="Z512" s="4"/>
      <c r="AA512" s="37"/>
      <c r="AB512" s="4"/>
      <c r="AC512" s="4"/>
      <c r="AD512" s="4"/>
      <c r="AE512" s="4"/>
      <c r="AF512" s="4"/>
    </row>
    <row r="513" spans="1:32" x14ac:dyDescent="0.25">
      <c r="A513" s="4" t="str">
        <f t="shared" si="54"/>
        <v>'',</v>
      </c>
      <c r="B513" s="4" t="str">
        <f t="shared" si="55"/>
        <v>'',</v>
      </c>
      <c r="C513" s="15"/>
      <c r="D513" s="5"/>
      <c r="E513" s="5"/>
      <c r="F513" s="5"/>
      <c r="G513" s="29"/>
      <c r="H513" s="5"/>
      <c r="I513" s="22"/>
      <c r="J513" s="16"/>
      <c r="K513" s="25"/>
      <c r="L513" s="16"/>
      <c r="M513" s="16" t="str">
        <f t="shared" si="58"/>
        <v/>
      </c>
      <c r="N513" s="16" t="str">
        <f t="shared" si="59"/>
        <v/>
      </c>
      <c r="O513" s="7" t="str">
        <f t="shared" si="56"/>
        <v/>
      </c>
      <c r="P513" s="7" t="str">
        <f t="shared" si="57"/>
        <v/>
      </c>
      <c r="Q513" s="7"/>
      <c r="R513" s="7"/>
      <c r="S513" s="16"/>
      <c r="T513" s="4"/>
      <c r="U513" s="4"/>
      <c r="V513" s="4"/>
      <c r="W513" s="4"/>
      <c r="X513" s="4"/>
      <c r="Y513" s="4"/>
      <c r="Z513" s="4"/>
      <c r="AA513" s="37"/>
      <c r="AB513" s="4"/>
      <c r="AC513" s="4"/>
      <c r="AD513" s="4"/>
      <c r="AE513" s="4"/>
      <c r="AF513" s="4"/>
    </row>
    <row r="514" spans="1:32" x14ac:dyDescent="0.25">
      <c r="A514" s="4" t="str">
        <f t="shared" si="54"/>
        <v>'',</v>
      </c>
      <c r="B514" s="4" t="str">
        <f t="shared" si="55"/>
        <v>'',</v>
      </c>
      <c r="C514" s="15"/>
      <c r="D514" s="5"/>
      <c r="E514" s="5"/>
      <c r="F514" s="5"/>
      <c r="G514" s="29"/>
      <c r="H514" s="5"/>
      <c r="I514" s="22"/>
      <c r="J514" s="16"/>
      <c r="K514" s="25"/>
      <c r="L514" s="16"/>
      <c r="M514" s="16" t="str">
        <f t="shared" si="58"/>
        <v/>
      </c>
      <c r="N514" s="16" t="str">
        <f t="shared" si="59"/>
        <v/>
      </c>
      <c r="O514" s="7" t="str">
        <f t="shared" si="56"/>
        <v/>
      </c>
      <c r="P514" s="7" t="str">
        <f t="shared" si="57"/>
        <v/>
      </c>
      <c r="Q514" s="7"/>
      <c r="R514" s="7"/>
      <c r="S514" s="16"/>
      <c r="T514" s="4"/>
      <c r="U514" s="4"/>
      <c r="V514" s="4"/>
      <c r="W514" s="4"/>
      <c r="X514" s="4"/>
      <c r="Y514" s="4"/>
      <c r="Z514" s="4"/>
      <c r="AA514" s="37"/>
      <c r="AB514" s="4"/>
      <c r="AC514" s="4"/>
      <c r="AD514" s="4"/>
      <c r="AE514" s="4"/>
      <c r="AF514" s="4"/>
    </row>
    <row r="515" spans="1:32" x14ac:dyDescent="0.25">
      <c r="A515" s="4" t="str">
        <f t="shared" si="54"/>
        <v>'',</v>
      </c>
      <c r="B515" s="4" t="str">
        <f t="shared" si="55"/>
        <v>'',</v>
      </c>
      <c r="C515" s="15"/>
      <c r="D515" s="5"/>
      <c r="E515" s="5"/>
      <c r="F515" s="5"/>
      <c r="G515" s="29"/>
      <c r="H515" s="5"/>
      <c r="I515" s="22"/>
      <c r="J515" s="16"/>
      <c r="K515" s="25"/>
      <c r="L515" s="16"/>
      <c r="M515" s="16" t="str">
        <f t="shared" si="58"/>
        <v/>
      </c>
      <c r="N515" s="16" t="str">
        <f t="shared" si="59"/>
        <v/>
      </c>
      <c r="O515" s="7" t="str">
        <f t="shared" si="56"/>
        <v/>
      </c>
      <c r="P515" s="7" t="str">
        <f t="shared" si="57"/>
        <v/>
      </c>
      <c r="Q515" s="7"/>
      <c r="R515" s="7"/>
      <c r="S515" s="16"/>
      <c r="T515" s="4"/>
      <c r="U515" s="4"/>
      <c r="V515" s="4"/>
      <c r="W515" s="4"/>
      <c r="X515" s="4"/>
      <c r="Y515" s="4"/>
      <c r="Z515" s="4"/>
      <c r="AA515" s="37"/>
      <c r="AB515" s="4"/>
      <c r="AC515" s="4"/>
      <c r="AD515" s="4"/>
      <c r="AE515" s="4"/>
      <c r="AF515" s="4"/>
    </row>
    <row r="516" spans="1:32" x14ac:dyDescent="0.25">
      <c r="A516" s="4" t="str">
        <f t="shared" si="54"/>
        <v>'',</v>
      </c>
      <c r="B516" s="4" t="str">
        <f t="shared" si="55"/>
        <v>'',</v>
      </c>
      <c r="C516" s="15"/>
      <c r="D516" s="5"/>
      <c r="E516" s="5"/>
      <c r="F516" s="5"/>
      <c r="G516" s="29"/>
      <c r="H516" s="5"/>
      <c r="I516" s="22"/>
      <c r="J516" s="16"/>
      <c r="K516" s="25"/>
      <c r="L516" s="16"/>
      <c r="M516" s="16" t="str">
        <f t="shared" si="58"/>
        <v/>
      </c>
      <c r="N516" s="16" t="str">
        <f t="shared" si="59"/>
        <v/>
      </c>
      <c r="O516" s="7" t="str">
        <f t="shared" si="56"/>
        <v/>
      </c>
      <c r="P516" s="7" t="str">
        <f t="shared" si="57"/>
        <v/>
      </c>
      <c r="Q516" s="7"/>
      <c r="R516" s="7"/>
      <c r="S516" s="16"/>
      <c r="T516" s="4"/>
      <c r="U516" s="4"/>
      <c r="V516" s="4"/>
      <c r="W516" s="4"/>
      <c r="X516" s="4"/>
      <c r="Y516" s="4"/>
      <c r="Z516" s="4"/>
      <c r="AA516" s="37"/>
      <c r="AB516" s="4"/>
      <c r="AC516" s="4"/>
      <c r="AD516" s="4"/>
      <c r="AE516" s="4"/>
      <c r="AF516" s="4"/>
    </row>
    <row r="517" spans="1:32" x14ac:dyDescent="0.25">
      <c r="A517" s="4" t="str">
        <f t="shared" si="54"/>
        <v>'',</v>
      </c>
      <c r="B517" s="4" t="str">
        <f t="shared" si="55"/>
        <v>'',</v>
      </c>
      <c r="C517" s="15"/>
      <c r="D517" s="5"/>
      <c r="E517" s="5"/>
      <c r="F517" s="5"/>
      <c r="G517" s="29"/>
      <c r="H517" s="5"/>
      <c r="I517" s="22"/>
      <c r="J517" s="16"/>
      <c r="K517" s="25"/>
      <c r="L517" s="16"/>
      <c r="M517" s="16" t="str">
        <f t="shared" si="58"/>
        <v/>
      </c>
      <c r="N517" s="16" t="str">
        <f t="shared" si="59"/>
        <v/>
      </c>
      <c r="O517" s="7" t="str">
        <f t="shared" si="56"/>
        <v/>
      </c>
      <c r="P517" s="7" t="str">
        <f t="shared" si="57"/>
        <v/>
      </c>
      <c r="Q517" s="7"/>
      <c r="R517" s="7"/>
      <c r="S517" s="16"/>
      <c r="T517" s="4"/>
      <c r="U517" s="4"/>
      <c r="V517" s="4"/>
      <c r="W517" s="4"/>
      <c r="X517" s="4"/>
      <c r="Y517" s="4"/>
      <c r="Z517" s="4"/>
      <c r="AA517" s="37"/>
      <c r="AB517" s="4"/>
      <c r="AC517" s="4"/>
      <c r="AD517" s="4"/>
      <c r="AE517" s="4"/>
      <c r="AF517" s="4"/>
    </row>
    <row r="518" spans="1:32" x14ac:dyDescent="0.25">
      <c r="A518" s="4" t="str">
        <f t="shared" si="54"/>
        <v>'',</v>
      </c>
      <c r="B518" s="4" t="str">
        <f t="shared" si="55"/>
        <v>'',</v>
      </c>
      <c r="C518" s="15"/>
      <c r="D518" s="5"/>
      <c r="E518" s="5"/>
      <c r="F518" s="5"/>
      <c r="G518" s="29"/>
      <c r="H518" s="5"/>
      <c r="I518" s="22"/>
      <c r="J518" s="16"/>
      <c r="K518" s="25"/>
      <c r="L518" s="16"/>
      <c r="M518" s="16" t="str">
        <f t="shared" si="58"/>
        <v/>
      </c>
      <c r="N518" s="16" t="str">
        <f t="shared" si="59"/>
        <v/>
      </c>
      <c r="O518" s="7" t="str">
        <f t="shared" si="56"/>
        <v/>
      </c>
      <c r="P518" s="7" t="str">
        <f t="shared" si="57"/>
        <v/>
      </c>
      <c r="Q518" s="7"/>
      <c r="R518" s="7"/>
      <c r="S518" s="16"/>
      <c r="T518" s="4"/>
      <c r="U518" s="4"/>
      <c r="V518" s="4"/>
      <c r="W518" s="4"/>
      <c r="X518" s="4"/>
      <c r="Y518" s="4"/>
      <c r="Z518" s="4"/>
      <c r="AA518" s="37"/>
      <c r="AB518" s="4"/>
      <c r="AC518" s="4"/>
      <c r="AD518" s="4"/>
      <c r="AE518" s="4"/>
      <c r="AF518" s="4"/>
    </row>
    <row r="519" spans="1:32" x14ac:dyDescent="0.25">
      <c r="A519" s="4" t="str">
        <f t="shared" si="54"/>
        <v>'',</v>
      </c>
      <c r="B519" s="4" t="str">
        <f t="shared" si="55"/>
        <v>'',</v>
      </c>
      <c r="C519" s="15"/>
      <c r="D519" s="5"/>
      <c r="E519" s="5"/>
      <c r="F519" s="5"/>
      <c r="G519" s="29"/>
      <c r="H519" s="5"/>
      <c r="I519" s="22"/>
      <c r="J519" s="16"/>
      <c r="K519" s="25"/>
      <c r="L519" s="16"/>
      <c r="M519" s="16" t="str">
        <f t="shared" si="58"/>
        <v/>
      </c>
      <c r="N519" s="16" t="str">
        <f t="shared" si="59"/>
        <v/>
      </c>
      <c r="O519" s="7" t="str">
        <f t="shared" si="56"/>
        <v/>
      </c>
      <c r="P519" s="7" t="str">
        <f t="shared" si="57"/>
        <v/>
      </c>
      <c r="Q519" s="7"/>
      <c r="R519" s="7"/>
      <c r="S519" s="16"/>
      <c r="T519" s="4"/>
      <c r="U519" s="4"/>
      <c r="V519" s="4"/>
      <c r="W519" s="4"/>
      <c r="X519" s="4"/>
      <c r="Y519" s="4"/>
      <c r="Z519" s="4"/>
      <c r="AA519" s="37"/>
      <c r="AB519" s="4"/>
      <c r="AC519" s="4"/>
      <c r="AD519" s="4"/>
      <c r="AE519" s="4"/>
      <c r="AF519" s="4"/>
    </row>
    <row r="520" spans="1:32" x14ac:dyDescent="0.25">
      <c r="A520" s="4" t="str">
        <f t="shared" si="54"/>
        <v>'',</v>
      </c>
      <c r="B520" s="4" t="str">
        <f t="shared" si="55"/>
        <v>'',</v>
      </c>
      <c r="C520" s="15"/>
      <c r="D520" s="5"/>
      <c r="E520" s="5"/>
      <c r="F520" s="5"/>
      <c r="G520" s="29"/>
      <c r="H520" s="5"/>
      <c r="I520" s="22"/>
      <c r="J520" s="16"/>
      <c r="K520" s="25"/>
      <c r="L520" s="16"/>
      <c r="M520" s="16" t="str">
        <f t="shared" si="58"/>
        <v/>
      </c>
      <c r="N520" s="16" t="str">
        <f t="shared" si="59"/>
        <v/>
      </c>
      <c r="O520" s="7" t="str">
        <f t="shared" si="56"/>
        <v/>
      </c>
      <c r="P520" s="7" t="str">
        <f t="shared" si="57"/>
        <v/>
      </c>
      <c r="Q520" s="7"/>
      <c r="R520" s="7"/>
      <c r="S520" s="16"/>
      <c r="T520" s="4"/>
      <c r="U520" s="4"/>
      <c r="V520" s="4"/>
      <c r="W520" s="4"/>
      <c r="X520" s="4"/>
      <c r="Y520" s="4"/>
      <c r="Z520" s="4"/>
      <c r="AA520" s="37"/>
      <c r="AB520" s="4"/>
      <c r="AC520" s="4"/>
      <c r="AD520" s="4"/>
      <c r="AE520" s="4"/>
      <c r="AF520" s="4"/>
    </row>
    <row r="521" spans="1:32" x14ac:dyDescent="0.25">
      <c r="A521" s="4" t="str">
        <f t="shared" si="54"/>
        <v>'',</v>
      </c>
      <c r="B521" s="4" t="str">
        <f t="shared" si="55"/>
        <v>'',</v>
      </c>
      <c r="C521" s="15"/>
      <c r="D521" s="5"/>
      <c r="E521" s="5"/>
      <c r="F521" s="5"/>
      <c r="G521" s="29"/>
      <c r="H521" s="5"/>
      <c r="I521" s="22"/>
      <c r="J521" s="16"/>
      <c r="K521" s="25"/>
      <c r="L521" s="16"/>
      <c r="M521" s="16" t="str">
        <f t="shared" si="58"/>
        <v/>
      </c>
      <c r="N521" s="16" t="str">
        <f t="shared" si="59"/>
        <v/>
      </c>
      <c r="O521" s="7" t="str">
        <f t="shared" si="56"/>
        <v/>
      </c>
      <c r="P521" s="7" t="str">
        <f t="shared" si="57"/>
        <v/>
      </c>
      <c r="Q521" s="7"/>
      <c r="R521" s="7"/>
      <c r="S521" s="16"/>
      <c r="T521" s="4"/>
      <c r="U521" s="4"/>
      <c r="V521" s="4"/>
      <c r="W521" s="4"/>
      <c r="X521" s="4"/>
      <c r="Y521" s="4"/>
      <c r="Z521" s="4"/>
      <c r="AA521" s="37"/>
      <c r="AB521" s="4"/>
      <c r="AC521" s="4"/>
      <c r="AD521" s="4"/>
      <c r="AE521" s="4"/>
      <c r="AF521" s="4"/>
    </row>
    <row r="522" spans="1:32" x14ac:dyDescent="0.25">
      <c r="A522" s="4" t="str">
        <f t="shared" ref="A522:A585" si="60">"'"&amp;X522&amp;"',"</f>
        <v>'',</v>
      </c>
      <c r="B522" s="4" t="str">
        <f t="shared" ref="B522:B585" si="61">"'"&amp;T522&amp;"',"</f>
        <v>'',</v>
      </c>
      <c r="C522" s="15"/>
      <c r="D522" s="5"/>
      <c r="E522" s="5"/>
      <c r="F522" s="5"/>
      <c r="G522" s="29"/>
      <c r="H522" s="5"/>
      <c r="I522" s="22"/>
      <c r="J522" s="16"/>
      <c r="K522" s="25"/>
      <c r="L522" s="16"/>
      <c r="M522" s="16" t="str">
        <f t="shared" si="58"/>
        <v/>
      </c>
      <c r="N522" s="16" t="str">
        <f t="shared" si="59"/>
        <v/>
      </c>
      <c r="O522" s="7" t="str">
        <f t="shared" si="56"/>
        <v/>
      </c>
      <c r="P522" s="7" t="str">
        <f t="shared" si="57"/>
        <v/>
      </c>
      <c r="Q522" s="7"/>
      <c r="R522" s="7"/>
      <c r="S522" s="16"/>
      <c r="T522" s="4"/>
      <c r="U522" s="4"/>
      <c r="V522" s="4"/>
      <c r="W522" s="4"/>
      <c r="X522" s="4"/>
      <c r="Y522" s="4"/>
      <c r="Z522" s="4"/>
      <c r="AA522" s="37"/>
      <c r="AB522" s="4"/>
      <c r="AC522" s="4"/>
      <c r="AD522" s="4"/>
      <c r="AE522" s="4"/>
      <c r="AF522" s="4"/>
    </row>
    <row r="523" spans="1:32" x14ac:dyDescent="0.25">
      <c r="A523" s="4" t="str">
        <f t="shared" si="60"/>
        <v>'',</v>
      </c>
      <c r="B523" s="4" t="str">
        <f t="shared" si="61"/>
        <v>'',</v>
      </c>
      <c r="C523" s="15"/>
      <c r="D523" s="5"/>
      <c r="E523" s="5"/>
      <c r="F523" s="5"/>
      <c r="G523" s="29"/>
      <c r="H523" s="5"/>
      <c r="I523" s="22"/>
      <c r="J523" s="16"/>
      <c r="K523" s="25"/>
      <c r="L523" s="16"/>
      <c r="M523" s="16" t="str">
        <f t="shared" si="58"/>
        <v/>
      </c>
      <c r="N523" s="16" t="str">
        <f t="shared" si="59"/>
        <v/>
      </c>
      <c r="O523" s="7" t="str">
        <f t="shared" si="56"/>
        <v/>
      </c>
      <c r="P523" s="7" t="str">
        <f t="shared" si="57"/>
        <v/>
      </c>
      <c r="Q523" s="7"/>
      <c r="R523" s="7"/>
      <c r="S523" s="16"/>
      <c r="T523" s="4"/>
      <c r="U523" s="4"/>
      <c r="V523" s="4"/>
      <c r="W523" s="4"/>
      <c r="X523" s="4"/>
      <c r="Y523" s="4"/>
      <c r="Z523" s="4"/>
      <c r="AA523" s="37"/>
      <c r="AB523" s="4"/>
      <c r="AC523" s="4"/>
      <c r="AD523" s="4"/>
      <c r="AE523" s="4"/>
      <c r="AF523" s="4"/>
    </row>
    <row r="524" spans="1:32" x14ac:dyDescent="0.25">
      <c r="A524" s="4" t="str">
        <f t="shared" si="60"/>
        <v>'',</v>
      </c>
      <c r="B524" s="4" t="str">
        <f t="shared" si="61"/>
        <v>'',</v>
      </c>
      <c r="C524" s="15"/>
      <c r="D524" s="5"/>
      <c r="E524" s="5"/>
      <c r="F524" s="5"/>
      <c r="G524" s="29"/>
      <c r="H524" s="5"/>
      <c r="I524" s="22"/>
      <c r="J524" s="16"/>
      <c r="K524" s="25"/>
      <c r="L524" s="16"/>
      <c r="M524" s="16" t="str">
        <f t="shared" si="58"/>
        <v/>
      </c>
      <c r="N524" s="16" t="str">
        <f t="shared" si="59"/>
        <v/>
      </c>
      <c r="O524" s="7" t="str">
        <f t="shared" si="56"/>
        <v/>
      </c>
      <c r="P524" s="7" t="str">
        <f t="shared" si="57"/>
        <v/>
      </c>
      <c r="Q524" s="7"/>
      <c r="R524" s="7"/>
      <c r="S524" s="16"/>
      <c r="T524" s="4"/>
      <c r="U524" s="4"/>
      <c r="V524" s="4"/>
      <c r="W524" s="4"/>
      <c r="X524" s="4"/>
      <c r="Y524" s="4"/>
      <c r="Z524" s="4"/>
      <c r="AA524" s="37"/>
      <c r="AB524" s="4"/>
      <c r="AC524" s="4"/>
      <c r="AD524" s="4"/>
      <c r="AE524" s="4"/>
      <c r="AF524" s="4"/>
    </row>
    <row r="525" spans="1:32" x14ac:dyDescent="0.25">
      <c r="A525" s="4" t="str">
        <f t="shared" si="60"/>
        <v>'',</v>
      </c>
      <c r="B525" s="4" t="str">
        <f t="shared" si="61"/>
        <v>'',</v>
      </c>
      <c r="C525" s="15"/>
      <c r="D525" s="5"/>
      <c r="E525" s="5"/>
      <c r="F525" s="5"/>
      <c r="G525" s="29"/>
      <c r="H525" s="5"/>
      <c r="I525" s="22"/>
      <c r="J525" s="16"/>
      <c r="K525" s="25"/>
      <c r="L525" s="16"/>
      <c r="M525" s="16" t="str">
        <f t="shared" si="58"/>
        <v/>
      </c>
      <c r="N525" s="16" t="str">
        <f t="shared" si="59"/>
        <v/>
      </c>
      <c r="O525" s="7" t="str">
        <f t="shared" si="56"/>
        <v/>
      </c>
      <c r="P525" s="7" t="str">
        <f t="shared" si="57"/>
        <v/>
      </c>
      <c r="Q525" s="7"/>
      <c r="R525" s="7"/>
      <c r="S525" s="16"/>
      <c r="T525" s="4"/>
      <c r="U525" s="4"/>
      <c r="V525" s="4"/>
      <c r="W525" s="4"/>
      <c r="X525" s="4"/>
      <c r="Y525" s="4"/>
      <c r="Z525" s="4"/>
      <c r="AA525" s="37"/>
      <c r="AB525" s="4"/>
      <c r="AC525" s="4"/>
      <c r="AD525" s="4"/>
      <c r="AE525" s="4"/>
      <c r="AF525" s="4"/>
    </row>
    <row r="526" spans="1:32" x14ac:dyDescent="0.25">
      <c r="A526" s="4" t="str">
        <f t="shared" si="60"/>
        <v>'',</v>
      </c>
      <c r="B526" s="4" t="str">
        <f t="shared" si="61"/>
        <v>'',</v>
      </c>
      <c r="C526" s="15"/>
      <c r="D526" s="5"/>
      <c r="E526" s="5"/>
      <c r="F526" s="5"/>
      <c r="G526" s="29"/>
      <c r="H526" s="5"/>
      <c r="I526" s="22"/>
      <c r="J526" s="16"/>
      <c r="K526" s="25"/>
      <c r="L526" s="16"/>
      <c r="M526" s="16" t="str">
        <f t="shared" si="58"/>
        <v/>
      </c>
      <c r="N526" s="16" t="str">
        <f t="shared" si="59"/>
        <v/>
      </c>
      <c r="O526" s="7" t="str">
        <f t="shared" si="56"/>
        <v/>
      </c>
      <c r="P526" s="7" t="str">
        <f t="shared" si="57"/>
        <v/>
      </c>
      <c r="Q526" s="7"/>
      <c r="R526" s="7"/>
      <c r="S526" s="16"/>
      <c r="T526" s="4"/>
      <c r="U526" s="4"/>
      <c r="V526" s="4"/>
      <c r="W526" s="4"/>
      <c r="X526" s="4"/>
      <c r="Y526" s="4"/>
      <c r="Z526" s="4"/>
      <c r="AA526" s="37"/>
      <c r="AB526" s="4"/>
      <c r="AC526" s="4"/>
      <c r="AD526" s="4"/>
      <c r="AE526" s="4"/>
      <c r="AF526" s="4"/>
    </row>
    <row r="527" spans="1:32" x14ac:dyDescent="0.25">
      <c r="A527" s="4" t="str">
        <f t="shared" si="60"/>
        <v>'',</v>
      </c>
      <c r="B527" s="4" t="str">
        <f t="shared" si="61"/>
        <v>'',</v>
      </c>
      <c r="C527" s="15"/>
      <c r="D527" s="5"/>
      <c r="E527" s="5"/>
      <c r="F527" s="5"/>
      <c r="G527" s="29"/>
      <c r="H527" s="5"/>
      <c r="I527" s="22"/>
      <c r="J527" s="16"/>
      <c r="K527" s="25"/>
      <c r="L527" s="16"/>
      <c r="M527" s="16" t="str">
        <f t="shared" si="58"/>
        <v/>
      </c>
      <c r="N527" s="16" t="str">
        <f t="shared" si="59"/>
        <v/>
      </c>
      <c r="O527" s="7" t="str">
        <f t="shared" si="56"/>
        <v/>
      </c>
      <c r="P527" s="7" t="str">
        <f t="shared" si="57"/>
        <v/>
      </c>
      <c r="Q527" s="7"/>
      <c r="R527" s="7"/>
      <c r="S527" s="16"/>
      <c r="T527" s="4"/>
      <c r="U527" s="4"/>
      <c r="V527" s="4"/>
      <c r="W527" s="4"/>
      <c r="X527" s="4"/>
      <c r="Y527" s="4"/>
      <c r="Z527" s="4"/>
      <c r="AA527" s="37"/>
      <c r="AB527" s="4"/>
      <c r="AC527" s="4"/>
      <c r="AD527" s="4"/>
      <c r="AE527" s="4"/>
      <c r="AF527" s="4"/>
    </row>
    <row r="528" spans="1:32" x14ac:dyDescent="0.25">
      <c r="A528" s="4" t="str">
        <f t="shared" si="60"/>
        <v>'',</v>
      </c>
      <c r="B528" s="4" t="str">
        <f t="shared" si="61"/>
        <v>'',</v>
      </c>
      <c r="C528" s="15"/>
      <c r="D528" s="5"/>
      <c r="E528" s="5"/>
      <c r="F528" s="5"/>
      <c r="G528" s="29"/>
      <c r="H528" s="5"/>
      <c r="I528" s="22"/>
      <c r="J528" s="16"/>
      <c r="K528" s="25"/>
      <c r="L528" s="16"/>
      <c r="M528" s="16" t="str">
        <f t="shared" si="58"/>
        <v/>
      </c>
      <c r="N528" s="16" t="str">
        <f t="shared" si="59"/>
        <v/>
      </c>
      <c r="O528" s="7" t="str">
        <f t="shared" ref="O528:O591" si="62">IF(V528&lt;&gt;"",V528,"")</f>
        <v/>
      </c>
      <c r="P528" s="7" t="str">
        <f t="shared" ref="P528:P591" si="63">IF(O528="","","請協助處理")</f>
        <v/>
      </c>
      <c r="Q528" s="7"/>
      <c r="R528" s="7"/>
      <c r="S528" s="16"/>
      <c r="T528" s="4"/>
      <c r="U528" s="4"/>
      <c r="V528" s="4"/>
      <c r="W528" s="4"/>
      <c r="X528" s="4"/>
      <c r="Y528" s="4"/>
      <c r="Z528" s="4"/>
      <c r="AA528" s="37"/>
      <c r="AB528" s="4"/>
      <c r="AC528" s="4"/>
      <c r="AD528" s="4"/>
      <c r="AE528" s="4"/>
      <c r="AF528" s="4"/>
    </row>
    <row r="529" spans="1:32" x14ac:dyDescent="0.25">
      <c r="A529" s="4" t="str">
        <f t="shared" si="60"/>
        <v>'',</v>
      </c>
      <c r="B529" s="4" t="str">
        <f t="shared" si="61"/>
        <v>'',</v>
      </c>
      <c r="C529" s="15"/>
      <c r="D529" s="5"/>
      <c r="E529" s="5"/>
      <c r="F529" s="5"/>
      <c r="G529" s="29"/>
      <c r="H529" s="5"/>
      <c r="I529" s="22"/>
      <c r="J529" s="16"/>
      <c r="K529" s="25"/>
      <c r="L529" s="16"/>
      <c r="M529" s="16" t="str">
        <f t="shared" si="58"/>
        <v/>
      </c>
      <c r="N529" s="16" t="str">
        <f t="shared" si="59"/>
        <v/>
      </c>
      <c r="O529" s="7" t="str">
        <f t="shared" si="62"/>
        <v/>
      </c>
      <c r="P529" s="7" t="str">
        <f t="shared" si="63"/>
        <v/>
      </c>
      <c r="Q529" s="7"/>
      <c r="R529" s="7"/>
      <c r="S529" s="16"/>
      <c r="T529" s="4"/>
      <c r="U529" s="4"/>
      <c r="V529" s="4"/>
      <c r="W529" s="4"/>
      <c r="X529" s="4"/>
      <c r="Y529" s="4"/>
      <c r="Z529" s="4"/>
      <c r="AA529" s="37"/>
      <c r="AB529" s="4"/>
      <c r="AC529" s="4"/>
      <c r="AD529" s="4"/>
      <c r="AE529" s="4"/>
      <c r="AF529" s="4"/>
    </row>
    <row r="530" spans="1:32" x14ac:dyDescent="0.25">
      <c r="A530" s="4" t="str">
        <f t="shared" si="60"/>
        <v>'',</v>
      </c>
      <c r="B530" s="4" t="str">
        <f t="shared" si="61"/>
        <v>'',</v>
      </c>
      <c r="C530" s="15"/>
      <c r="D530" s="5"/>
      <c r="E530" s="5"/>
      <c r="F530" s="5"/>
      <c r="G530" s="29"/>
      <c r="H530" s="5"/>
      <c r="I530" s="22"/>
      <c r="J530" s="16"/>
      <c r="K530" s="25"/>
      <c r="L530" s="16"/>
      <c r="M530" s="16" t="str">
        <f t="shared" si="58"/>
        <v/>
      </c>
      <c r="N530" s="16" t="str">
        <f t="shared" si="59"/>
        <v/>
      </c>
      <c r="O530" s="7" t="str">
        <f t="shared" si="62"/>
        <v/>
      </c>
      <c r="P530" s="7" t="str">
        <f t="shared" si="63"/>
        <v/>
      </c>
      <c r="Q530" s="7"/>
      <c r="R530" s="7"/>
      <c r="S530" s="16"/>
      <c r="T530" s="4"/>
      <c r="U530" s="4"/>
      <c r="V530" s="4"/>
      <c r="W530" s="4"/>
      <c r="X530" s="4"/>
      <c r="Y530" s="4"/>
      <c r="Z530" s="4"/>
      <c r="AA530" s="37"/>
      <c r="AB530" s="4"/>
      <c r="AC530" s="4"/>
      <c r="AD530" s="4"/>
      <c r="AE530" s="4"/>
      <c r="AF530" s="4"/>
    </row>
    <row r="531" spans="1:32" x14ac:dyDescent="0.25">
      <c r="A531" s="4" t="str">
        <f t="shared" si="60"/>
        <v>'',</v>
      </c>
      <c r="B531" s="4" t="str">
        <f t="shared" si="61"/>
        <v>'',</v>
      </c>
      <c r="C531" s="15"/>
      <c r="D531" s="5"/>
      <c r="E531" s="5"/>
      <c r="F531" s="5"/>
      <c r="G531" s="29"/>
      <c r="H531" s="5"/>
      <c r="I531" s="22"/>
      <c r="J531" s="16"/>
      <c r="K531" s="25"/>
      <c r="L531" s="16"/>
      <c r="M531" s="16" t="str">
        <f t="shared" si="58"/>
        <v/>
      </c>
      <c r="N531" s="16" t="str">
        <f t="shared" si="59"/>
        <v/>
      </c>
      <c r="O531" s="7" t="str">
        <f t="shared" si="62"/>
        <v/>
      </c>
      <c r="P531" s="7" t="str">
        <f t="shared" si="63"/>
        <v/>
      </c>
      <c r="Q531" s="7"/>
      <c r="R531" s="7"/>
      <c r="S531" s="16"/>
      <c r="T531" s="4"/>
      <c r="U531" s="4"/>
      <c r="V531" s="4"/>
      <c r="W531" s="4"/>
      <c r="X531" s="4"/>
      <c r="Y531" s="4"/>
      <c r="Z531" s="4"/>
      <c r="AA531" s="37"/>
      <c r="AB531" s="4"/>
      <c r="AC531" s="4"/>
      <c r="AD531" s="4"/>
      <c r="AE531" s="4"/>
      <c r="AF531" s="4"/>
    </row>
    <row r="532" spans="1:32" x14ac:dyDescent="0.25">
      <c r="A532" s="4" t="str">
        <f t="shared" si="60"/>
        <v>'',</v>
      </c>
      <c r="B532" s="4" t="str">
        <f t="shared" si="61"/>
        <v>'',</v>
      </c>
      <c r="C532" s="15"/>
      <c r="D532" s="5"/>
      <c r="E532" s="5"/>
      <c r="F532" s="5"/>
      <c r="G532" s="29"/>
      <c r="H532" s="5"/>
      <c r="I532" s="22"/>
      <c r="J532" s="16"/>
      <c r="K532" s="25"/>
      <c r="L532" s="16"/>
      <c r="M532" s="16" t="str">
        <f t="shared" si="58"/>
        <v/>
      </c>
      <c r="N532" s="16" t="str">
        <f t="shared" si="59"/>
        <v/>
      </c>
      <c r="O532" s="7" t="str">
        <f t="shared" si="62"/>
        <v/>
      </c>
      <c r="P532" s="7" t="str">
        <f t="shared" si="63"/>
        <v/>
      </c>
      <c r="Q532" s="7"/>
      <c r="R532" s="7"/>
      <c r="S532" s="16"/>
      <c r="T532" s="4"/>
      <c r="U532" s="4"/>
      <c r="V532" s="4"/>
      <c r="W532" s="4"/>
      <c r="X532" s="4"/>
      <c r="Y532" s="4"/>
      <c r="Z532" s="4"/>
      <c r="AA532" s="37"/>
      <c r="AB532" s="4"/>
      <c r="AC532" s="4"/>
      <c r="AD532" s="4"/>
      <c r="AE532" s="4"/>
      <c r="AF532" s="4"/>
    </row>
    <row r="533" spans="1:32" x14ac:dyDescent="0.25">
      <c r="A533" s="4" t="str">
        <f t="shared" si="60"/>
        <v>'',</v>
      </c>
      <c r="B533" s="4" t="str">
        <f t="shared" si="61"/>
        <v>'',</v>
      </c>
      <c r="C533" s="15"/>
      <c r="D533" s="5"/>
      <c r="E533" s="5"/>
      <c r="F533" s="5"/>
      <c r="G533" s="29"/>
      <c r="H533" s="5"/>
      <c r="I533" s="22"/>
      <c r="J533" s="16"/>
      <c r="K533" s="25"/>
      <c r="L533" s="16"/>
      <c r="M533" s="16" t="str">
        <f t="shared" si="58"/>
        <v/>
      </c>
      <c r="N533" s="16" t="str">
        <f t="shared" si="59"/>
        <v/>
      </c>
      <c r="O533" s="7" t="str">
        <f t="shared" si="62"/>
        <v/>
      </c>
      <c r="P533" s="7" t="str">
        <f t="shared" si="63"/>
        <v/>
      </c>
      <c r="Q533" s="7"/>
      <c r="R533" s="7"/>
      <c r="S533" s="16"/>
      <c r="T533" s="4"/>
      <c r="U533" s="4"/>
      <c r="V533" s="4"/>
      <c r="W533" s="4"/>
      <c r="X533" s="4"/>
      <c r="Y533" s="4"/>
      <c r="Z533" s="4"/>
      <c r="AA533" s="37"/>
      <c r="AB533" s="4"/>
      <c r="AC533" s="4"/>
      <c r="AD533" s="4"/>
      <c r="AE533" s="4"/>
      <c r="AF533" s="4"/>
    </row>
    <row r="534" spans="1:32" x14ac:dyDescent="0.25">
      <c r="A534" s="4" t="str">
        <f t="shared" si="60"/>
        <v>'',</v>
      </c>
      <c r="B534" s="4" t="str">
        <f t="shared" si="61"/>
        <v>'',</v>
      </c>
      <c r="C534" s="15"/>
      <c r="D534" s="5"/>
      <c r="E534" s="5"/>
      <c r="F534" s="5"/>
      <c r="G534" s="29"/>
      <c r="H534" s="5"/>
      <c r="I534" s="22"/>
      <c r="J534" s="16"/>
      <c r="K534" s="25"/>
      <c r="L534" s="16"/>
      <c r="M534" s="16" t="str">
        <f t="shared" si="58"/>
        <v/>
      </c>
      <c r="N534" s="16" t="str">
        <f t="shared" si="59"/>
        <v/>
      </c>
      <c r="O534" s="7" t="str">
        <f t="shared" si="62"/>
        <v/>
      </c>
      <c r="P534" s="7" t="str">
        <f t="shared" si="63"/>
        <v/>
      </c>
      <c r="Q534" s="7"/>
      <c r="R534" s="7"/>
      <c r="S534" s="16"/>
      <c r="T534" s="4"/>
      <c r="U534" s="4"/>
      <c r="V534" s="4"/>
      <c r="W534" s="4"/>
      <c r="X534" s="4"/>
      <c r="Y534" s="4"/>
      <c r="Z534" s="4"/>
      <c r="AA534" s="37"/>
      <c r="AB534" s="4"/>
      <c r="AC534" s="4"/>
      <c r="AD534" s="4"/>
      <c r="AE534" s="4"/>
      <c r="AF534" s="4"/>
    </row>
    <row r="535" spans="1:32" x14ac:dyDescent="0.25">
      <c r="A535" s="4" t="str">
        <f t="shared" si="60"/>
        <v>'',</v>
      </c>
      <c r="B535" s="4" t="str">
        <f t="shared" si="61"/>
        <v>'',</v>
      </c>
      <c r="C535" s="15"/>
      <c r="D535" s="5"/>
      <c r="E535" s="5"/>
      <c r="F535" s="5"/>
      <c r="G535" s="29"/>
      <c r="H535" s="5"/>
      <c r="I535" s="22"/>
      <c r="J535" s="16"/>
      <c r="K535" s="25"/>
      <c r="L535" s="16"/>
      <c r="M535" s="16" t="str">
        <f t="shared" si="58"/>
        <v/>
      </c>
      <c r="N535" s="16" t="str">
        <f t="shared" si="59"/>
        <v/>
      </c>
      <c r="O535" s="7" t="str">
        <f t="shared" si="62"/>
        <v/>
      </c>
      <c r="P535" s="7" t="str">
        <f t="shared" si="63"/>
        <v/>
      </c>
      <c r="Q535" s="7"/>
      <c r="R535" s="7"/>
      <c r="S535" s="16"/>
      <c r="T535" s="4"/>
      <c r="U535" s="4"/>
      <c r="V535" s="4"/>
      <c r="W535" s="4"/>
      <c r="X535" s="4"/>
      <c r="Y535" s="4"/>
      <c r="Z535" s="4"/>
      <c r="AA535" s="37"/>
      <c r="AB535" s="4"/>
      <c r="AC535" s="4"/>
      <c r="AD535" s="4"/>
      <c r="AE535" s="4"/>
      <c r="AF535" s="4"/>
    </row>
    <row r="536" spans="1:32" x14ac:dyDescent="0.25">
      <c r="A536" s="4" t="str">
        <f t="shared" si="60"/>
        <v>'',</v>
      </c>
      <c r="B536" s="4" t="str">
        <f t="shared" si="61"/>
        <v>'',</v>
      </c>
      <c r="C536" s="15"/>
      <c r="D536" s="5"/>
      <c r="E536" s="5"/>
      <c r="F536" s="5"/>
      <c r="G536" s="29"/>
      <c r="H536" s="5"/>
      <c r="I536" s="22"/>
      <c r="J536" s="16"/>
      <c r="K536" s="25"/>
      <c r="L536" s="16"/>
      <c r="M536" s="16" t="str">
        <f t="shared" si="58"/>
        <v/>
      </c>
      <c r="N536" s="16" t="str">
        <f t="shared" si="59"/>
        <v/>
      </c>
      <c r="O536" s="7" t="str">
        <f t="shared" si="62"/>
        <v/>
      </c>
      <c r="P536" s="7" t="str">
        <f t="shared" si="63"/>
        <v/>
      </c>
      <c r="Q536" s="7"/>
      <c r="R536" s="7"/>
      <c r="S536" s="16"/>
      <c r="T536" s="4"/>
      <c r="U536" s="4"/>
      <c r="V536" s="4"/>
      <c r="W536" s="4"/>
      <c r="X536" s="4"/>
      <c r="Y536" s="4"/>
      <c r="Z536" s="4"/>
      <c r="AA536" s="37"/>
      <c r="AB536" s="4"/>
      <c r="AC536" s="4"/>
      <c r="AD536" s="4"/>
      <c r="AE536" s="4"/>
      <c r="AF536" s="4"/>
    </row>
    <row r="537" spans="1:32" x14ac:dyDescent="0.25">
      <c r="A537" s="4" t="str">
        <f t="shared" si="60"/>
        <v>'',</v>
      </c>
      <c r="B537" s="4" t="str">
        <f t="shared" si="61"/>
        <v>'',</v>
      </c>
      <c r="C537" s="15"/>
      <c r="D537" s="5"/>
      <c r="E537" s="5"/>
      <c r="F537" s="5"/>
      <c r="G537" s="29"/>
      <c r="H537" s="5"/>
      <c r="I537" s="22"/>
      <c r="J537" s="16"/>
      <c r="K537" s="25"/>
      <c r="L537" s="16"/>
      <c r="M537" s="16" t="str">
        <f t="shared" si="58"/>
        <v/>
      </c>
      <c r="N537" s="16" t="str">
        <f t="shared" si="59"/>
        <v/>
      </c>
      <c r="O537" s="7" t="str">
        <f t="shared" si="62"/>
        <v/>
      </c>
      <c r="P537" s="7" t="str">
        <f t="shared" si="63"/>
        <v/>
      </c>
      <c r="Q537" s="7"/>
      <c r="R537" s="7"/>
      <c r="S537" s="16"/>
      <c r="T537" s="4"/>
      <c r="U537" s="4"/>
      <c r="V537" s="4"/>
      <c r="W537" s="4"/>
      <c r="X537" s="4"/>
      <c r="Y537" s="4"/>
      <c r="Z537" s="4"/>
      <c r="AA537" s="37"/>
      <c r="AB537" s="4"/>
      <c r="AC537" s="4"/>
      <c r="AD537" s="4"/>
      <c r="AE537" s="4"/>
      <c r="AF537" s="4"/>
    </row>
    <row r="538" spans="1:32" x14ac:dyDescent="0.25">
      <c r="A538" s="4" t="str">
        <f t="shared" si="60"/>
        <v>'',</v>
      </c>
      <c r="B538" s="4" t="str">
        <f t="shared" si="61"/>
        <v>'',</v>
      </c>
      <c r="C538" s="15"/>
      <c r="D538" s="5"/>
      <c r="E538" s="5"/>
      <c r="F538" s="5"/>
      <c r="G538" s="29"/>
      <c r="H538" s="5"/>
      <c r="I538" s="22"/>
      <c r="J538" s="16"/>
      <c r="K538" s="25"/>
      <c r="L538" s="16"/>
      <c r="M538" s="16" t="str">
        <f t="shared" si="58"/>
        <v/>
      </c>
      <c r="N538" s="16" t="str">
        <f t="shared" si="59"/>
        <v/>
      </c>
      <c r="O538" s="7" t="str">
        <f t="shared" si="62"/>
        <v/>
      </c>
      <c r="P538" s="7" t="str">
        <f t="shared" si="63"/>
        <v/>
      </c>
      <c r="Q538" s="7"/>
      <c r="R538" s="7"/>
      <c r="S538" s="16"/>
      <c r="T538" s="4"/>
      <c r="U538" s="4"/>
      <c r="V538" s="4"/>
      <c r="W538" s="4"/>
      <c r="X538" s="4"/>
      <c r="Y538" s="4"/>
      <c r="Z538" s="4"/>
      <c r="AA538" s="37"/>
      <c r="AB538" s="4"/>
      <c r="AC538" s="4"/>
      <c r="AD538" s="4"/>
      <c r="AE538" s="4"/>
      <c r="AF538" s="4"/>
    </row>
    <row r="539" spans="1:32" x14ac:dyDescent="0.25">
      <c r="A539" s="4" t="str">
        <f t="shared" si="60"/>
        <v>'',</v>
      </c>
      <c r="B539" s="4" t="str">
        <f t="shared" si="61"/>
        <v>'',</v>
      </c>
      <c r="C539" s="15"/>
      <c r="D539" s="5"/>
      <c r="E539" s="5"/>
      <c r="F539" s="5"/>
      <c r="G539" s="29"/>
      <c r="H539" s="5"/>
      <c r="I539" s="22"/>
      <c r="J539" s="16"/>
      <c r="K539" s="25"/>
      <c r="L539" s="16"/>
      <c r="M539" s="16" t="str">
        <f t="shared" si="58"/>
        <v/>
      </c>
      <c r="N539" s="16" t="str">
        <f t="shared" si="59"/>
        <v/>
      </c>
      <c r="O539" s="7" t="str">
        <f t="shared" si="62"/>
        <v/>
      </c>
      <c r="P539" s="7" t="str">
        <f t="shared" si="63"/>
        <v/>
      </c>
      <c r="Q539" s="7"/>
      <c r="R539" s="7"/>
      <c r="S539" s="16"/>
      <c r="T539" s="4"/>
      <c r="U539" s="4"/>
      <c r="V539" s="4"/>
      <c r="W539" s="4"/>
      <c r="X539" s="4"/>
      <c r="Y539" s="4"/>
      <c r="Z539" s="4"/>
      <c r="AA539" s="37"/>
      <c r="AB539" s="4"/>
      <c r="AC539" s="4"/>
      <c r="AD539" s="4"/>
      <c r="AE539" s="4"/>
      <c r="AF539" s="4"/>
    </row>
    <row r="540" spans="1:32" x14ac:dyDescent="0.25">
      <c r="A540" s="4" t="str">
        <f t="shared" si="60"/>
        <v>'',</v>
      </c>
      <c r="B540" s="4" t="str">
        <f t="shared" si="61"/>
        <v>'',</v>
      </c>
      <c r="C540" s="15"/>
      <c r="D540" s="5"/>
      <c r="E540" s="5"/>
      <c r="F540" s="5"/>
      <c r="G540" s="29"/>
      <c r="H540" s="5"/>
      <c r="I540" s="22"/>
      <c r="J540" s="16"/>
      <c r="K540" s="25"/>
      <c r="L540" s="16"/>
      <c r="M540" s="16" t="str">
        <f t="shared" si="58"/>
        <v/>
      </c>
      <c r="N540" s="16" t="str">
        <f t="shared" si="59"/>
        <v/>
      </c>
      <c r="O540" s="7" t="str">
        <f t="shared" si="62"/>
        <v/>
      </c>
      <c r="P540" s="7" t="str">
        <f t="shared" si="63"/>
        <v/>
      </c>
      <c r="Q540" s="7"/>
      <c r="R540" s="7"/>
      <c r="S540" s="16"/>
      <c r="T540" s="4"/>
      <c r="U540" s="4"/>
      <c r="V540" s="4"/>
      <c r="W540" s="4"/>
      <c r="X540" s="4"/>
      <c r="Y540" s="4"/>
      <c r="Z540" s="4"/>
      <c r="AA540" s="37"/>
      <c r="AB540" s="4"/>
      <c r="AC540" s="4"/>
      <c r="AD540" s="4"/>
      <c r="AE540" s="4"/>
      <c r="AF540" s="4"/>
    </row>
    <row r="541" spans="1:32" x14ac:dyDescent="0.25">
      <c r="A541" s="4" t="str">
        <f t="shared" si="60"/>
        <v>'',</v>
      </c>
      <c r="B541" s="4" t="str">
        <f t="shared" si="61"/>
        <v>'',</v>
      </c>
      <c r="C541" s="15"/>
      <c r="D541" s="5"/>
      <c r="E541" s="5"/>
      <c r="F541" s="5"/>
      <c r="G541" s="29"/>
      <c r="H541" s="5"/>
      <c r="I541" s="22"/>
      <c r="J541" s="16"/>
      <c r="K541" s="25"/>
      <c r="L541" s="16"/>
      <c r="M541" s="16" t="str">
        <f t="shared" si="58"/>
        <v/>
      </c>
      <c r="N541" s="16" t="str">
        <f t="shared" si="59"/>
        <v/>
      </c>
      <c r="O541" s="7" t="str">
        <f t="shared" si="62"/>
        <v/>
      </c>
      <c r="P541" s="7" t="str">
        <f t="shared" si="63"/>
        <v/>
      </c>
      <c r="Q541" s="7"/>
      <c r="R541" s="7"/>
      <c r="S541" s="16"/>
      <c r="T541" s="4"/>
      <c r="U541" s="4"/>
      <c r="V541" s="4"/>
      <c r="W541" s="4"/>
      <c r="X541" s="4"/>
      <c r="Y541" s="4"/>
      <c r="Z541" s="4"/>
      <c r="AA541" s="37"/>
      <c r="AB541" s="4"/>
      <c r="AC541" s="4"/>
      <c r="AD541" s="4"/>
      <c r="AE541" s="4"/>
      <c r="AF541" s="4"/>
    </row>
    <row r="542" spans="1:32" x14ac:dyDescent="0.25">
      <c r="A542" s="4" t="str">
        <f t="shared" si="60"/>
        <v>'',</v>
      </c>
      <c r="B542" s="4" t="str">
        <f t="shared" si="61"/>
        <v>'',</v>
      </c>
      <c r="C542" s="15"/>
      <c r="D542" s="5"/>
      <c r="E542" s="5"/>
      <c r="F542" s="5"/>
      <c r="G542" s="29"/>
      <c r="H542" s="5"/>
      <c r="I542" s="22"/>
      <c r="J542" s="16"/>
      <c r="K542" s="25"/>
      <c r="L542" s="16"/>
      <c r="M542" s="16" t="str">
        <f t="shared" si="58"/>
        <v/>
      </c>
      <c r="N542" s="16" t="str">
        <f t="shared" si="59"/>
        <v/>
      </c>
      <c r="O542" s="7" t="str">
        <f t="shared" si="62"/>
        <v/>
      </c>
      <c r="P542" s="7" t="str">
        <f t="shared" si="63"/>
        <v/>
      </c>
      <c r="Q542" s="7"/>
      <c r="R542" s="7"/>
      <c r="S542" s="16"/>
      <c r="T542" s="4"/>
      <c r="U542" s="4"/>
      <c r="V542" s="4"/>
      <c r="W542" s="4"/>
      <c r="X542" s="4"/>
      <c r="Y542" s="4"/>
      <c r="Z542" s="4"/>
      <c r="AA542" s="37"/>
      <c r="AB542" s="4"/>
      <c r="AC542" s="4"/>
      <c r="AD542" s="4"/>
      <c r="AE542" s="4"/>
      <c r="AF542" s="4"/>
    </row>
    <row r="543" spans="1:32" x14ac:dyDescent="0.25">
      <c r="A543" s="4" t="str">
        <f t="shared" si="60"/>
        <v>'',</v>
      </c>
      <c r="B543" s="4" t="str">
        <f t="shared" si="61"/>
        <v>'',</v>
      </c>
      <c r="C543" s="15"/>
      <c r="D543" s="5"/>
      <c r="E543" s="5"/>
      <c r="F543" s="5"/>
      <c r="G543" s="29"/>
      <c r="H543" s="5"/>
      <c r="I543" s="22"/>
      <c r="J543" s="16"/>
      <c r="K543" s="25"/>
      <c r="L543" s="16"/>
      <c r="M543" s="16" t="str">
        <f t="shared" ref="M543:M606" si="64">IF($L543&lt;&gt;"",IF($L543="清除單筆同步失敗註記","UPDATE CIFX.TB_SERVICE_EXECUTION_CONTROL SET EXECUTION_STATE = "&amp;"'"&amp;"EXECUTED"&amp;"'"&amp;", ap_server_EXECUTING = NULL WHERE SERVICE_EXECUTION_CONTROL_ID IN ("&amp;"'"&amp;$Y543&amp;"'"&amp;") and execution_type = "&amp;"'"&amp;"STAGE1_EXECUTION"&amp;"';"&amp;"",IF($L543="重送單筆CIP電文","UPDATE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("&amp;"'"&amp;$Y543&amp;"'"&amp;") AND EXECUTION_TYPE = "&amp;"'"&amp;"STAGE1_EXECUTION"&amp;"'"&amp;";",IF($L543="清除顧客下同步任務","update cifx.tb_service_execution_control sec set sec.EXECUTION_STATE = "&amp;"'"&amp;"EXECUTED"&amp;"'"&amp;"  where sec.circi_key ="&amp;"'"&amp;AA543&amp;"';",IF($L543="重送顧客下特定同步任務","update cifx.tb_service_execution_control sec set sec.EXECUTION_STATE = "&amp;"'"&amp;"TO_EXECUTE"&amp;"'"&amp;"  where sec.SERVICE_EXECUTION_CONTROL_ID IN ();","沒有對應")))),"")</f>
        <v/>
      </c>
      <c r="N543" s="16" t="str">
        <f t="shared" ref="N543:N606" si="65">IF($L543&lt;&gt;"",IF($L543&lt;&gt;"清除顧客下同步任務","SELECT EXECUTION_TYPE,SERVICE_INTERCHANGE_ID,CIRCI_KEY,EXECUTION_STATE FROM CIFX.TB_SERVICE_EXECUTION_CONTROL WHERE SERVICE_EXECUTION_CONTROL_ID IN ("&amp;"'"&amp;$Y543&amp;"'"&amp;") AND EXECUTION_TYPE = "&amp;"'"&amp;"STAGE1_EXECUTION"&amp;"'"&amp;";","SELECT EXECUTION_TYPE,SERVICE_INTERCHANGE_ID,CIRCI_KEY,EXECUTION_STATE FROM CIFX.TB_SERVICE_EXECUTION_CONTROL SEC   where sec.circi_key ="&amp;"'"&amp;AA543&amp;"'order by req_timestamp desc ;"),"")</f>
        <v/>
      </c>
      <c r="O543" s="7" t="str">
        <f t="shared" si="62"/>
        <v/>
      </c>
      <c r="P543" s="7" t="str">
        <f t="shared" si="63"/>
        <v/>
      </c>
      <c r="Q543" s="7"/>
      <c r="R543" s="7"/>
      <c r="S543" s="16"/>
      <c r="T543" s="4"/>
      <c r="U543" s="4"/>
      <c r="V543" s="4"/>
      <c r="W543" s="4"/>
      <c r="X543" s="4"/>
      <c r="Y543" s="4"/>
      <c r="Z543" s="4"/>
      <c r="AA543" s="37"/>
      <c r="AB543" s="4"/>
      <c r="AC543" s="4"/>
      <c r="AD543" s="4"/>
      <c r="AE543" s="4"/>
      <c r="AF543" s="4"/>
    </row>
    <row r="544" spans="1:32" x14ac:dyDescent="0.25">
      <c r="A544" s="4" t="str">
        <f t="shared" si="60"/>
        <v>'',</v>
      </c>
      <c r="B544" s="4" t="str">
        <f t="shared" si="61"/>
        <v>'',</v>
      </c>
      <c r="C544" s="15"/>
      <c r="D544" s="5"/>
      <c r="E544" s="5"/>
      <c r="F544" s="5"/>
      <c r="G544" s="29"/>
      <c r="H544" s="5"/>
      <c r="I544" s="22"/>
      <c r="J544" s="16"/>
      <c r="K544" s="25"/>
      <c r="L544" s="16"/>
      <c r="M544" s="16" t="str">
        <f t="shared" si="64"/>
        <v/>
      </c>
      <c r="N544" s="16" t="str">
        <f t="shared" si="65"/>
        <v/>
      </c>
      <c r="O544" s="7" t="str">
        <f t="shared" si="62"/>
        <v/>
      </c>
      <c r="P544" s="7" t="str">
        <f t="shared" si="63"/>
        <v/>
      </c>
      <c r="Q544" s="7"/>
      <c r="R544" s="7"/>
      <c r="S544" s="16"/>
      <c r="T544" s="4"/>
      <c r="U544" s="4"/>
      <c r="V544" s="4"/>
      <c r="W544" s="4"/>
      <c r="X544" s="4"/>
      <c r="Y544" s="4"/>
      <c r="Z544" s="4"/>
      <c r="AA544" s="37"/>
      <c r="AB544" s="4"/>
      <c r="AC544" s="4"/>
      <c r="AD544" s="4"/>
      <c r="AE544" s="4"/>
      <c r="AF544" s="4"/>
    </row>
    <row r="545" spans="1:32" x14ac:dyDescent="0.25">
      <c r="A545" s="4" t="str">
        <f t="shared" si="60"/>
        <v>'',</v>
      </c>
      <c r="B545" s="4" t="str">
        <f t="shared" si="61"/>
        <v>'',</v>
      </c>
      <c r="C545" s="15"/>
      <c r="D545" s="5"/>
      <c r="E545" s="5"/>
      <c r="F545" s="5"/>
      <c r="G545" s="29"/>
      <c r="H545" s="5"/>
      <c r="I545" s="22"/>
      <c r="J545" s="16"/>
      <c r="K545" s="25"/>
      <c r="L545" s="16"/>
      <c r="M545" s="16" t="str">
        <f t="shared" si="64"/>
        <v/>
      </c>
      <c r="N545" s="16" t="str">
        <f t="shared" si="65"/>
        <v/>
      </c>
      <c r="O545" s="7" t="str">
        <f t="shared" si="62"/>
        <v/>
      </c>
      <c r="P545" s="7" t="str">
        <f t="shared" si="63"/>
        <v/>
      </c>
      <c r="Q545" s="7"/>
      <c r="R545" s="7"/>
      <c r="S545" s="16"/>
      <c r="T545" s="4"/>
      <c r="U545" s="4"/>
      <c r="V545" s="4"/>
      <c r="W545" s="4"/>
      <c r="X545" s="4"/>
      <c r="Y545" s="4"/>
      <c r="Z545" s="4"/>
      <c r="AA545" s="37"/>
      <c r="AB545" s="4"/>
      <c r="AC545" s="4"/>
      <c r="AD545" s="4"/>
      <c r="AE545" s="4"/>
      <c r="AF545" s="4"/>
    </row>
    <row r="546" spans="1:32" x14ac:dyDescent="0.25">
      <c r="A546" s="4" t="str">
        <f t="shared" si="60"/>
        <v>'',</v>
      </c>
      <c r="B546" s="4" t="str">
        <f t="shared" si="61"/>
        <v>'',</v>
      </c>
      <c r="C546" s="15"/>
      <c r="D546" s="5"/>
      <c r="E546" s="5"/>
      <c r="F546" s="5"/>
      <c r="G546" s="29"/>
      <c r="H546" s="5"/>
      <c r="I546" s="22"/>
      <c r="J546" s="16"/>
      <c r="K546" s="25"/>
      <c r="L546" s="16"/>
      <c r="M546" s="16" t="str">
        <f t="shared" si="64"/>
        <v/>
      </c>
      <c r="N546" s="16" t="str">
        <f t="shared" si="65"/>
        <v/>
      </c>
      <c r="O546" s="7" t="str">
        <f t="shared" si="62"/>
        <v/>
      </c>
      <c r="P546" s="7" t="str">
        <f t="shared" si="63"/>
        <v/>
      </c>
      <c r="Q546" s="7"/>
      <c r="R546" s="7"/>
      <c r="S546" s="16"/>
      <c r="T546" s="4"/>
      <c r="U546" s="4"/>
      <c r="V546" s="4"/>
      <c r="W546" s="4"/>
      <c r="X546" s="4"/>
      <c r="Y546" s="4"/>
      <c r="Z546" s="4"/>
      <c r="AA546" s="37"/>
      <c r="AB546" s="4"/>
      <c r="AC546" s="4"/>
      <c r="AD546" s="4"/>
      <c r="AE546" s="4"/>
      <c r="AF546" s="4"/>
    </row>
    <row r="547" spans="1:32" x14ac:dyDescent="0.25">
      <c r="A547" s="4" t="str">
        <f t="shared" si="60"/>
        <v>'',</v>
      </c>
      <c r="B547" s="4" t="str">
        <f t="shared" si="61"/>
        <v>'',</v>
      </c>
      <c r="C547" s="15"/>
      <c r="D547" s="5"/>
      <c r="E547" s="5"/>
      <c r="F547" s="5"/>
      <c r="G547" s="29"/>
      <c r="H547" s="5"/>
      <c r="I547" s="22"/>
      <c r="J547" s="16"/>
      <c r="K547" s="25"/>
      <c r="L547" s="16"/>
      <c r="M547" s="16" t="str">
        <f t="shared" si="64"/>
        <v/>
      </c>
      <c r="N547" s="16" t="str">
        <f t="shared" si="65"/>
        <v/>
      </c>
      <c r="O547" s="7" t="str">
        <f t="shared" si="62"/>
        <v/>
      </c>
      <c r="P547" s="7" t="str">
        <f t="shared" si="63"/>
        <v/>
      </c>
      <c r="Q547" s="7"/>
      <c r="R547" s="7"/>
      <c r="S547" s="16"/>
      <c r="T547" s="4"/>
      <c r="U547" s="4"/>
      <c r="V547" s="4"/>
      <c r="W547" s="4"/>
      <c r="X547" s="4"/>
      <c r="Y547" s="4"/>
      <c r="Z547" s="4"/>
      <c r="AA547" s="37"/>
      <c r="AB547" s="4"/>
      <c r="AC547" s="4"/>
      <c r="AD547" s="4"/>
      <c r="AE547" s="4"/>
      <c r="AF547" s="4"/>
    </row>
    <row r="548" spans="1:32" x14ac:dyDescent="0.25">
      <c r="A548" s="4" t="str">
        <f t="shared" si="60"/>
        <v>'',</v>
      </c>
      <c r="B548" s="4" t="str">
        <f t="shared" si="61"/>
        <v>'',</v>
      </c>
      <c r="C548" s="15"/>
      <c r="D548" s="5"/>
      <c r="E548" s="5"/>
      <c r="F548" s="5"/>
      <c r="G548" s="29"/>
      <c r="H548" s="5"/>
      <c r="I548" s="22"/>
      <c r="J548" s="16"/>
      <c r="K548" s="25"/>
      <c r="L548" s="16"/>
      <c r="M548" s="16" t="str">
        <f t="shared" si="64"/>
        <v/>
      </c>
      <c r="N548" s="16" t="str">
        <f t="shared" si="65"/>
        <v/>
      </c>
      <c r="O548" s="7" t="str">
        <f t="shared" si="62"/>
        <v/>
      </c>
      <c r="P548" s="7" t="str">
        <f t="shared" si="63"/>
        <v/>
      </c>
      <c r="Q548" s="7"/>
      <c r="R548" s="7"/>
      <c r="S548" s="16"/>
      <c r="T548" s="4"/>
      <c r="U548" s="4"/>
      <c r="V548" s="4"/>
      <c r="W548" s="4"/>
      <c r="X548" s="4"/>
      <c r="Y548" s="4"/>
      <c r="Z548" s="4"/>
      <c r="AA548" s="37"/>
      <c r="AB548" s="4"/>
      <c r="AC548" s="4"/>
      <c r="AD548" s="4"/>
      <c r="AE548" s="4"/>
      <c r="AF548" s="4"/>
    </row>
    <row r="549" spans="1:32" x14ac:dyDescent="0.25">
      <c r="A549" s="4" t="str">
        <f t="shared" si="60"/>
        <v>'',</v>
      </c>
      <c r="B549" s="4" t="str">
        <f t="shared" si="61"/>
        <v>'',</v>
      </c>
      <c r="C549" s="15"/>
      <c r="D549" s="5"/>
      <c r="E549" s="5"/>
      <c r="F549" s="5"/>
      <c r="G549" s="29"/>
      <c r="H549" s="5"/>
      <c r="I549" s="22"/>
      <c r="J549" s="16"/>
      <c r="K549" s="25"/>
      <c r="L549" s="16"/>
      <c r="M549" s="16" t="str">
        <f t="shared" si="64"/>
        <v/>
      </c>
      <c r="N549" s="16" t="str">
        <f t="shared" si="65"/>
        <v/>
      </c>
      <c r="O549" s="7" t="str">
        <f t="shared" si="62"/>
        <v/>
      </c>
      <c r="P549" s="7" t="str">
        <f t="shared" si="63"/>
        <v/>
      </c>
      <c r="Q549" s="7"/>
      <c r="R549" s="7"/>
      <c r="S549" s="16"/>
      <c r="T549" s="4"/>
      <c r="U549" s="4"/>
      <c r="V549" s="4"/>
      <c r="W549" s="4"/>
      <c r="X549" s="4"/>
      <c r="Y549" s="4"/>
      <c r="Z549" s="4"/>
      <c r="AA549" s="37"/>
      <c r="AB549" s="4"/>
      <c r="AC549" s="4"/>
      <c r="AD549" s="4"/>
      <c r="AE549" s="4"/>
      <c r="AF549" s="4"/>
    </row>
    <row r="550" spans="1:32" x14ac:dyDescent="0.25">
      <c r="A550" s="4" t="str">
        <f t="shared" si="60"/>
        <v>'',</v>
      </c>
      <c r="B550" s="4" t="str">
        <f t="shared" si="61"/>
        <v>'',</v>
      </c>
      <c r="C550" s="15"/>
      <c r="D550" s="5"/>
      <c r="E550" s="5"/>
      <c r="F550" s="5"/>
      <c r="G550" s="29"/>
      <c r="H550" s="5"/>
      <c r="I550" s="22"/>
      <c r="J550" s="16"/>
      <c r="K550" s="25"/>
      <c r="L550" s="16"/>
      <c r="M550" s="16" t="str">
        <f t="shared" si="64"/>
        <v/>
      </c>
      <c r="N550" s="16" t="str">
        <f t="shared" si="65"/>
        <v/>
      </c>
      <c r="O550" s="7" t="str">
        <f t="shared" si="62"/>
        <v/>
      </c>
      <c r="P550" s="7" t="str">
        <f t="shared" si="63"/>
        <v/>
      </c>
      <c r="Q550" s="7"/>
      <c r="R550" s="7"/>
      <c r="S550" s="16"/>
      <c r="T550" s="4"/>
      <c r="U550" s="4"/>
      <c r="V550" s="4"/>
      <c r="W550" s="4"/>
      <c r="X550" s="4"/>
      <c r="Y550" s="4"/>
      <c r="Z550" s="4"/>
      <c r="AA550" s="37"/>
      <c r="AB550" s="4"/>
      <c r="AC550" s="4"/>
      <c r="AD550" s="4"/>
      <c r="AE550" s="4"/>
      <c r="AF550" s="4"/>
    </row>
    <row r="551" spans="1:32" x14ac:dyDescent="0.25">
      <c r="A551" s="4" t="str">
        <f t="shared" si="60"/>
        <v>'',</v>
      </c>
      <c r="B551" s="4" t="str">
        <f t="shared" si="61"/>
        <v>'',</v>
      </c>
      <c r="C551" s="15"/>
      <c r="D551" s="5"/>
      <c r="E551" s="5"/>
      <c r="F551" s="5"/>
      <c r="G551" s="29"/>
      <c r="H551" s="5"/>
      <c r="I551" s="22"/>
      <c r="J551" s="16"/>
      <c r="K551" s="25"/>
      <c r="L551" s="16"/>
      <c r="M551" s="16" t="str">
        <f t="shared" si="64"/>
        <v/>
      </c>
      <c r="N551" s="16" t="str">
        <f t="shared" si="65"/>
        <v/>
      </c>
      <c r="O551" s="7" t="str">
        <f t="shared" si="62"/>
        <v/>
      </c>
      <c r="P551" s="7" t="str">
        <f t="shared" si="63"/>
        <v/>
      </c>
      <c r="Q551" s="7"/>
      <c r="R551" s="7"/>
      <c r="S551" s="16"/>
      <c r="T551" s="4"/>
      <c r="U551" s="4"/>
      <c r="V551" s="4"/>
      <c r="W551" s="4"/>
      <c r="X551" s="4"/>
      <c r="Y551" s="4"/>
      <c r="Z551" s="4"/>
      <c r="AA551" s="37"/>
      <c r="AB551" s="4"/>
      <c r="AC551" s="4"/>
      <c r="AD551" s="4"/>
      <c r="AE551" s="4"/>
      <c r="AF551" s="4"/>
    </row>
    <row r="552" spans="1:32" x14ac:dyDescent="0.25">
      <c r="A552" s="4" t="str">
        <f t="shared" si="60"/>
        <v>'',</v>
      </c>
      <c r="B552" s="4" t="str">
        <f t="shared" si="61"/>
        <v>'',</v>
      </c>
      <c r="C552" s="15"/>
      <c r="D552" s="5"/>
      <c r="E552" s="5"/>
      <c r="F552" s="5"/>
      <c r="G552" s="29"/>
      <c r="H552" s="5"/>
      <c r="I552" s="22"/>
      <c r="J552" s="16"/>
      <c r="K552" s="25"/>
      <c r="L552" s="16"/>
      <c r="M552" s="16" t="str">
        <f t="shared" si="64"/>
        <v/>
      </c>
      <c r="N552" s="16" t="str">
        <f t="shared" si="65"/>
        <v/>
      </c>
      <c r="O552" s="7" t="str">
        <f t="shared" si="62"/>
        <v/>
      </c>
      <c r="P552" s="7" t="str">
        <f t="shared" si="63"/>
        <v/>
      </c>
      <c r="Q552" s="7"/>
      <c r="R552" s="7"/>
      <c r="S552" s="16"/>
      <c r="T552" s="4"/>
      <c r="U552" s="4"/>
      <c r="V552" s="4"/>
      <c r="W552" s="4"/>
      <c r="X552" s="4"/>
      <c r="Y552" s="4"/>
      <c r="Z552" s="4"/>
      <c r="AA552" s="37"/>
      <c r="AB552" s="4"/>
      <c r="AC552" s="4"/>
      <c r="AD552" s="4"/>
      <c r="AE552" s="4"/>
      <c r="AF552" s="4"/>
    </row>
    <row r="553" spans="1:32" x14ac:dyDescent="0.25">
      <c r="A553" s="4" t="str">
        <f t="shared" si="60"/>
        <v>'',</v>
      </c>
      <c r="B553" s="4" t="str">
        <f t="shared" si="61"/>
        <v>'',</v>
      </c>
      <c r="C553" s="15"/>
      <c r="D553" s="5"/>
      <c r="E553" s="5"/>
      <c r="F553" s="5"/>
      <c r="G553" s="29"/>
      <c r="H553" s="5"/>
      <c r="I553" s="22"/>
      <c r="J553" s="16"/>
      <c r="K553" s="25"/>
      <c r="L553" s="16"/>
      <c r="M553" s="16" t="str">
        <f t="shared" si="64"/>
        <v/>
      </c>
      <c r="N553" s="16" t="str">
        <f t="shared" si="65"/>
        <v/>
      </c>
      <c r="O553" s="7" t="str">
        <f t="shared" si="62"/>
        <v/>
      </c>
      <c r="P553" s="7" t="str">
        <f t="shared" si="63"/>
        <v/>
      </c>
      <c r="Q553" s="7"/>
      <c r="R553" s="7"/>
      <c r="S553" s="16"/>
      <c r="T553" s="4"/>
      <c r="U553" s="4"/>
      <c r="V553" s="4"/>
      <c r="W553" s="4"/>
      <c r="X553" s="4"/>
      <c r="Y553" s="4"/>
      <c r="Z553" s="4"/>
      <c r="AA553" s="37"/>
      <c r="AB553" s="4"/>
      <c r="AC553" s="4"/>
      <c r="AD553" s="4"/>
      <c r="AE553" s="4"/>
      <c r="AF553" s="4"/>
    </row>
    <row r="554" spans="1:32" x14ac:dyDescent="0.25">
      <c r="A554" s="4" t="str">
        <f t="shared" si="60"/>
        <v>'',</v>
      </c>
      <c r="B554" s="4" t="str">
        <f t="shared" si="61"/>
        <v>'',</v>
      </c>
      <c r="C554" s="15"/>
      <c r="D554" s="5"/>
      <c r="E554" s="5"/>
      <c r="F554" s="5"/>
      <c r="G554" s="29"/>
      <c r="H554" s="5"/>
      <c r="I554" s="22"/>
      <c r="J554" s="16"/>
      <c r="K554" s="25"/>
      <c r="L554" s="16"/>
      <c r="M554" s="16" t="str">
        <f t="shared" si="64"/>
        <v/>
      </c>
      <c r="N554" s="16" t="str">
        <f t="shared" si="65"/>
        <v/>
      </c>
      <c r="O554" s="7" t="str">
        <f t="shared" si="62"/>
        <v/>
      </c>
      <c r="P554" s="7" t="str">
        <f t="shared" si="63"/>
        <v/>
      </c>
      <c r="Q554" s="7"/>
      <c r="R554" s="7"/>
      <c r="S554" s="16"/>
      <c r="T554" s="4"/>
      <c r="U554" s="4"/>
      <c r="V554" s="4"/>
      <c r="W554" s="4"/>
      <c r="X554" s="4"/>
      <c r="Y554" s="4"/>
      <c r="Z554" s="4"/>
      <c r="AA554" s="37"/>
      <c r="AB554" s="4"/>
      <c r="AC554" s="4"/>
      <c r="AD554" s="4"/>
      <c r="AE554" s="4"/>
      <c r="AF554" s="4"/>
    </row>
    <row r="555" spans="1:32" x14ac:dyDescent="0.25">
      <c r="A555" s="4" t="str">
        <f t="shared" si="60"/>
        <v>'',</v>
      </c>
      <c r="B555" s="4" t="str">
        <f t="shared" si="61"/>
        <v>'',</v>
      </c>
      <c r="C555" s="15"/>
      <c r="D555" s="5"/>
      <c r="E555" s="5"/>
      <c r="F555" s="5"/>
      <c r="G555" s="29"/>
      <c r="H555" s="5"/>
      <c r="I555" s="22"/>
      <c r="J555" s="16"/>
      <c r="K555" s="25"/>
      <c r="L555" s="16"/>
      <c r="M555" s="16" t="str">
        <f t="shared" si="64"/>
        <v/>
      </c>
      <c r="N555" s="16" t="str">
        <f t="shared" si="65"/>
        <v/>
      </c>
      <c r="O555" s="7" t="str">
        <f t="shared" si="62"/>
        <v/>
      </c>
      <c r="P555" s="7" t="str">
        <f t="shared" si="63"/>
        <v/>
      </c>
      <c r="Q555" s="7"/>
      <c r="R555" s="7"/>
      <c r="S555" s="16"/>
      <c r="T555" s="4"/>
      <c r="U555" s="4"/>
      <c r="V555" s="4"/>
      <c r="W555" s="4"/>
      <c r="X555" s="4"/>
      <c r="Y555" s="4"/>
      <c r="Z555" s="4"/>
      <c r="AA555" s="37"/>
      <c r="AB555" s="4"/>
      <c r="AC555" s="4"/>
      <c r="AD555" s="4"/>
      <c r="AE555" s="4"/>
      <c r="AF555" s="4"/>
    </row>
    <row r="556" spans="1:32" x14ac:dyDescent="0.25">
      <c r="A556" s="4" t="str">
        <f t="shared" si="60"/>
        <v>'',</v>
      </c>
      <c r="B556" s="4" t="str">
        <f t="shared" si="61"/>
        <v>'',</v>
      </c>
      <c r="C556" s="15"/>
      <c r="D556" s="5"/>
      <c r="E556" s="5"/>
      <c r="F556" s="5"/>
      <c r="G556" s="29"/>
      <c r="H556" s="5"/>
      <c r="I556" s="22"/>
      <c r="J556" s="16"/>
      <c r="K556" s="25"/>
      <c r="L556" s="16"/>
      <c r="M556" s="16" t="str">
        <f t="shared" si="64"/>
        <v/>
      </c>
      <c r="N556" s="16" t="str">
        <f t="shared" si="65"/>
        <v/>
      </c>
      <c r="O556" s="7" t="str">
        <f t="shared" si="62"/>
        <v/>
      </c>
      <c r="P556" s="7" t="str">
        <f t="shared" si="63"/>
        <v/>
      </c>
      <c r="Q556" s="7"/>
      <c r="R556" s="7"/>
      <c r="S556" s="16"/>
      <c r="T556" s="4"/>
      <c r="U556" s="4"/>
      <c r="V556" s="4"/>
      <c r="W556" s="4"/>
      <c r="X556" s="4"/>
      <c r="Y556" s="4"/>
      <c r="Z556" s="4"/>
      <c r="AA556" s="37"/>
      <c r="AB556" s="4"/>
      <c r="AC556" s="4"/>
      <c r="AD556" s="4"/>
      <c r="AE556" s="4"/>
      <c r="AF556" s="4"/>
    </row>
    <row r="557" spans="1:32" x14ac:dyDescent="0.25">
      <c r="A557" s="4" t="str">
        <f t="shared" si="60"/>
        <v>'',</v>
      </c>
      <c r="B557" s="4" t="str">
        <f t="shared" si="61"/>
        <v>'',</v>
      </c>
      <c r="C557" s="15"/>
      <c r="D557" s="5"/>
      <c r="E557" s="5"/>
      <c r="F557" s="5"/>
      <c r="G557" s="29"/>
      <c r="H557" s="5"/>
      <c r="I557" s="22"/>
      <c r="J557" s="16"/>
      <c r="K557" s="25"/>
      <c r="L557" s="16"/>
      <c r="M557" s="16" t="str">
        <f t="shared" si="64"/>
        <v/>
      </c>
      <c r="N557" s="16" t="str">
        <f t="shared" si="65"/>
        <v/>
      </c>
      <c r="O557" s="7" t="str">
        <f t="shared" si="62"/>
        <v/>
      </c>
      <c r="P557" s="7" t="str">
        <f t="shared" si="63"/>
        <v/>
      </c>
      <c r="Q557" s="7"/>
      <c r="R557" s="7"/>
      <c r="S557" s="16"/>
      <c r="T557" s="4"/>
      <c r="U557" s="4"/>
      <c r="V557" s="4"/>
      <c r="W557" s="4"/>
      <c r="X557" s="4"/>
      <c r="Y557" s="4"/>
      <c r="Z557" s="4"/>
      <c r="AA557" s="37"/>
      <c r="AB557" s="4"/>
      <c r="AC557" s="4"/>
      <c r="AD557" s="4"/>
      <c r="AE557" s="4"/>
      <c r="AF557" s="4"/>
    </row>
    <row r="558" spans="1:32" x14ac:dyDescent="0.25">
      <c r="A558" s="4" t="str">
        <f t="shared" si="60"/>
        <v>'',</v>
      </c>
      <c r="B558" s="4" t="str">
        <f t="shared" si="61"/>
        <v>'',</v>
      </c>
      <c r="C558" s="15"/>
      <c r="D558" s="5"/>
      <c r="E558" s="5"/>
      <c r="F558" s="5"/>
      <c r="G558" s="29"/>
      <c r="H558" s="5"/>
      <c r="I558" s="22"/>
      <c r="J558" s="16"/>
      <c r="K558" s="25"/>
      <c r="L558" s="16"/>
      <c r="M558" s="16" t="str">
        <f t="shared" si="64"/>
        <v/>
      </c>
      <c r="N558" s="16" t="str">
        <f t="shared" si="65"/>
        <v/>
      </c>
      <c r="O558" s="7" t="str">
        <f t="shared" si="62"/>
        <v/>
      </c>
      <c r="P558" s="7" t="str">
        <f t="shared" si="63"/>
        <v/>
      </c>
      <c r="Q558" s="7"/>
      <c r="R558" s="7"/>
      <c r="S558" s="16"/>
      <c r="T558" s="4"/>
      <c r="U558" s="4"/>
      <c r="V558" s="4"/>
      <c r="W558" s="4"/>
      <c r="X558" s="4"/>
      <c r="Y558" s="4"/>
      <c r="Z558" s="4"/>
      <c r="AA558" s="37"/>
      <c r="AB558" s="4"/>
      <c r="AC558" s="4"/>
      <c r="AD558" s="4"/>
      <c r="AE558" s="4"/>
      <c r="AF558" s="4"/>
    </row>
    <row r="559" spans="1:32" x14ac:dyDescent="0.25">
      <c r="A559" s="4" t="str">
        <f t="shared" si="60"/>
        <v>'',</v>
      </c>
      <c r="B559" s="4" t="str">
        <f t="shared" si="61"/>
        <v>'',</v>
      </c>
      <c r="C559" s="15"/>
      <c r="D559" s="5"/>
      <c r="E559" s="5"/>
      <c r="F559" s="5"/>
      <c r="G559" s="29"/>
      <c r="H559" s="5"/>
      <c r="I559" s="22"/>
      <c r="J559" s="16"/>
      <c r="K559" s="25"/>
      <c r="L559" s="16"/>
      <c r="M559" s="16" t="str">
        <f t="shared" si="64"/>
        <v/>
      </c>
      <c r="N559" s="16" t="str">
        <f t="shared" si="65"/>
        <v/>
      </c>
      <c r="O559" s="7" t="str">
        <f t="shared" si="62"/>
        <v/>
      </c>
      <c r="P559" s="7" t="str">
        <f t="shared" si="63"/>
        <v/>
      </c>
      <c r="Q559" s="7"/>
      <c r="R559" s="7"/>
      <c r="S559" s="16"/>
      <c r="T559" s="4"/>
      <c r="U559" s="4"/>
      <c r="V559" s="4"/>
      <c r="W559" s="4"/>
      <c r="X559" s="4"/>
      <c r="Y559" s="4"/>
      <c r="Z559" s="4"/>
      <c r="AA559" s="37"/>
      <c r="AB559" s="4"/>
      <c r="AC559" s="4"/>
      <c r="AD559" s="4"/>
      <c r="AE559" s="4"/>
      <c r="AF559" s="4"/>
    </row>
    <row r="560" spans="1:32" x14ac:dyDescent="0.25">
      <c r="A560" s="4" t="str">
        <f t="shared" si="60"/>
        <v>'',</v>
      </c>
      <c r="B560" s="4" t="str">
        <f t="shared" si="61"/>
        <v>'',</v>
      </c>
      <c r="C560" s="15"/>
      <c r="D560" s="5"/>
      <c r="E560" s="5"/>
      <c r="F560" s="5"/>
      <c r="G560" s="29"/>
      <c r="H560" s="5"/>
      <c r="I560" s="22"/>
      <c r="J560" s="16"/>
      <c r="K560" s="25"/>
      <c r="L560" s="16"/>
      <c r="M560" s="16" t="str">
        <f t="shared" si="64"/>
        <v/>
      </c>
      <c r="N560" s="16" t="str">
        <f t="shared" si="65"/>
        <v/>
      </c>
      <c r="O560" s="7" t="str">
        <f t="shared" si="62"/>
        <v/>
      </c>
      <c r="P560" s="7" t="str">
        <f t="shared" si="63"/>
        <v/>
      </c>
      <c r="Q560" s="7"/>
      <c r="R560" s="7"/>
      <c r="S560" s="16"/>
      <c r="T560" s="4"/>
      <c r="U560" s="4"/>
      <c r="V560" s="4"/>
      <c r="W560" s="4"/>
      <c r="X560" s="4"/>
      <c r="Y560" s="4"/>
      <c r="Z560" s="4"/>
      <c r="AA560" s="37"/>
      <c r="AB560" s="4"/>
      <c r="AC560" s="4"/>
      <c r="AD560" s="4"/>
      <c r="AE560" s="4"/>
      <c r="AF560" s="4"/>
    </row>
    <row r="561" spans="1:32" x14ac:dyDescent="0.25">
      <c r="A561" s="4" t="str">
        <f t="shared" si="60"/>
        <v>'',</v>
      </c>
      <c r="B561" s="4" t="str">
        <f t="shared" si="61"/>
        <v>'',</v>
      </c>
      <c r="C561" s="15"/>
      <c r="D561" s="5"/>
      <c r="E561" s="5"/>
      <c r="F561" s="5"/>
      <c r="G561" s="29"/>
      <c r="H561" s="5"/>
      <c r="I561" s="22"/>
      <c r="J561" s="16"/>
      <c r="K561" s="25"/>
      <c r="L561" s="16"/>
      <c r="M561" s="16" t="str">
        <f t="shared" si="64"/>
        <v/>
      </c>
      <c r="N561" s="16" t="str">
        <f t="shared" si="65"/>
        <v/>
      </c>
      <c r="O561" s="7" t="str">
        <f t="shared" si="62"/>
        <v/>
      </c>
      <c r="P561" s="7" t="str">
        <f t="shared" si="63"/>
        <v/>
      </c>
      <c r="Q561" s="7"/>
      <c r="R561" s="7"/>
      <c r="S561" s="16"/>
      <c r="T561" s="4"/>
      <c r="U561" s="4"/>
      <c r="V561" s="4"/>
      <c r="W561" s="4"/>
      <c r="X561" s="4"/>
      <c r="Y561" s="4"/>
      <c r="Z561" s="4"/>
      <c r="AA561" s="37"/>
      <c r="AB561" s="4"/>
      <c r="AC561" s="4"/>
      <c r="AD561" s="4"/>
      <c r="AE561" s="4"/>
      <c r="AF561" s="4"/>
    </row>
    <row r="562" spans="1:32" x14ac:dyDescent="0.25">
      <c r="A562" s="4" t="str">
        <f t="shared" si="60"/>
        <v>'',</v>
      </c>
      <c r="B562" s="4" t="str">
        <f t="shared" si="61"/>
        <v>'',</v>
      </c>
      <c r="C562" s="15"/>
      <c r="D562" s="5"/>
      <c r="E562" s="5"/>
      <c r="F562" s="5"/>
      <c r="G562" s="29"/>
      <c r="H562" s="5"/>
      <c r="I562" s="22"/>
      <c r="J562" s="16"/>
      <c r="K562" s="25"/>
      <c r="L562" s="16"/>
      <c r="M562" s="16" t="str">
        <f t="shared" si="64"/>
        <v/>
      </c>
      <c r="N562" s="16" t="str">
        <f t="shared" si="65"/>
        <v/>
      </c>
      <c r="O562" s="7" t="str">
        <f t="shared" si="62"/>
        <v/>
      </c>
      <c r="P562" s="7" t="str">
        <f t="shared" si="63"/>
        <v/>
      </c>
      <c r="Q562" s="7"/>
      <c r="R562" s="7"/>
      <c r="S562" s="16"/>
      <c r="T562" s="4"/>
      <c r="U562" s="4"/>
      <c r="V562" s="4"/>
      <c r="W562" s="4"/>
      <c r="X562" s="4"/>
      <c r="Y562" s="4"/>
      <c r="Z562" s="4"/>
      <c r="AA562" s="37"/>
      <c r="AB562" s="4"/>
      <c r="AC562" s="4"/>
      <c r="AD562" s="4"/>
      <c r="AE562" s="4"/>
      <c r="AF562" s="4"/>
    </row>
    <row r="563" spans="1:32" x14ac:dyDescent="0.25">
      <c r="A563" s="4" t="str">
        <f t="shared" si="60"/>
        <v>'',</v>
      </c>
      <c r="B563" s="4" t="str">
        <f t="shared" si="61"/>
        <v>'',</v>
      </c>
      <c r="C563" s="15"/>
      <c r="D563" s="5"/>
      <c r="E563" s="5"/>
      <c r="F563" s="5"/>
      <c r="G563" s="29"/>
      <c r="H563" s="5"/>
      <c r="I563" s="22"/>
      <c r="J563" s="16"/>
      <c r="K563" s="25"/>
      <c r="L563" s="16"/>
      <c r="M563" s="16" t="str">
        <f t="shared" si="64"/>
        <v/>
      </c>
      <c r="N563" s="16" t="str">
        <f t="shared" si="65"/>
        <v/>
      </c>
      <c r="O563" s="7" t="str">
        <f t="shared" si="62"/>
        <v/>
      </c>
      <c r="P563" s="7" t="str">
        <f t="shared" si="63"/>
        <v/>
      </c>
      <c r="Q563" s="7"/>
      <c r="R563" s="7"/>
      <c r="S563" s="16"/>
      <c r="T563" s="4"/>
      <c r="U563" s="4"/>
      <c r="V563" s="4"/>
      <c r="W563" s="4"/>
      <c r="X563" s="4"/>
      <c r="Y563" s="4"/>
      <c r="Z563" s="4"/>
      <c r="AA563" s="37"/>
      <c r="AB563" s="4"/>
      <c r="AC563" s="4"/>
      <c r="AD563" s="4"/>
      <c r="AE563" s="4"/>
      <c r="AF563" s="4"/>
    </row>
    <row r="564" spans="1:32" x14ac:dyDescent="0.25">
      <c r="A564" s="4" t="str">
        <f t="shared" si="60"/>
        <v>'',</v>
      </c>
      <c r="B564" s="4" t="str">
        <f t="shared" si="61"/>
        <v>'',</v>
      </c>
      <c r="C564" s="15"/>
      <c r="D564" s="5"/>
      <c r="E564" s="5"/>
      <c r="F564" s="5"/>
      <c r="G564" s="29"/>
      <c r="H564" s="5"/>
      <c r="I564" s="22"/>
      <c r="J564" s="16"/>
      <c r="K564" s="25"/>
      <c r="L564" s="16"/>
      <c r="M564" s="16" t="str">
        <f t="shared" si="64"/>
        <v/>
      </c>
      <c r="N564" s="16" t="str">
        <f t="shared" si="65"/>
        <v/>
      </c>
      <c r="O564" s="7" t="str">
        <f t="shared" si="62"/>
        <v/>
      </c>
      <c r="P564" s="7" t="str">
        <f t="shared" si="63"/>
        <v/>
      </c>
      <c r="Q564" s="7"/>
      <c r="R564" s="7"/>
      <c r="S564" s="16"/>
      <c r="T564" s="4"/>
      <c r="U564" s="4"/>
      <c r="V564" s="4"/>
      <c r="W564" s="4"/>
      <c r="X564" s="4"/>
      <c r="Y564" s="4"/>
      <c r="Z564" s="4"/>
      <c r="AA564" s="37"/>
      <c r="AB564" s="4"/>
      <c r="AC564" s="4"/>
      <c r="AD564" s="4"/>
      <c r="AE564" s="4"/>
      <c r="AF564" s="4"/>
    </row>
    <row r="565" spans="1:32" x14ac:dyDescent="0.25">
      <c r="A565" s="4" t="str">
        <f t="shared" si="60"/>
        <v>'',</v>
      </c>
      <c r="B565" s="4" t="str">
        <f t="shared" si="61"/>
        <v>'',</v>
      </c>
      <c r="C565" s="15"/>
      <c r="D565" s="5"/>
      <c r="E565" s="5"/>
      <c r="F565" s="5"/>
      <c r="G565" s="29"/>
      <c r="H565" s="5"/>
      <c r="I565" s="22"/>
      <c r="J565" s="16"/>
      <c r="K565" s="25"/>
      <c r="L565" s="16"/>
      <c r="M565" s="16" t="str">
        <f t="shared" si="64"/>
        <v/>
      </c>
      <c r="N565" s="16" t="str">
        <f t="shared" si="65"/>
        <v/>
      </c>
      <c r="O565" s="7" t="str">
        <f t="shared" si="62"/>
        <v/>
      </c>
      <c r="P565" s="7" t="str">
        <f t="shared" si="63"/>
        <v/>
      </c>
      <c r="Q565" s="7"/>
      <c r="R565" s="7"/>
      <c r="S565" s="16"/>
      <c r="T565" s="4"/>
      <c r="U565" s="4"/>
      <c r="V565" s="4"/>
      <c r="W565" s="4"/>
      <c r="X565" s="4"/>
      <c r="Y565" s="4"/>
      <c r="Z565" s="4"/>
      <c r="AA565" s="37"/>
      <c r="AB565" s="4"/>
      <c r="AC565" s="4"/>
      <c r="AD565" s="4"/>
      <c r="AE565" s="4"/>
      <c r="AF565" s="4"/>
    </row>
    <row r="566" spans="1:32" x14ac:dyDescent="0.25">
      <c r="A566" s="4" t="str">
        <f t="shared" si="60"/>
        <v>'',</v>
      </c>
      <c r="B566" s="4" t="str">
        <f t="shared" si="61"/>
        <v>'',</v>
      </c>
      <c r="C566" s="15"/>
      <c r="D566" s="5"/>
      <c r="E566" s="5"/>
      <c r="F566" s="5"/>
      <c r="G566" s="29"/>
      <c r="H566" s="5"/>
      <c r="I566" s="22"/>
      <c r="J566" s="16"/>
      <c r="K566" s="25"/>
      <c r="L566" s="16"/>
      <c r="M566" s="16" t="str">
        <f t="shared" si="64"/>
        <v/>
      </c>
      <c r="N566" s="16" t="str">
        <f t="shared" si="65"/>
        <v/>
      </c>
      <c r="O566" s="7" t="str">
        <f t="shared" si="62"/>
        <v/>
      </c>
      <c r="P566" s="7" t="str">
        <f t="shared" si="63"/>
        <v/>
      </c>
      <c r="Q566" s="7"/>
      <c r="R566" s="7"/>
      <c r="S566" s="16"/>
      <c r="T566" s="4"/>
      <c r="U566" s="4"/>
      <c r="V566" s="4"/>
      <c r="W566" s="4"/>
      <c r="X566" s="4"/>
      <c r="Y566" s="4"/>
      <c r="Z566" s="4"/>
      <c r="AA566" s="37"/>
      <c r="AB566" s="4"/>
      <c r="AC566" s="4"/>
      <c r="AD566" s="4"/>
      <c r="AE566" s="4"/>
      <c r="AF566" s="4"/>
    </row>
    <row r="567" spans="1:32" x14ac:dyDescent="0.25">
      <c r="A567" s="4" t="str">
        <f t="shared" si="60"/>
        <v>'',</v>
      </c>
      <c r="B567" s="4" t="str">
        <f t="shared" si="61"/>
        <v>'',</v>
      </c>
      <c r="C567" s="15"/>
      <c r="D567" s="5"/>
      <c r="E567" s="5"/>
      <c r="F567" s="5"/>
      <c r="G567" s="29"/>
      <c r="H567" s="5"/>
      <c r="I567" s="22"/>
      <c r="J567" s="16"/>
      <c r="K567" s="25"/>
      <c r="L567" s="16"/>
      <c r="M567" s="16" t="str">
        <f t="shared" si="64"/>
        <v/>
      </c>
      <c r="N567" s="16" t="str">
        <f t="shared" si="65"/>
        <v/>
      </c>
      <c r="O567" s="7" t="str">
        <f t="shared" si="62"/>
        <v/>
      </c>
      <c r="P567" s="7" t="str">
        <f t="shared" si="63"/>
        <v/>
      </c>
      <c r="Q567" s="7"/>
      <c r="R567" s="7"/>
      <c r="S567" s="16"/>
      <c r="T567" s="4"/>
      <c r="U567" s="4"/>
      <c r="V567" s="4"/>
      <c r="W567" s="4"/>
      <c r="X567" s="4"/>
      <c r="Y567" s="4"/>
      <c r="Z567" s="4"/>
      <c r="AA567" s="37"/>
      <c r="AB567" s="4"/>
      <c r="AC567" s="4"/>
      <c r="AD567" s="4"/>
      <c r="AE567" s="4"/>
      <c r="AF567" s="4"/>
    </row>
    <row r="568" spans="1:32" x14ac:dyDescent="0.25">
      <c r="A568" s="4" t="str">
        <f t="shared" si="60"/>
        <v>'',</v>
      </c>
      <c r="B568" s="4" t="str">
        <f t="shared" si="61"/>
        <v>'',</v>
      </c>
      <c r="C568" s="15"/>
      <c r="D568" s="5"/>
      <c r="E568" s="5"/>
      <c r="F568" s="5"/>
      <c r="G568" s="29"/>
      <c r="H568" s="5"/>
      <c r="I568" s="22"/>
      <c r="J568" s="16"/>
      <c r="K568" s="25"/>
      <c r="L568" s="16"/>
      <c r="M568" s="16" t="str">
        <f t="shared" si="64"/>
        <v/>
      </c>
      <c r="N568" s="16" t="str">
        <f t="shared" si="65"/>
        <v/>
      </c>
      <c r="O568" s="7" t="str">
        <f t="shared" si="62"/>
        <v/>
      </c>
      <c r="P568" s="7" t="str">
        <f t="shared" si="63"/>
        <v/>
      </c>
      <c r="Q568" s="7"/>
      <c r="R568" s="7"/>
      <c r="S568" s="16"/>
      <c r="T568" s="4"/>
      <c r="U568" s="4"/>
      <c r="V568" s="4"/>
      <c r="W568" s="4"/>
      <c r="X568" s="4"/>
      <c r="Y568" s="4"/>
      <c r="Z568" s="4"/>
      <c r="AA568" s="37"/>
      <c r="AB568" s="4"/>
      <c r="AC568" s="4"/>
      <c r="AD568" s="4"/>
      <c r="AE568" s="4"/>
      <c r="AF568" s="4"/>
    </row>
    <row r="569" spans="1:32" x14ac:dyDescent="0.25">
      <c r="A569" s="4" t="str">
        <f t="shared" si="60"/>
        <v>'',</v>
      </c>
      <c r="B569" s="4" t="str">
        <f t="shared" si="61"/>
        <v>'',</v>
      </c>
      <c r="C569" s="15"/>
      <c r="D569" s="5"/>
      <c r="E569" s="5"/>
      <c r="F569" s="5"/>
      <c r="G569" s="29"/>
      <c r="H569" s="5"/>
      <c r="I569" s="22"/>
      <c r="J569" s="16"/>
      <c r="K569" s="25"/>
      <c r="L569" s="16"/>
      <c r="M569" s="16" t="str">
        <f t="shared" si="64"/>
        <v/>
      </c>
      <c r="N569" s="16" t="str">
        <f t="shared" si="65"/>
        <v/>
      </c>
      <c r="O569" s="7" t="str">
        <f t="shared" si="62"/>
        <v/>
      </c>
      <c r="P569" s="7" t="str">
        <f t="shared" si="63"/>
        <v/>
      </c>
      <c r="Q569" s="7"/>
      <c r="R569" s="7"/>
      <c r="S569" s="16"/>
      <c r="T569" s="4"/>
      <c r="U569" s="4"/>
      <c r="V569" s="4"/>
      <c r="W569" s="4"/>
      <c r="X569" s="4"/>
      <c r="Y569" s="4"/>
      <c r="Z569" s="4"/>
      <c r="AA569" s="37"/>
      <c r="AB569" s="4"/>
      <c r="AC569" s="4"/>
      <c r="AD569" s="4"/>
      <c r="AE569" s="4"/>
      <c r="AF569" s="4"/>
    </row>
    <row r="570" spans="1:32" x14ac:dyDescent="0.25">
      <c r="A570" s="4" t="str">
        <f t="shared" si="60"/>
        <v>'',</v>
      </c>
      <c r="B570" s="4" t="str">
        <f t="shared" si="61"/>
        <v>'',</v>
      </c>
      <c r="C570" s="15"/>
      <c r="D570" s="5"/>
      <c r="E570" s="5"/>
      <c r="F570" s="5"/>
      <c r="G570" s="29"/>
      <c r="H570" s="5"/>
      <c r="I570" s="22"/>
      <c r="J570" s="16"/>
      <c r="K570" s="25"/>
      <c r="L570" s="16"/>
      <c r="M570" s="16" t="str">
        <f t="shared" si="64"/>
        <v/>
      </c>
      <c r="N570" s="16" t="str">
        <f t="shared" si="65"/>
        <v/>
      </c>
      <c r="O570" s="7" t="str">
        <f t="shared" si="62"/>
        <v/>
      </c>
      <c r="P570" s="7" t="str">
        <f t="shared" si="63"/>
        <v/>
      </c>
      <c r="Q570" s="7"/>
      <c r="R570" s="7"/>
      <c r="S570" s="16"/>
      <c r="T570" s="4"/>
      <c r="U570" s="4"/>
      <c r="V570" s="4"/>
      <c r="W570" s="4"/>
      <c r="X570" s="4"/>
      <c r="Y570" s="4"/>
      <c r="Z570" s="4"/>
      <c r="AA570" s="37"/>
      <c r="AB570" s="4"/>
      <c r="AC570" s="4"/>
      <c r="AD570" s="4"/>
      <c r="AE570" s="4"/>
      <c r="AF570" s="4"/>
    </row>
    <row r="571" spans="1:32" x14ac:dyDescent="0.25">
      <c r="A571" s="4" t="str">
        <f t="shared" si="60"/>
        <v>'',</v>
      </c>
      <c r="B571" s="4" t="str">
        <f t="shared" si="61"/>
        <v>'',</v>
      </c>
      <c r="C571" s="15"/>
      <c r="D571" s="5"/>
      <c r="E571" s="5"/>
      <c r="F571" s="5"/>
      <c r="G571" s="29"/>
      <c r="H571" s="5"/>
      <c r="I571" s="22"/>
      <c r="J571" s="16"/>
      <c r="K571" s="25"/>
      <c r="L571" s="16"/>
      <c r="M571" s="16" t="str">
        <f t="shared" si="64"/>
        <v/>
      </c>
      <c r="N571" s="16" t="str">
        <f t="shared" si="65"/>
        <v/>
      </c>
      <c r="O571" s="7" t="str">
        <f t="shared" si="62"/>
        <v/>
      </c>
      <c r="P571" s="7" t="str">
        <f t="shared" si="63"/>
        <v/>
      </c>
      <c r="Q571" s="7"/>
      <c r="R571" s="7"/>
      <c r="S571" s="16"/>
      <c r="T571" s="4"/>
      <c r="U571" s="4"/>
      <c r="V571" s="4"/>
      <c r="W571" s="4"/>
      <c r="X571" s="4"/>
      <c r="Y571" s="4"/>
      <c r="Z571" s="4"/>
      <c r="AA571" s="37"/>
      <c r="AB571" s="4"/>
      <c r="AC571" s="4"/>
      <c r="AD571" s="4"/>
      <c r="AE571" s="4"/>
      <c r="AF571" s="4"/>
    </row>
    <row r="572" spans="1:32" x14ac:dyDescent="0.25">
      <c r="A572" s="4" t="str">
        <f t="shared" si="60"/>
        <v>'',</v>
      </c>
      <c r="B572" s="4" t="str">
        <f t="shared" si="61"/>
        <v>'',</v>
      </c>
      <c r="C572" s="15"/>
      <c r="D572" s="5"/>
      <c r="E572" s="5"/>
      <c r="F572" s="5"/>
      <c r="G572" s="29"/>
      <c r="H572" s="5"/>
      <c r="I572" s="22"/>
      <c r="J572" s="16"/>
      <c r="K572" s="25"/>
      <c r="L572" s="16"/>
      <c r="M572" s="16" t="str">
        <f t="shared" si="64"/>
        <v/>
      </c>
      <c r="N572" s="16" t="str">
        <f t="shared" si="65"/>
        <v/>
      </c>
      <c r="O572" s="7" t="str">
        <f t="shared" si="62"/>
        <v/>
      </c>
      <c r="P572" s="7" t="str">
        <f t="shared" si="63"/>
        <v/>
      </c>
      <c r="Q572" s="7"/>
      <c r="R572" s="7"/>
      <c r="S572" s="16"/>
      <c r="T572" s="4"/>
      <c r="U572" s="4"/>
      <c r="V572" s="4"/>
      <c r="W572" s="4"/>
      <c r="X572" s="4"/>
      <c r="Y572" s="4"/>
      <c r="Z572" s="4"/>
      <c r="AA572" s="37"/>
      <c r="AB572" s="4"/>
      <c r="AC572" s="4"/>
      <c r="AD572" s="4"/>
      <c r="AE572" s="4"/>
      <c r="AF572" s="4"/>
    </row>
    <row r="573" spans="1:32" x14ac:dyDescent="0.25">
      <c r="A573" s="4" t="str">
        <f t="shared" si="60"/>
        <v>'',</v>
      </c>
      <c r="B573" s="4" t="str">
        <f t="shared" si="61"/>
        <v>'',</v>
      </c>
      <c r="C573" s="15"/>
      <c r="D573" s="5"/>
      <c r="E573" s="5"/>
      <c r="F573" s="5"/>
      <c r="G573" s="29"/>
      <c r="H573" s="5"/>
      <c r="I573" s="22"/>
      <c r="J573" s="16"/>
      <c r="K573" s="25"/>
      <c r="L573" s="16"/>
      <c r="M573" s="16" t="str">
        <f t="shared" si="64"/>
        <v/>
      </c>
      <c r="N573" s="16" t="str">
        <f t="shared" si="65"/>
        <v/>
      </c>
      <c r="O573" s="7" t="str">
        <f t="shared" si="62"/>
        <v/>
      </c>
      <c r="P573" s="7" t="str">
        <f t="shared" si="63"/>
        <v/>
      </c>
      <c r="Q573" s="7"/>
      <c r="R573" s="7"/>
      <c r="S573" s="16"/>
      <c r="T573" s="4"/>
      <c r="U573" s="4"/>
      <c r="V573" s="4"/>
      <c r="W573" s="4"/>
      <c r="X573" s="4"/>
      <c r="Y573" s="4"/>
      <c r="Z573" s="4"/>
      <c r="AA573" s="37"/>
      <c r="AB573" s="4"/>
      <c r="AC573" s="4"/>
      <c r="AD573" s="4"/>
      <c r="AE573" s="4"/>
      <c r="AF573" s="4"/>
    </row>
    <row r="574" spans="1:32" x14ac:dyDescent="0.25">
      <c r="A574" s="4" t="str">
        <f t="shared" si="60"/>
        <v>'',</v>
      </c>
      <c r="B574" s="4" t="str">
        <f t="shared" si="61"/>
        <v>'',</v>
      </c>
      <c r="C574" s="15"/>
      <c r="D574" s="5"/>
      <c r="E574" s="5"/>
      <c r="F574" s="5"/>
      <c r="G574" s="29"/>
      <c r="H574" s="5"/>
      <c r="I574" s="22"/>
      <c r="J574" s="16"/>
      <c r="K574" s="25"/>
      <c r="L574" s="16"/>
      <c r="M574" s="16" t="str">
        <f t="shared" si="64"/>
        <v/>
      </c>
      <c r="N574" s="16" t="str">
        <f t="shared" si="65"/>
        <v/>
      </c>
      <c r="O574" s="7" t="str">
        <f t="shared" si="62"/>
        <v/>
      </c>
      <c r="P574" s="7" t="str">
        <f t="shared" si="63"/>
        <v/>
      </c>
      <c r="Q574" s="7"/>
      <c r="R574" s="7"/>
      <c r="S574" s="16"/>
      <c r="T574" s="4"/>
      <c r="U574" s="4"/>
      <c r="V574" s="4"/>
      <c r="W574" s="4"/>
      <c r="X574" s="4"/>
      <c r="Y574" s="4"/>
      <c r="Z574" s="4"/>
      <c r="AA574" s="37"/>
      <c r="AB574" s="4"/>
      <c r="AC574" s="4"/>
      <c r="AD574" s="4"/>
      <c r="AE574" s="4"/>
      <c r="AF574" s="4"/>
    </row>
    <row r="575" spans="1:32" x14ac:dyDescent="0.25">
      <c r="A575" s="4" t="str">
        <f t="shared" si="60"/>
        <v>'',</v>
      </c>
      <c r="B575" s="4" t="str">
        <f t="shared" si="61"/>
        <v>'',</v>
      </c>
      <c r="C575" s="15"/>
      <c r="D575" s="5"/>
      <c r="E575" s="5"/>
      <c r="F575" s="5"/>
      <c r="G575" s="29"/>
      <c r="H575" s="5"/>
      <c r="I575" s="22"/>
      <c r="J575" s="16"/>
      <c r="K575" s="25"/>
      <c r="L575" s="16"/>
      <c r="M575" s="16" t="str">
        <f t="shared" si="64"/>
        <v/>
      </c>
      <c r="N575" s="16" t="str">
        <f t="shared" si="65"/>
        <v/>
      </c>
      <c r="O575" s="7" t="str">
        <f t="shared" si="62"/>
        <v/>
      </c>
      <c r="P575" s="7" t="str">
        <f t="shared" si="63"/>
        <v/>
      </c>
      <c r="Q575" s="7"/>
      <c r="R575" s="7"/>
      <c r="S575" s="16"/>
      <c r="T575" s="4"/>
      <c r="U575" s="4"/>
      <c r="V575" s="4"/>
      <c r="W575" s="4"/>
      <c r="X575" s="4"/>
      <c r="Y575" s="4"/>
      <c r="Z575" s="4"/>
      <c r="AA575" s="37"/>
      <c r="AB575" s="4"/>
      <c r="AC575" s="4"/>
      <c r="AD575" s="4"/>
      <c r="AE575" s="4"/>
      <c r="AF575" s="4"/>
    </row>
    <row r="576" spans="1:32" x14ac:dyDescent="0.25">
      <c r="A576" s="4" t="str">
        <f t="shared" si="60"/>
        <v>'',</v>
      </c>
      <c r="B576" s="4" t="str">
        <f t="shared" si="61"/>
        <v>'',</v>
      </c>
      <c r="C576" s="15"/>
      <c r="D576" s="5"/>
      <c r="E576" s="5"/>
      <c r="F576" s="5"/>
      <c r="G576" s="29"/>
      <c r="H576" s="5"/>
      <c r="I576" s="22"/>
      <c r="J576" s="16"/>
      <c r="K576" s="25"/>
      <c r="L576" s="16"/>
      <c r="M576" s="16" t="str">
        <f t="shared" si="64"/>
        <v/>
      </c>
      <c r="N576" s="16" t="str">
        <f t="shared" si="65"/>
        <v/>
      </c>
      <c r="O576" s="7" t="str">
        <f t="shared" si="62"/>
        <v/>
      </c>
      <c r="P576" s="7" t="str">
        <f t="shared" si="63"/>
        <v/>
      </c>
      <c r="Q576" s="7"/>
      <c r="R576" s="7"/>
      <c r="S576" s="16"/>
      <c r="T576" s="4"/>
      <c r="U576" s="4"/>
      <c r="V576" s="4"/>
      <c r="W576" s="4"/>
      <c r="X576" s="4"/>
      <c r="Y576" s="4"/>
      <c r="Z576" s="4"/>
      <c r="AA576" s="37"/>
      <c r="AB576" s="4"/>
      <c r="AC576" s="4"/>
      <c r="AD576" s="4"/>
      <c r="AE576" s="4"/>
      <c r="AF576" s="4"/>
    </row>
    <row r="577" spans="1:32" x14ac:dyDescent="0.25">
      <c r="A577" s="4" t="str">
        <f t="shared" si="60"/>
        <v>'',</v>
      </c>
      <c r="B577" s="4" t="str">
        <f t="shared" si="61"/>
        <v>'',</v>
      </c>
      <c r="C577" s="15"/>
      <c r="D577" s="5"/>
      <c r="E577" s="5"/>
      <c r="F577" s="5"/>
      <c r="G577" s="29"/>
      <c r="H577" s="5"/>
      <c r="I577" s="22"/>
      <c r="J577" s="16"/>
      <c r="K577" s="25"/>
      <c r="L577" s="16"/>
      <c r="M577" s="16" t="str">
        <f t="shared" si="64"/>
        <v/>
      </c>
      <c r="N577" s="16" t="str">
        <f t="shared" si="65"/>
        <v/>
      </c>
      <c r="O577" s="7" t="str">
        <f t="shared" si="62"/>
        <v/>
      </c>
      <c r="P577" s="7" t="str">
        <f t="shared" si="63"/>
        <v/>
      </c>
      <c r="Q577" s="7"/>
      <c r="R577" s="7"/>
      <c r="S577" s="16"/>
      <c r="T577" s="4"/>
      <c r="U577" s="4"/>
      <c r="V577" s="4"/>
      <c r="W577" s="4"/>
      <c r="X577" s="4"/>
      <c r="Y577" s="4"/>
      <c r="Z577" s="4"/>
      <c r="AA577" s="37"/>
      <c r="AB577" s="4"/>
      <c r="AC577" s="4"/>
      <c r="AD577" s="4"/>
      <c r="AE577" s="4"/>
      <c r="AF577" s="4"/>
    </row>
    <row r="578" spans="1:32" x14ac:dyDescent="0.25">
      <c r="A578" s="4" t="str">
        <f t="shared" si="60"/>
        <v>'',</v>
      </c>
      <c r="B578" s="4" t="str">
        <f t="shared" si="61"/>
        <v>'',</v>
      </c>
      <c r="C578" s="15"/>
      <c r="D578" s="5"/>
      <c r="E578" s="5"/>
      <c r="F578" s="5"/>
      <c r="G578" s="29"/>
      <c r="H578" s="5"/>
      <c r="I578" s="22"/>
      <c r="J578" s="16"/>
      <c r="K578" s="25"/>
      <c r="L578" s="16"/>
      <c r="M578" s="16" t="str">
        <f t="shared" si="64"/>
        <v/>
      </c>
      <c r="N578" s="16" t="str">
        <f t="shared" si="65"/>
        <v/>
      </c>
      <c r="O578" s="7" t="str">
        <f t="shared" si="62"/>
        <v/>
      </c>
      <c r="P578" s="7" t="str">
        <f t="shared" si="63"/>
        <v/>
      </c>
      <c r="Q578" s="7"/>
      <c r="R578" s="7"/>
      <c r="S578" s="16"/>
      <c r="T578" s="4"/>
      <c r="U578" s="4"/>
      <c r="V578" s="4"/>
      <c r="W578" s="4"/>
      <c r="X578" s="4"/>
      <c r="Y578" s="4"/>
      <c r="Z578" s="4"/>
      <c r="AA578" s="37"/>
      <c r="AB578" s="4"/>
      <c r="AC578" s="4"/>
      <c r="AD578" s="4"/>
      <c r="AE578" s="4"/>
      <c r="AF578" s="4"/>
    </row>
    <row r="579" spans="1:32" x14ac:dyDescent="0.25">
      <c r="A579" s="4" t="str">
        <f t="shared" si="60"/>
        <v>'',</v>
      </c>
      <c r="B579" s="4" t="str">
        <f t="shared" si="61"/>
        <v>'',</v>
      </c>
      <c r="C579" s="15"/>
      <c r="D579" s="5"/>
      <c r="E579" s="5"/>
      <c r="F579" s="5"/>
      <c r="G579" s="29"/>
      <c r="H579" s="5"/>
      <c r="I579" s="22"/>
      <c r="J579" s="16"/>
      <c r="K579" s="25"/>
      <c r="L579" s="16"/>
      <c r="M579" s="16" t="str">
        <f t="shared" si="64"/>
        <v/>
      </c>
      <c r="N579" s="16" t="str">
        <f t="shared" si="65"/>
        <v/>
      </c>
      <c r="O579" s="7" t="str">
        <f t="shared" si="62"/>
        <v/>
      </c>
      <c r="P579" s="7" t="str">
        <f t="shared" si="63"/>
        <v/>
      </c>
      <c r="Q579" s="7"/>
      <c r="R579" s="7"/>
      <c r="S579" s="16"/>
      <c r="T579" s="4"/>
      <c r="U579" s="4"/>
      <c r="V579" s="4"/>
      <c r="W579" s="4"/>
      <c r="X579" s="4"/>
      <c r="Y579" s="4"/>
      <c r="Z579" s="4"/>
      <c r="AA579" s="37"/>
      <c r="AB579" s="4"/>
      <c r="AC579" s="4"/>
      <c r="AD579" s="4"/>
      <c r="AE579" s="4"/>
      <c r="AF579" s="4"/>
    </row>
    <row r="580" spans="1:32" x14ac:dyDescent="0.25">
      <c r="A580" s="4" t="str">
        <f t="shared" si="60"/>
        <v>'',</v>
      </c>
      <c r="B580" s="4" t="str">
        <f t="shared" si="61"/>
        <v>'',</v>
      </c>
      <c r="C580" s="15"/>
      <c r="D580" s="5"/>
      <c r="E580" s="5"/>
      <c r="F580" s="5"/>
      <c r="G580" s="29"/>
      <c r="H580" s="5"/>
      <c r="I580" s="22"/>
      <c r="J580" s="16"/>
      <c r="K580" s="25"/>
      <c r="L580" s="16"/>
      <c r="M580" s="16" t="str">
        <f t="shared" si="64"/>
        <v/>
      </c>
      <c r="N580" s="16" t="str">
        <f t="shared" si="65"/>
        <v/>
      </c>
      <c r="O580" s="7" t="str">
        <f t="shared" si="62"/>
        <v/>
      </c>
      <c r="P580" s="7" t="str">
        <f t="shared" si="63"/>
        <v/>
      </c>
      <c r="Q580" s="7"/>
      <c r="R580" s="7"/>
      <c r="S580" s="16"/>
      <c r="T580" s="4"/>
      <c r="U580" s="4"/>
      <c r="V580" s="4"/>
      <c r="W580" s="4"/>
      <c r="X580" s="4"/>
      <c r="Y580" s="4"/>
      <c r="Z580" s="4"/>
      <c r="AA580" s="37"/>
      <c r="AB580" s="4"/>
      <c r="AC580" s="4"/>
      <c r="AD580" s="4"/>
      <c r="AE580" s="4"/>
      <c r="AF580" s="4"/>
    </row>
    <row r="581" spans="1:32" x14ac:dyDescent="0.25">
      <c r="A581" s="4" t="str">
        <f t="shared" si="60"/>
        <v>'',</v>
      </c>
      <c r="B581" s="4" t="str">
        <f t="shared" si="61"/>
        <v>'',</v>
      </c>
      <c r="C581" s="15"/>
      <c r="D581" s="5"/>
      <c r="E581" s="5"/>
      <c r="F581" s="5"/>
      <c r="G581" s="29"/>
      <c r="H581" s="5"/>
      <c r="I581" s="22"/>
      <c r="J581" s="16"/>
      <c r="K581" s="25"/>
      <c r="L581" s="16"/>
      <c r="M581" s="16" t="str">
        <f t="shared" si="64"/>
        <v/>
      </c>
      <c r="N581" s="16" t="str">
        <f t="shared" si="65"/>
        <v/>
      </c>
      <c r="O581" s="7" t="str">
        <f t="shared" si="62"/>
        <v/>
      </c>
      <c r="P581" s="7" t="str">
        <f t="shared" si="63"/>
        <v/>
      </c>
      <c r="Q581" s="7"/>
      <c r="R581" s="7"/>
      <c r="S581" s="16"/>
      <c r="T581" s="4"/>
      <c r="U581" s="4"/>
      <c r="V581" s="4"/>
      <c r="W581" s="4"/>
      <c r="X581" s="4"/>
      <c r="Y581" s="4"/>
      <c r="Z581" s="4"/>
      <c r="AA581" s="37"/>
      <c r="AB581" s="4"/>
      <c r="AC581" s="4"/>
      <c r="AD581" s="4"/>
      <c r="AE581" s="4"/>
      <c r="AF581" s="4"/>
    </row>
    <row r="582" spans="1:32" x14ac:dyDescent="0.25">
      <c r="A582" s="4" t="str">
        <f t="shared" si="60"/>
        <v>'',</v>
      </c>
      <c r="B582" s="4" t="str">
        <f t="shared" si="61"/>
        <v>'',</v>
      </c>
      <c r="C582" s="15"/>
      <c r="D582" s="5"/>
      <c r="E582" s="5"/>
      <c r="F582" s="5"/>
      <c r="G582" s="29"/>
      <c r="H582" s="5"/>
      <c r="I582" s="22"/>
      <c r="J582" s="16"/>
      <c r="K582" s="25"/>
      <c r="L582" s="16"/>
      <c r="M582" s="16" t="str">
        <f t="shared" si="64"/>
        <v/>
      </c>
      <c r="N582" s="16" t="str">
        <f t="shared" si="65"/>
        <v/>
      </c>
      <c r="O582" s="7" t="str">
        <f t="shared" si="62"/>
        <v/>
      </c>
      <c r="P582" s="7" t="str">
        <f t="shared" si="63"/>
        <v/>
      </c>
      <c r="Q582" s="7"/>
      <c r="R582" s="7"/>
      <c r="S582" s="16"/>
      <c r="T582" s="4"/>
      <c r="U582" s="4"/>
      <c r="V582" s="4"/>
      <c r="W582" s="4"/>
      <c r="X582" s="4"/>
      <c r="Y582" s="4"/>
      <c r="Z582" s="4"/>
      <c r="AA582" s="37"/>
      <c r="AB582" s="4"/>
      <c r="AC582" s="4"/>
      <c r="AD582" s="4"/>
      <c r="AE582" s="4"/>
      <c r="AF582" s="4"/>
    </row>
    <row r="583" spans="1:32" x14ac:dyDescent="0.25">
      <c r="A583" s="4" t="str">
        <f t="shared" si="60"/>
        <v>'',</v>
      </c>
      <c r="B583" s="4" t="str">
        <f t="shared" si="61"/>
        <v>'',</v>
      </c>
      <c r="C583" s="15"/>
      <c r="D583" s="5"/>
      <c r="E583" s="5"/>
      <c r="F583" s="5"/>
      <c r="G583" s="29"/>
      <c r="H583" s="5"/>
      <c r="I583" s="22"/>
      <c r="J583" s="16"/>
      <c r="K583" s="25"/>
      <c r="L583" s="16"/>
      <c r="M583" s="16" t="str">
        <f t="shared" si="64"/>
        <v/>
      </c>
      <c r="N583" s="16" t="str">
        <f t="shared" si="65"/>
        <v/>
      </c>
      <c r="O583" s="7" t="str">
        <f t="shared" si="62"/>
        <v/>
      </c>
      <c r="P583" s="7" t="str">
        <f t="shared" si="63"/>
        <v/>
      </c>
      <c r="Q583" s="7"/>
      <c r="R583" s="7"/>
      <c r="S583" s="16"/>
      <c r="T583" s="4"/>
      <c r="U583" s="4"/>
      <c r="V583" s="4"/>
      <c r="W583" s="4"/>
      <c r="X583" s="4"/>
      <c r="Y583" s="4"/>
      <c r="Z583" s="4"/>
      <c r="AA583" s="37"/>
      <c r="AB583" s="4"/>
      <c r="AC583" s="4"/>
      <c r="AD583" s="4"/>
      <c r="AE583" s="4"/>
      <c r="AF583" s="4"/>
    </row>
    <row r="584" spans="1:32" x14ac:dyDescent="0.25">
      <c r="A584" s="4" t="str">
        <f t="shared" si="60"/>
        <v>'',</v>
      </c>
      <c r="B584" s="4" t="str">
        <f t="shared" si="61"/>
        <v>'',</v>
      </c>
      <c r="C584" s="15"/>
      <c r="D584" s="5"/>
      <c r="E584" s="5"/>
      <c r="F584" s="5"/>
      <c r="G584" s="29"/>
      <c r="H584" s="5"/>
      <c r="I584" s="22"/>
      <c r="J584" s="16"/>
      <c r="K584" s="25"/>
      <c r="L584" s="16"/>
      <c r="M584" s="16" t="str">
        <f t="shared" si="64"/>
        <v/>
      </c>
      <c r="N584" s="16" t="str">
        <f t="shared" si="65"/>
        <v/>
      </c>
      <c r="O584" s="7" t="str">
        <f t="shared" si="62"/>
        <v/>
      </c>
      <c r="P584" s="7" t="str">
        <f t="shared" si="63"/>
        <v/>
      </c>
      <c r="Q584" s="7"/>
      <c r="R584" s="7"/>
      <c r="S584" s="16"/>
      <c r="T584" s="4"/>
      <c r="U584" s="4"/>
      <c r="V584" s="4"/>
      <c r="W584" s="4"/>
      <c r="X584" s="4"/>
      <c r="Y584" s="4"/>
      <c r="Z584" s="4"/>
      <c r="AA584" s="37"/>
      <c r="AB584" s="4"/>
      <c r="AC584" s="4"/>
      <c r="AD584" s="4"/>
      <c r="AE584" s="4"/>
      <c r="AF584" s="4"/>
    </row>
    <row r="585" spans="1:32" x14ac:dyDescent="0.25">
      <c r="A585" s="4" t="str">
        <f t="shared" si="60"/>
        <v>'',</v>
      </c>
      <c r="B585" s="4" t="str">
        <f t="shared" si="61"/>
        <v>'',</v>
      </c>
      <c r="C585" s="15"/>
      <c r="D585" s="5"/>
      <c r="E585" s="5"/>
      <c r="F585" s="5"/>
      <c r="G585" s="29"/>
      <c r="H585" s="5"/>
      <c r="I585" s="22"/>
      <c r="J585" s="16"/>
      <c r="K585" s="25"/>
      <c r="L585" s="16"/>
      <c r="M585" s="16" t="str">
        <f t="shared" si="64"/>
        <v/>
      </c>
      <c r="N585" s="16" t="str">
        <f t="shared" si="65"/>
        <v/>
      </c>
      <c r="O585" s="7" t="str">
        <f t="shared" si="62"/>
        <v/>
      </c>
      <c r="P585" s="7" t="str">
        <f t="shared" si="63"/>
        <v/>
      </c>
      <c r="Q585" s="7"/>
      <c r="R585" s="7"/>
      <c r="S585" s="16"/>
      <c r="T585" s="4"/>
      <c r="U585" s="4"/>
      <c r="V585" s="4"/>
      <c r="W585" s="4"/>
      <c r="X585" s="4"/>
      <c r="Y585" s="4"/>
      <c r="Z585" s="4"/>
      <c r="AA585" s="37"/>
      <c r="AB585" s="4"/>
      <c r="AC585" s="4"/>
      <c r="AD585" s="4"/>
      <c r="AE585" s="4"/>
      <c r="AF585" s="4"/>
    </row>
    <row r="586" spans="1:32" x14ac:dyDescent="0.25">
      <c r="A586" s="4" t="str">
        <f t="shared" ref="A586:A649" si="66">"'"&amp;X586&amp;"',"</f>
        <v>'',</v>
      </c>
      <c r="B586" s="4" t="str">
        <f t="shared" ref="B586:B649" si="67">"'"&amp;T586&amp;"',"</f>
        <v>'',</v>
      </c>
      <c r="C586" s="15"/>
      <c r="D586" s="5"/>
      <c r="E586" s="5"/>
      <c r="F586" s="5"/>
      <c r="G586" s="29"/>
      <c r="H586" s="5"/>
      <c r="I586" s="22"/>
      <c r="J586" s="16"/>
      <c r="K586" s="25"/>
      <c r="L586" s="16"/>
      <c r="M586" s="16" t="str">
        <f t="shared" si="64"/>
        <v/>
      </c>
      <c r="N586" s="16" t="str">
        <f t="shared" si="65"/>
        <v/>
      </c>
      <c r="O586" s="7" t="str">
        <f t="shared" si="62"/>
        <v/>
      </c>
      <c r="P586" s="7" t="str">
        <f t="shared" si="63"/>
        <v/>
      </c>
      <c r="Q586" s="7"/>
      <c r="R586" s="7"/>
      <c r="S586" s="16"/>
      <c r="T586" s="4"/>
      <c r="U586" s="4"/>
      <c r="V586" s="4"/>
      <c r="W586" s="4"/>
      <c r="X586" s="4"/>
      <c r="Y586" s="4"/>
      <c r="Z586" s="4"/>
      <c r="AA586" s="37"/>
      <c r="AB586" s="4"/>
      <c r="AC586" s="4"/>
      <c r="AD586" s="4"/>
      <c r="AE586" s="4"/>
      <c r="AF586" s="4"/>
    </row>
    <row r="587" spans="1:32" x14ac:dyDescent="0.25">
      <c r="A587" s="4" t="str">
        <f t="shared" si="66"/>
        <v>'',</v>
      </c>
      <c r="B587" s="4" t="str">
        <f t="shared" si="67"/>
        <v>'',</v>
      </c>
      <c r="C587" s="15"/>
      <c r="D587" s="5"/>
      <c r="E587" s="5"/>
      <c r="F587" s="5"/>
      <c r="G587" s="29"/>
      <c r="H587" s="5"/>
      <c r="I587" s="22"/>
      <c r="J587" s="16"/>
      <c r="K587" s="25"/>
      <c r="L587" s="16"/>
      <c r="M587" s="16" t="str">
        <f t="shared" si="64"/>
        <v/>
      </c>
      <c r="N587" s="16" t="str">
        <f t="shared" si="65"/>
        <v/>
      </c>
      <c r="O587" s="7" t="str">
        <f t="shared" si="62"/>
        <v/>
      </c>
      <c r="P587" s="7" t="str">
        <f t="shared" si="63"/>
        <v/>
      </c>
      <c r="Q587" s="7"/>
      <c r="R587" s="7"/>
      <c r="S587" s="16"/>
      <c r="T587" s="4"/>
      <c r="U587" s="4"/>
      <c r="V587" s="4"/>
      <c r="W587" s="4"/>
      <c r="X587" s="4"/>
      <c r="Y587" s="4"/>
      <c r="Z587" s="4"/>
      <c r="AA587" s="37"/>
      <c r="AB587" s="4"/>
      <c r="AC587" s="4"/>
      <c r="AD587" s="4"/>
      <c r="AE587" s="4"/>
      <c r="AF587" s="4"/>
    </row>
    <row r="588" spans="1:32" x14ac:dyDescent="0.25">
      <c r="A588" s="4" t="str">
        <f t="shared" si="66"/>
        <v>'',</v>
      </c>
      <c r="B588" s="4" t="str">
        <f t="shared" si="67"/>
        <v>'',</v>
      </c>
      <c r="C588" s="15"/>
      <c r="D588" s="5"/>
      <c r="E588" s="5"/>
      <c r="F588" s="5"/>
      <c r="G588" s="29"/>
      <c r="H588" s="5"/>
      <c r="I588" s="22"/>
      <c r="J588" s="16"/>
      <c r="K588" s="25"/>
      <c r="L588" s="16"/>
      <c r="M588" s="16" t="str">
        <f t="shared" si="64"/>
        <v/>
      </c>
      <c r="N588" s="16" t="str">
        <f t="shared" si="65"/>
        <v/>
      </c>
      <c r="O588" s="7" t="str">
        <f t="shared" si="62"/>
        <v/>
      </c>
      <c r="P588" s="7" t="str">
        <f t="shared" si="63"/>
        <v/>
      </c>
      <c r="Q588" s="7"/>
      <c r="R588" s="7"/>
      <c r="S588" s="16"/>
      <c r="T588" s="4"/>
      <c r="U588" s="4"/>
      <c r="V588" s="4"/>
      <c r="W588" s="4"/>
      <c r="X588" s="4"/>
      <c r="Y588" s="4"/>
      <c r="Z588" s="4"/>
      <c r="AA588" s="37"/>
      <c r="AB588" s="4"/>
      <c r="AC588" s="4"/>
      <c r="AD588" s="4"/>
      <c r="AE588" s="4"/>
      <c r="AF588" s="4"/>
    </row>
    <row r="589" spans="1:32" x14ac:dyDescent="0.25">
      <c r="A589" s="4" t="str">
        <f t="shared" si="66"/>
        <v>'',</v>
      </c>
      <c r="B589" s="4" t="str">
        <f t="shared" si="67"/>
        <v>'',</v>
      </c>
      <c r="C589" s="15"/>
      <c r="D589" s="5"/>
      <c r="E589" s="5"/>
      <c r="F589" s="5"/>
      <c r="G589" s="29"/>
      <c r="H589" s="5"/>
      <c r="I589" s="22"/>
      <c r="J589" s="16"/>
      <c r="K589" s="25"/>
      <c r="L589" s="16"/>
      <c r="M589" s="16" t="str">
        <f t="shared" si="64"/>
        <v/>
      </c>
      <c r="N589" s="16" t="str">
        <f t="shared" si="65"/>
        <v/>
      </c>
      <c r="O589" s="7" t="str">
        <f t="shared" si="62"/>
        <v/>
      </c>
      <c r="P589" s="7" t="str">
        <f t="shared" si="63"/>
        <v/>
      </c>
      <c r="Q589" s="7"/>
      <c r="R589" s="7"/>
      <c r="S589" s="16"/>
      <c r="T589" s="4"/>
      <c r="U589" s="4"/>
      <c r="V589" s="4"/>
      <c r="W589" s="4"/>
      <c r="X589" s="4"/>
      <c r="Y589" s="4"/>
      <c r="Z589" s="4"/>
      <c r="AA589" s="37"/>
      <c r="AB589" s="4"/>
      <c r="AC589" s="4"/>
      <c r="AD589" s="4"/>
      <c r="AE589" s="4"/>
      <c r="AF589" s="4"/>
    </row>
    <row r="590" spans="1:32" x14ac:dyDescent="0.25">
      <c r="A590" s="4" t="str">
        <f t="shared" si="66"/>
        <v>'',</v>
      </c>
      <c r="B590" s="4" t="str">
        <f t="shared" si="67"/>
        <v>'',</v>
      </c>
      <c r="C590" s="15"/>
      <c r="D590" s="5"/>
      <c r="E590" s="5"/>
      <c r="F590" s="5"/>
      <c r="G590" s="29"/>
      <c r="H590" s="5"/>
      <c r="I590" s="22"/>
      <c r="J590" s="16"/>
      <c r="K590" s="25"/>
      <c r="L590" s="16"/>
      <c r="M590" s="16" t="str">
        <f t="shared" si="64"/>
        <v/>
      </c>
      <c r="N590" s="16" t="str">
        <f t="shared" si="65"/>
        <v/>
      </c>
      <c r="O590" s="7" t="str">
        <f t="shared" si="62"/>
        <v/>
      </c>
      <c r="P590" s="7" t="str">
        <f t="shared" si="63"/>
        <v/>
      </c>
      <c r="Q590" s="7"/>
      <c r="R590" s="7"/>
      <c r="S590" s="16"/>
      <c r="T590" s="4"/>
      <c r="U590" s="4"/>
      <c r="V590" s="4"/>
      <c r="W590" s="4"/>
      <c r="X590" s="4"/>
      <c r="Y590" s="4"/>
      <c r="Z590" s="4"/>
      <c r="AA590" s="37"/>
      <c r="AB590" s="4"/>
      <c r="AC590" s="4"/>
      <c r="AD590" s="4"/>
      <c r="AE590" s="4"/>
      <c r="AF590" s="4"/>
    </row>
    <row r="591" spans="1:32" x14ac:dyDescent="0.25">
      <c r="A591" s="4" t="str">
        <f t="shared" si="66"/>
        <v>'',</v>
      </c>
      <c r="B591" s="4" t="str">
        <f t="shared" si="67"/>
        <v>'',</v>
      </c>
      <c r="C591" s="15"/>
      <c r="D591" s="5"/>
      <c r="E591" s="5"/>
      <c r="F591" s="5"/>
      <c r="G591" s="29"/>
      <c r="H591" s="5"/>
      <c r="I591" s="22"/>
      <c r="J591" s="16"/>
      <c r="K591" s="25"/>
      <c r="L591" s="16"/>
      <c r="M591" s="16" t="str">
        <f t="shared" si="64"/>
        <v/>
      </c>
      <c r="N591" s="16" t="str">
        <f t="shared" si="65"/>
        <v/>
      </c>
      <c r="O591" s="7" t="str">
        <f t="shared" si="62"/>
        <v/>
      </c>
      <c r="P591" s="7" t="str">
        <f t="shared" si="63"/>
        <v/>
      </c>
      <c r="Q591" s="7"/>
      <c r="R591" s="7"/>
      <c r="S591" s="16"/>
      <c r="T591" s="4"/>
      <c r="U591" s="4"/>
      <c r="V591" s="4"/>
      <c r="W591" s="4"/>
      <c r="X591" s="4"/>
      <c r="Y591" s="4"/>
      <c r="Z591" s="4"/>
      <c r="AA591" s="37"/>
      <c r="AB591" s="4"/>
      <c r="AC591" s="4"/>
      <c r="AD591" s="4"/>
      <c r="AE591" s="4"/>
      <c r="AF591" s="4"/>
    </row>
    <row r="592" spans="1:32" x14ac:dyDescent="0.25">
      <c r="A592" s="4" t="str">
        <f t="shared" si="66"/>
        <v>'',</v>
      </c>
      <c r="B592" s="4" t="str">
        <f t="shared" si="67"/>
        <v>'',</v>
      </c>
      <c r="C592" s="15"/>
      <c r="D592" s="5"/>
      <c r="E592" s="5"/>
      <c r="F592" s="5"/>
      <c r="G592" s="29"/>
      <c r="H592" s="5"/>
      <c r="I592" s="22"/>
      <c r="J592" s="16"/>
      <c r="K592" s="25"/>
      <c r="L592" s="16"/>
      <c r="M592" s="16" t="str">
        <f t="shared" si="64"/>
        <v/>
      </c>
      <c r="N592" s="16" t="str">
        <f t="shared" si="65"/>
        <v/>
      </c>
      <c r="O592" s="7" t="str">
        <f t="shared" ref="O592:O655" si="68">IF(V592&lt;&gt;"",V592,"")</f>
        <v/>
      </c>
      <c r="P592" s="7" t="str">
        <f t="shared" ref="P592:P655" si="69">IF(O592="","","請協助處理")</f>
        <v/>
      </c>
      <c r="Q592" s="7"/>
      <c r="R592" s="7"/>
      <c r="S592" s="16"/>
      <c r="T592" s="4"/>
      <c r="U592" s="4"/>
      <c r="V592" s="4"/>
      <c r="W592" s="4"/>
      <c r="X592" s="4"/>
      <c r="Y592" s="4"/>
      <c r="Z592" s="4"/>
      <c r="AA592" s="37"/>
      <c r="AB592" s="4"/>
      <c r="AC592" s="4"/>
      <c r="AD592" s="4"/>
      <c r="AE592" s="4"/>
      <c r="AF592" s="4"/>
    </row>
    <row r="593" spans="1:32" x14ac:dyDescent="0.25">
      <c r="A593" s="4" t="str">
        <f t="shared" si="66"/>
        <v>'',</v>
      </c>
      <c r="B593" s="4" t="str">
        <f t="shared" si="67"/>
        <v>'',</v>
      </c>
      <c r="C593" s="15"/>
      <c r="D593" s="5"/>
      <c r="E593" s="5"/>
      <c r="F593" s="5"/>
      <c r="G593" s="29"/>
      <c r="H593" s="5"/>
      <c r="I593" s="22"/>
      <c r="J593" s="16"/>
      <c r="K593" s="25"/>
      <c r="L593" s="16"/>
      <c r="M593" s="16" t="str">
        <f t="shared" si="64"/>
        <v/>
      </c>
      <c r="N593" s="16" t="str">
        <f t="shared" si="65"/>
        <v/>
      </c>
      <c r="O593" s="7" t="str">
        <f t="shared" si="68"/>
        <v/>
      </c>
      <c r="P593" s="7" t="str">
        <f t="shared" si="69"/>
        <v/>
      </c>
      <c r="Q593" s="7"/>
      <c r="R593" s="7"/>
      <c r="S593" s="16"/>
      <c r="T593" s="4"/>
      <c r="U593" s="4"/>
      <c r="V593" s="4"/>
      <c r="W593" s="4"/>
      <c r="X593" s="4"/>
      <c r="Y593" s="4"/>
      <c r="Z593" s="4"/>
      <c r="AA593" s="37"/>
      <c r="AB593" s="4"/>
      <c r="AC593" s="4"/>
      <c r="AD593" s="4"/>
      <c r="AE593" s="4"/>
      <c r="AF593" s="4"/>
    </row>
    <row r="594" spans="1:32" x14ac:dyDescent="0.25">
      <c r="A594" s="4" t="str">
        <f t="shared" si="66"/>
        <v>'',</v>
      </c>
      <c r="B594" s="4" t="str">
        <f t="shared" si="67"/>
        <v>'',</v>
      </c>
      <c r="C594" s="15"/>
      <c r="D594" s="5"/>
      <c r="E594" s="5"/>
      <c r="F594" s="5"/>
      <c r="G594" s="29"/>
      <c r="H594" s="5"/>
      <c r="I594" s="22"/>
      <c r="J594" s="16"/>
      <c r="K594" s="25"/>
      <c r="L594" s="16"/>
      <c r="M594" s="16" t="str">
        <f t="shared" si="64"/>
        <v/>
      </c>
      <c r="N594" s="16" t="str">
        <f t="shared" si="65"/>
        <v/>
      </c>
      <c r="O594" s="7" t="str">
        <f t="shared" si="68"/>
        <v/>
      </c>
      <c r="P594" s="7" t="str">
        <f t="shared" si="69"/>
        <v/>
      </c>
      <c r="Q594" s="7"/>
      <c r="R594" s="7"/>
      <c r="S594" s="16"/>
      <c r="T594" s="4"/>
      <c r="U594" s="4"/>
      <c r="V594" s="4"/>
      <c r="W594" s="4"/>
      <c r="X594" s="4"/>
      <c r="Y594" s="4"/>
      <c r="Z594" s="4"/>
      <c r="AA594" s="37"/>
      <c r="AB594" s="4"/>
      <c r="AC594" s="4"/>
      <c r="AD594" s="4"/>
      <c r="AE594" s="4"/>
      <c r="AF594" s="4"/>
    </row>
    <row r="595" spans="1:32" x14ac:dyDescent="0.25">
      <c r="A595" s="4" t="str">
        <f t="shared" si="66"/>
        <v>'',</v>
      </c>
      <c r="B595" s="4" t="str">
        <f t="shared" si="67"/>
        <v>'',</v>
      </c>
      <c r="C595" s="15"/>
      <c r="D595" s="5"/>
      <c r="E595" s="5"/>
      <c r="F595" s="5"/>
      <c r="G595" s="29"/>
      <c r="H595" s="5"/>
      <c r="I595" s="22"/>
      <c r="J595" s="16"/>
      <c r="K595" s="25"/>
      <c r="L595" s="16"/>
      <c r="M595" s="16" t="str">
        <f t="shared" si="64"/>
        <v/>
      </c>
      <c r="N595" s="16" t="str">
        <f t="shared" si="65"/>
        <v/>
      </c>
      <c r="O595" s="7" t="str">
        <f t="shared" si="68"/>
        <v/>
      </c>
      <c r="P595" s="7" t="str">
        <f t="shared" si="69"/>
        <v/>
      </c>
      <c r="Q595" s="7"/>
      <c r="R595" s="7"/>
      <c r="S595" s="16"/>
      <c r="T595" s="4"/>
      <c r="U595" s="4"/>
      <c r="V595" s="4"/>
      <c r="W595" s="4"/>
      <c r="X595" s="4"/>
      <c r="Y595" s="4"/>
      <c r="Z595" s="4"/>
      <c r="AA595" s="37"/>
      <c r="AB595" s="4"/>
      <c r="AC595" s="4"/>
      <c r="AD595" s="4"/>
      <c r="AE595" s="4"/>
      <c r="AF595" s="4"/>
    </row>
    <row r="596" spans="1:32" x14ac:dyDescent="0.25">
      <c r="A596" s="4" t="str">
        <f t="shared" si="66"/>
        <v>'',</v>
      </c>
      <c r="B596" s="4" t="str">
        <f t="shared" si="67"/>
        <v>'',</v>
      </c>
      <c r="C596" s="15"/>
      <c r="D596" s="5"/>
      <c r="E596" s="5"/>
      <c r="F596" s="5"/>
      <c r="G596" s="29"/>
      <c r="H596" s="5"/>
      <c r="I596" s="22"/>
      <c r="J596" s="16"/>
      <c r="K596" s="25"/>
      <c r="L596" s="16"/>
      <c r="M596" s="16" t="str">
        <f t="shared" si="64"/>
        <v/>
      </c>
      <c r="N596" s="16" t="str">
        <f t="shared" si="65"/>
        <v/>
      </c>
      <c r="O596" s="7" t="str">
        <f t="shared" si="68"/>
        <v/>
      </c>
      <c r="P596" s="7" t="str">
        <f t="shared" si="69"/>
        <v/>
      </c>
      <c r="Q596" s="7"/>
      <c r="R596" s="7"/>
      <c r="S596" s="16"/>
      <c r="T596" s="4"/>
      <c r="U596" s="4"/>
      <c r="V596" s="4"/>
      <c r="W596" s="4"/>
      <c r="X596" s="4"/>
      <c r="Y596" s="4"/>
      <c r="Z596" s="4"/>
      <c r="AA596" s="37"/>
      <c r="AB596" s="4"/>
      <c r="AC596" s="4"/>
      <c r="AD596" s="4"/>
      <c r="AE596" s="4"/>
      <c r="AF596" s="4"/>
    </row>
    <row r="597" spans="1:32" x14ac:dyDescent="0.25">
      <c r="A597" s="4" t="str">
        <f t="shared" si="66"/>
        <v>'',</v>
      </c>
      <c r="B597" s="4" t="str">
        <f t="shared" si="67"/>
        <v>'',</v>
      </c>
      <c r="C597" s="15"/>
      <c r="D597" s="5"/>
      <c r="E597" s="5"/>
      <c r="F597" s="5"/>
      <c r="G597" s="29"/>
      <c r="H597" s="5"/>
      <c r="I597" s="22"/>
      <c r="J597" s="16"/>
      <c r="K597" s="25"/>
      <c r="L597" s="16"/>
      <c r="M597" s="16" t="str">
        <f t="shared" si="64"/>
        <v/>
      </c>
      <c r="N597" s="16" t="str">
        <f t="shared" si="65"/>
        <v/>
      </c>
      <c r="O597" s="7" t="str">
        <f t="shared" si="68"/>
        <v/>
      </c>
      <c r="P597" s="7" t="str">
        <f t="shared" si="69"/>
        <v/>
      </c>
      <c r="Q597" s="7"/>
      <c r="R597" s="7"/>
      <c r="S597" s="16"/>
      <c r="T597" s="4"/>
      <c r="U597" s="4"/>
      <c r="V597" s="4"/>
      <c r="W597" s="4"/>
      <c r="X597" s="4"/>
      <c r="Y597" s="4"/>
      <c r="Z597" s="4"/>
      <c r="AA597" s="37"/>
      <c r="AB597" s="4"/>
      <c r="AC597" s="4"/>
      <c r="AD597" s="4"/>
      <c r="AE597" s="4"/>
      <c r="AF597" s="4"/>
    </row>
    <row r="598" spans="1:32" x14ac:dyDescent="0.25">
      <c r="A598" s="4" t="str">
        <f t="shared" si="66"/>
        <v>'',</v>
      </c>
      <c r="B598" s="4" t="str">
        <f t="shared" si="67"/>
        <v>'',</v>
      </c>
      <c r="C598" s="15"/>
      <c r="D598" s="5"/>
      <c r="E598" s="5"/>
      <c r="F598" s="5"/>
      <c r="G598" s="29"/>
      <c r="H598" s="5"/>
      <c r="I598" s="22"/>
      <c r="J598" s="16"/>
      <c r="K598" s="25"/>
      <c r="L598" s="16"/>
      <c r="M598" s="16" t="str">
        <f t="shared" si="64"/>
        <v/>
      </c>
      <c r="N598" s="16" t="str">
        <f t="shared" si="65"/>
        <v/>
      </c>
      <c r="O598" s="7" t="str">
        <f t="shared" si="68"/>
        <v/>
      </c>
      <c r="P598" s="7" t="str">
        <f t="shared" si="69"/>
        <v/>
      </c>
      <c r="Q598" s="7"/>
      <c r="R598" s="7"/>
      <c r="S598" s="16"/>
      <c r="T598" s="4"/>
      <c r="U598" s="4"/>
      <c r="V598" s="4"/>
      <c r="W598" s="4"/>
      <c r="X598" s="4"/>
      <c r="Y598" s="4"/>
      <c r="Z598" s="4"/>
      <c r="AA598" s="37"/>
      <c r="AB598" s="4"/>
      <c r="AC598" s="4"/>
      <c r="AD598" s="4"/>
      <c r="AE598" s="4"/>
      <c r="AF598" s="4"/>
    </row>
    <row r="599" spans="1:32" x14ac:dyDescent="0.25">
      <c r="A599" s="4" t="str">
        <f t="shared" si="66"/>
        <v>'',</v>
      </c>
      <c r="B599" s="4" t="str">
        <f t="shared" si="67"/>
        <v>'',</v>
      </c>
      <c r="C599" s="15"/>
      <c r="D599" s="5"/>
      <c r="E599" s="5"/>
      <c r="F599" s="5"/>
      <c r="G599" s="29"/>
      <c r="H599" s="5"/>
      <c r="I599" s="22"/>
      <c r="J599" s="16"/>
      <c r="K599" s="25"/>
      <c r="L599" s="16"/>
      <c r="M599" s="16" t="str">
        <f t="shared" si="64"/>
        <v/>
      </c>
      <c r="N599" s="16" t="str">
        <f t="shared" si="65"/>
        <v/>
      </c>
      <c r="O599" s="7" t="str">
        <f t="shared" si="68"/>
        <v/>
      </c>
      <c r="P599" s="7" t="str">
        <f t="shared" si="69"/>
        <v/>
      </c>
      <c r="Q599" s="7"/>
      <c r="R599" s="7"/>
      <c r="S599" s="16"/>
      <c r="T599" s="4"/>
      <c r="U599" s="4"/>
      <c r="V599" s="4"/>
      <c r="W599" s="4"/>
      <c r="X599" s="4"/>
      <c r="Y599" s="4"/>
      <c r="Z599" s="4"/>
      <c r="AA599" s="37"/>
      <c r="AB599" s="4"/>
      <c r="AC599" s="4"/>
      <c r="AD599" s="4"/>
      <c r="AE599" s="4"/>
      <c r="AF599" s="4"/>
    </row>
    <row r="600" spans="1:32" x14ac:dyDescent="0.25">
      <c r="A600" s="4" t="str">
        <f t="shared" si="66"/>
        <v>'',</v>
      </c>
      <c r="B600" s="4" t="str">
        <f t="shared" si="67"/>
        <v>'',</v>
      </c>
      <c r="C600" s="15"/>
      <c r="D600" s="5"/>
      <c r="E600" s="5"/>
      <c r="F600" s="5"/>
      <c r="G600" s="29"/>
      <c r="H600" s="5"/>
      <c r="I600" s="22"/>
      <c r="J600" s="16"/>
      <c r="K600" s="25"/>
      <c r="L600" s="16"/>
      <c r="M600" s="16" t="str">
        <f t="shared" si="64"/>
        <v/>
      </c>
      <c r="N600" s="16" t="str">
        <f t="shared" si="65"/>
        <v/>
      </c>
      <c r="O600" s="7" t="str">
        <f t="shared" si="68"/>
        <v/>
      </c>
      <c r="P600" s="7" t="str">
        <f t="shared" si="69"/>
        <v/>
      </c>
      <c r="Q600" s="7"/>
      <c r="R600" s="7"/>
      <c r="S600" s="16"/>
      <c r="T600" s="4"/>
      <c r="U600" s="4"/>
      <c r="V600" s="4"/>
      <c r="W600" s="4"/>
      <c r="X600" s="4"/>
      <c r="Y600" s="4"/>
      <c r="Z600" s="4"/>
      <c r="AA600" s="37"/>
      <c r="AB600" s="4"/>
      <c r="AC600" s="4"/>
      <c r="AD600" s="4"/>
      <c r="AE600" s="4"/>
      <c r="AF600" s="4"/>
    </row>
    <row r="601" spans="1:32" x14ac:dyDescent="0.25">
      <c r="A601" s="4" t="str">
        <f t="shared" si="66"/>
        <v>'',</v>
      </c>
      <c r="B601" s="4" t="str">
        <f t="shared" si="67"/>
        <v>'',</v>
      </c>
      <c r="C601" s="15"/>
      <c r="D601" s="5"/>
      <c r="E601" s="5"/>
      <c r="F601" s="5"/>
      <c r="G601" s="29"/>
      <c r="H601" s="5"/>
      <c r="I601" s="22"/>
      <c r="J601" s="16"/>
      <c r="K601" s="25"/>
      <c r="L601" s="16"/>
      <c r="M601" s="16" t="str">
        <f t="shared" si="64"/>
        <v/>
      </c>
      <c r="N601" s="16" t="str">
        <f t="shared" si="65"/>
        <v/>
      </c>
      <c r="O601" s="7" t="str">
        <f t="shared" si="68"/>
        <v/>
      </c>
      <c r="P601" s="7" t="str">
        <f t="shared" si="69"/>
        <v/>
      </c>
      <c r="Q601" s="7"/>
      <c r="R601" s="7"/>
      <c r="S601" s="16"/>
      <c r="T601" s="4"/>
      <c r="U601" s="4"/>
      <c r="V601" s="4"/>
      <c r="W601" s="4"/>
      <c r="X601" s="4"/>
      <c r="Y601" s="4"/>
      <c r="Z601" s="4"/>
      <c r="AA601" s="37"/>
      <c r="AB601" s="4"/>
      <c r="AC601" s="4"/>
      <c r="AD601" s="4"/>
      <c r="AE601" s="4"/>
      <c r="AF601" s="4"/>
    </row>
    <row r="602" spans="1:32" x14ac:dyDescent="0.25">
      <c r="A602" s="4" t="str">
        <f t="shared" si="66"/>
        <v>'',</v>
      </c>
      <c r="B602" s="4" t="str">
        <f t="shared" si="67"/>
        <v>'',</v>
      </c>
      <c r="C602" s="15"/>
      <c r="D602" s="5"/>
      <c r="E602" s="5"/>
      <c r="F602" s="5"/>
      <c r="G602" s="29"/>
      <c r="H602" s="5"/>
      <c r="I602" s="22"/>
      <c r="J602" s="16"/>
      <c r="K602" s="25"/>
      <c r="L602" s="16"/>
      <c r="M602" s="16" t="str">
        <f t="shared" si="64"/>
        <v/>
      </c>
      <c r="N602" s="16" t="str">
        <f t="shared" si="65"/>
        <v/>
      </c>
      <c r="O602" s="7" t="str">
        <f t="shared" si="68"/>
        <v/>
      </c>
      <c r="P602" s="7" t="str">
        <f t="shared" si="69"/>
        <v/>
      </c>
      <c r="Q602" s="7"/>
      <c r="R602" s="7"/>
      <c r="S602" s="16"/>
      <c r="T602" s="4"/>
      <c r="U602" s="4"/>
      <c r="V602" s="4"/>
      <c r="W602" s="4"/>
      <c r="X602" s="4"/>
      <c r="Y602" s="4"/>
      <c r="Z602" s="4"/>
      <c r="AA602" s="37"/>
      <c r="AB602" s="4"/>
      <c r="AC602" s="4"/>
      <c r="AD602" s="4"/>
      <c r="AE602" s="4"/>
      <c r="AF602" s="4"/>
    </row>
    <row r="603" spans="1:32" x14ac:dyDescent="0.25">
      <c r="A603" s="4" t="str">
        <f t="shared" si="66"/>
        <v>'',</v>
      </c>
      <c r="B603" s="4" t="str">
        <f t="shared" si="67"/>
        <v>'',</v>
      </c>
      <c r="C603" s="15"/>
      <c r="D603" s="5"/>
      <c r="E603" s="5"/>
      <c r="F603" s="5"/>
      <c r="G603" s="29"/>
      <c r="H603" s="5"/>
      <c r="I603" s="22"/>
      <c r="J603" s="16"/>
      <c r="K603" s="25"/>
      <c r="L603" s="16"/>
      <c r="M603" s="16" t="str">
        <f t="shared" si="64"/>
        <v/>
      </c>
      <c r="N603" s="16" t="str">
        <f t="shared" si="65"/>
        <v/>
      </c>
      <c r="O603" s="7" t="str">
        <f t="shared" si="68"/>
        <v/>
      </c>
      <c r="P603" s="7" t="str">
        <f t="shared" si="69"/>
        <v/>
      </c>
      <c r="Q603" s="7"/>
      <c r="R603" s="7"/>
      <c r="S603" s="16"/>
      <c r="T603" s="4"/>
      <c r="U603" s="4"/>
      <c r="V603" s="4"/>
      <c r="W603" s="4"/>
      <c r="X603" s="4"/>
      <c r="Y603" s="4"/>
      <c r="Z603" s="4"/>
      <c r="AA603" s="37"/>
      <c r="AB603" s="4"/>
      <c r="AC603" s="4"/>
      <c r="AD603" s="4"/>
      <c r="AE603" s="4"/>
      <c r="AF603" s="4"/>
    </row>
    <row r="604" spans="1:32" x14ac:dyDescent="0.25">
      <c r="A604" s="4" t="str">
        <f t="shared" si="66"/>
        <v>'',</v>
      </c>
      <c r="B604" s="4" t="str">
        <f t="shared" si="67"/>
        <v>'',</v>
      </c>
      <c r="C604" s="15"/>
      <c r="D604" s="5"/>
      <c r="E604" s="5"/>
      <c r="F604" s="5"/>
      <c r="G604" s="29"/>
      <c r="H604" s="5"/>
      <c r="I604" s="22"/>
      <c r="J604" s="16"/>
      <c r="K604" s="25"/>
      <c r="L604" s="16"/>
      <c r="M604" s="16" t="str">
        <f t="shared" si="64"/>
        <v/>
      </c>
      <c r="N604" s="16" t="str">
        <f t="shared" si="65"/>
        <v/>
      </c>
      <c r="O604" s="7" t="str">
        <f t="shared" si="68"/>
        <v/>
      </c>
      <c r="P604" s="7" t="str">
        <f t="shared" si="69"/>
        <v/>
      </c>
      <c r="Q604" s="7"/>
      <c r="R604" s="7"/>
      <c r="S604" s="16"/>
      <c r="T604" s="4"/>
      <c r="U604" s="4"/>
      <c r="V604" s="4"/>
      <c r="W604" s="4"/>
      <c r="X604" s="4"/>
      <c r="Y604" s="4"/>
      <c r="Z604" s="4"/>
      <c r="AA604" s="37"/>
      <c r="AB604" s="4"/>
      <c r="AC604" s="4"/>
      <c r="AD604" s="4"/>
      <c r="AE604" s="4"/>
      <c r="AF604" s="4"/>
    </row>
    <row r="605" spans="1:32" x14ac:dyDescent="0.25">
      <c r="A605" s="4" t="str">
        <f t="shared" si="66"/>
        <v>'',</v>
      </c>
      <c r="B605" s="4" t="str">
        <f t="shared" si="67"/>
        <v>'',</v>
      </c>
      <c r="C605" s="15"/>
      <c r="D605" s="5"/>
      <c r="E605" s="5"/>
      <c r="F605" s="5"/>
      <c r="G605" s="29"/>
      <c r="H605" s="5"/>
      <c r="I605" s="22"/>
      <c r="J605" s="16"/>
      <c r="K605" s="25"/>
      <c r="L605" s="16"/>
      <c r="M605" s="16" t="str">
        <f t="shared" si="64"/>
        <v/>
      </c>
      <c r="N605" s="16" t="str">
        <f t="shared" si="65"/>
        <v/>
      </c>
      <c r="O605" s="7" t="str">
        <f t="shared" si="68"/>
        <v/>
      </c>
      <c r="P605" s="7" t="str">
        <f t="shared" si="69"/>
        <v/>
      </c>
      <c r="Q605" s="7"/>
      <c r="R605" s="7"/>
      <c r="S605" s="16"/>
      <c r="T605" s="4"/>
      <c r="U605" s="4"/>
      <c r="V605" s="4"/>
      <c r="W605" s="4"/>
      <c r="X605" s="4"/>
      <c r="Y605" s="4"/>
      <c r="Z605" s="4"/>
      <c r="AA605" s="37"/>
      <c r="AB605" s="4"/>
      <c r="AC605" s="4"/>
      <c r="AD605" s="4"/>
      <c r="AE605" s="4"/>
      <c r="AF605" s="4"/>
    </row>
    <row r="606" spans="1:32" x14ac:dyDescent="0.25">
      <c r="A606" s="4" t="str">
        <f t="shared" si="66"/>
        <v>'',</v>
      </c>
      <c r="B606" s="4" t="str">
        <f t="shared" si="67"/>
        <v>'',</v>
      </c>
      <c r="C606" s="15"/>
      <c r="D606" s="5"/>
      <c r="E606" s="5"/>
      <c r="F606" s="5"/>
      <c r="G606" s="29"/>
      <c r="H606" s="5"/>
      <c r="I606" s="22"/>
      <c r="J606" s="16"/>
      <c r="K606" s="25"/>
      <c r="L606" s="16"/>
      <c r="M606" s="16" t="str">
        <f t="shared" si="64"/>
        <v/>
      </c>
      <c r="N606" s="16" t="str">
        <f t="shared" si="65"/>
        <v/>
      </c>
      <c r="O606" s="7" t="str">
        <f t="shared" si="68"/>
        <v/>
      </c>
      <c r="P606" s="7" t="str">
        <f t="shared" si="69"/>
        <v/>
      </c>
      <c r="Q606" s="7"/>
      <c r="R606" s="7"/>
      <c r="S606" s="16"/>
      <c r="T606" s="4"/>
      <c r="U606" s="4"/>
      <c r="V606" s="4"/>
      <c r="W606" s="4"/>
      <c r="X606" s="4"/>
      <c r="Y606" s="4"/>
      <c r="Z606" s="4"/>
      <c r="AA606" s="37"/>
      <c r="AB606" s="4"/>
      <c r="AC606" s="4"/>
      <c r="AD606" s="4"/>
      <c r="AE606" s="4"/>
      <c r="AF606" s="4"/>
    </row>
    <row r="607" spans="1:32" x14ac:dyDescent="0.25">
      <c r="A607" s="4" t="str">
        <f t="shared" si="66"/>
        <v>'',</v>
      </c>
      <c r="B607" s="4" t="str">
        <f t="shared" si="67"/>
        <v>'',</v>
      </c>
      <c r="C607" s="15"/>
      <c r="D607" s="5"/>
      <c r="E607" s="5"/>
      <c r="F607" s="5"/>
      <c r="G607" s="29"/>
      <c r="H607" s="5"/>
      <c r="I607" s="22"/>
      <c r="J607" s="16"/>
      <c r="K607" s="25"/>
      <c r="L607" s="16"/>
      <c r="M607" s="16" t="str">
        <f t="shared" ref="M607:M670" si="70">IF($L607&lt;&gt;"",IF($L607="清除單筆同步失敗註記","UPDATE CIFX.TB_SERVICE_EXECUTION_CONTROL SET EXECUTION_STATE = "&amp;"'"&amp;"EXECUTED"&amp;"'"&amp;", ap_server_EXECUTING = NULL WHERE SERVICE_EXECUTION_CONTROL_ID IN ("&amp;"'"&amp;$Y607&amp;"'"&amp;") and execution_type = "&amp;"'"&amp;"STAGE1_EXECUTION"&amp;"';"&amp;"",IF($L607="重送單筆CIP電文","UPDATE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("&amp;"'"&amp;$Y607&amp;"'"&amp;") AND EXECUTION_TYPE = "&amp;"'"&amp;"STAGE1_EXECUTION"&amp;"'"&amp;";",IF($L607="清除顧客下同步任務","update cifx.tb_service_execution_control sec set sec.EXECUTION_STATE = "&amp;"'"&amp;"EXECUTED"&amp;"'"&amp;"  where sec.circi_key ="&amp;"'"&amp;AA607&amp;"';",IF($L607="重送顧客下特定同步任務","update cifx.tb_service_execution_control sec set sec.EXECUTION_STATE = "&amp;"'"&amp;"TO_EXECUTE"&amp;"'"&amp;"  where sec.SERVICE_EXECUTION_CONTROL_ID IN ();","沒有對應")))),"")</f>
        <v/>
      </c>
      <c r="N607" s="16" t="str">
        <f t="shared" ref="N607:N670" si="71">IF($L607&lt;&gt;"",IF($L607&lt;&gt;"清除顧客下同步任務","SELECT EXECUTION_TYPE,SERVICE_INTERCHANGE_ID,CIRCI_KEY,EXECUTION_STATE FROM CIFX.TB_SERVICE_EXECUTION_CONTROL WHERE SERVICE_EXECUTION_CONTROL_ID IN ("&amp;"'"&amp;$Y607&amp;"'"&amp;") AND EXECUTION_TYPE = "&amp;"'"&amp;"STAGE1_EXECUTION"&amp;"'"&amp;";","SELECT EXECUTION_TYPE,SERVICE_INTERCHANGE_ID,CIRCI_KEY,EXECUTION_STATE FROM CIFX.TB_SERVICE_EXECUTION_CONTROL SEC   where sec.circi_key ="&amp;"'"&amp;AA607&amp;"'order by req_timestamp desc ;"),"")</f>
        <v/>
      </c>
      <c r="O607" s="7" t="str">
        <f t="shared" si="68"/>
        <v/>
      </c>
      <c r="P607" s="7" t="str">
        <f t="shared" si="69"/>
        <v/>
      </c>
      <c r="Q607" s="7"/>
      <c r="R607" s="7"/>
      <c r="S607" s="16"/>
      <c r="T607" s="4"/>
      <c r="U607" s="4"/>
      <c r="V607" s="4"/>
      <c r="W607" s="4"/>
      <c r="X607" s="4"/>
      <c r="Y607" s="4"/>
      <c r="Z607" s="4"/>
      <c r="AA607" s="37"/>
      <c r="AB607" s="4"/>
      <c r="AC607" s="4"/>
      <c r="AD607" s="4"/>
      <c r="AE607" s="4"/>
      <c r="AF607" s="4"/>
    </row>
    <row r="608" spans="1:32" x14ac:dyDescent="0.25">
      <c r="A608" s="4" t="str">
        <f t="shared" si="66"/>
        <v>'',</v>
      </c>
      <c r="B608" s="4" t="str">
        <f t="shared" si="67"/>
        <v>'',</v>
      </c>
      <c r="C608" s="15"/>
      <c r="D608" s="5"/>
      <c r="E608" s="5"/>
      <c r="F608" s="5"/>
      <c r="G608" s="29"/>
      <c r="H608" s="5"/>
      <c r="I608" s="22"/>
      <c r="J608" s="16"/>
      <c r="K608" s="25"/>
      <c r="L608" s="16"/>
      <c r="M608" s="16" t="str">
        <f t="shared" si="70"/>
        <v/>
      </c>
      <c r="N608" s="16" t="str">
        <f t="shared" si="71"/>
        <v/>
      </c>
      <c r="O608" s="7" t="str">
        <f t="shared" si="68"/>
        <v/>
      </c>
      <c r="P608" s="7" t="str">
        <f t="shared" si="69"/>
        <v/>
      </c>
      <c r="Q608" s="7"/>
      <c r="R608" s="7"/>
      <c r="S608" s="16"/>
      <c r="T608" s="4"/>
      <c r="U608" s="4"/>
      <c r="V608" s="4"/>
      <c r="W608" s="4"/>
      <c r="X608" s="4"/>
      <c r="Y608" s="4"/>
      <c r="Z608" s="4"/>
      <c r="AA608" s="37"/>
      <c r="AB608" s="4"/>
      <c r="AC608" s="4"/>
      <c r="AD608" s="4"/>
      <c r="AE608" s="4"/>
      <c r="AF608" s="4"/>
    </row>
    <row r="609" spans="1:32" x14ac:dyDescent="0.25">
      <c r="A609" s="4" t="str">
        <f t="shared" si="66"/>
        <v>'',</v>
      </c>
      <c r="B609" s="4" t="str">
        <f t="shared" si="67"/>
        <v>'',</v>
      </c>
      <c r="C609" s="15"/>
      <c r="D609" s="5"/>
      <c r="E609" s="5"/>
      <c r="F609" s="5"/>
      <c r="G609" s="29"/>
      <c r="H609" s="5"/>
      <c r="I609" s="22"/>
      <c r="J609" s="16"/>
      <c r="K609" s="25"/>
      <c r="L609" s="16"/>
      <c r="M609" s="16" t="str">
        <f t="shared" si="70"/>
        <v/>
      </c>
      <c r="N609" s="16" t="str">
        <f t="shared" si="71"/>
        <v/>
      </c>
      <c r="O609" s="7" t="str">
        <f t="shared" si="68"/>
        <v/>
      </c>
      <c r="P609" s="7" t="str">
        <f t="shared" si="69"/>
        <v/>
      </c>
      <c r="Q609" s="7"/>
      <c r="R609" s="7"/>
      <c r="S609" s="16"/>
      <c r="T609" s="4"/>
      <c r="U609" s="4"/>
      <c r="V609" s="4"/>
      <c r="W609" s="4"/>
      <c r="X609" s="4"/>
      <c r="Y609" s="4"/>
      <c r="Z609" s="4"/>
      <c r="AA609" s="37"/>
      <c r="AB609" s="4"/>
      <c r="AC609" s="4"/>
      <c r="AD609" s="4"/>
      <c r="AE609" s="4"/>
      <c r="AF609" s="4"/>
    </row>
    <row r="610" spans="1:32" x14ac:dyDescent="0.25">
      <c r="A610" s="4" t="str">
        <f t="shared" si="66"/>
        <v>'',</v>
      </c>
      <c r="B610" s="4" t="str">
        <f t="shared" si="67"/>
        <v>'',</v>
      </c>
      <c r="C610" s="15"/>
      <c r="D610" s="5"/>
      <c r="E610" s="5"/>
      <c r="F610" s="5"/>
      <c r="G610" s="29"/>
      <c r="H610" s="5"/>
      <c r="I610" s="22"/>
      <c r="J610" s="16"/>
      <c r="K610" s="25"/>
      <c r="L610" s="16"/>
      <c r="M610" s="16" t="str">
        <f t="shared" si="70"/>
        <v/>
      </c>
      <c r="N610" s="16" t="str">
        <f t="shared" si="71"/>
        <v/>
      </c>
      <c r="O610" s="7" t="str">
        <f t="shared" si="68"/>
        <v/>
      </c>
      <c r="P610" s="7" t="str">
        <f t="shared" si="69"/>
        <v/>
      </c>
      <c r="Q610" s="7"/>
      <c r="R610" s="7"/>
      <c r="S610" s="16"/>
      <c r="T610" s="4"/>
      <c r="U610" s="4"/>
      <c r="V610" s="4"/>
      <c r="W610" s="4"/>
      <c r="X610" s="4"/>
      <c r="Y610" s="4"/>
      <c r="Z610" s="4"/>
      <c r="AA610" s="37"/>
      <c r="AB610" s="4"/>
      <c r="AC610" s="4"/>
      <c r="AD610" s="4"/>
      <c r="AE610" s="4"/>
      <c r="AF610" s="4"/>
    </row>
    <row r="611" spans="1:32" x14ac:dyDescent="0.25">
      <c r="A611" s="4" t="str">
        <f t="shared" si="66"/>
        <v>'',</v>
      </c>
      <c r="B611" s="4" t="str">
        <f t="shared" si="67"/>
        <v>'',</v>
      </c>
      <c r="C611" s="15"/>
      <c r="D611" s="5"/>
      <c r="E611" s="5"/>
      <c r="F611" s="5"/>
      <c r="G611" s="29"/>
      <c r="H611" s="5"/>
      <c r="I611" s="22"/>
      <c r="J611" s="16"/>
      <c r="K611" s="25"/>
      <c r="L611" s="16"/>
      <c r="M611" s="16" t="str">
        <f t="shared" si="70"/>
        <v/>
      </c>
      <c r="N611" s="16" t="str">
        <f t="shared" si="71"/>
        <v/>
      </c>
      <c r="O611" s="7" t="str">
        <f t="shared" si="68"/>
        <v/>
      </c>
      <c r="P611" s="7" t="str">
        <f t="shared" si="69"/>
        <v/>
      </c>
      <c r="Q611" s="7"/>
      <c r="R611" s="7"/>
      <c r="S611" s="16"/>
      <c r="T611" s="4"/>
      <c r="U611" s="4"/>
      <c r="V611" s="4"/>
      <c r="W611" s="4"/>
      <c r="X611" s="4"/>
      <c r="Y611" s="4"/>
      <c r="Z611" s="4"/>
      <c r="AA611" s="37"/>
      <c r="AB611" s="4"/>
      <c r="AC611" s="4"/>
      <c r="AD611" s="4"/>
      <c r="AE611" s="4"/>
      <c r="AF611" s="4"/>
    </row>
    <row r="612" spans="1:32" x14ac:dyDescent="0.25">
      <c r="A612" s="4" t="str">
        <f t="shared" si="66"/>
        <v>'',</v>
      </c>
      <c r="B612" s="4" t="str">
        <f t="shared" si="67"/>
        <v>'',</v>
      </c>
      <c r="C612" s="15"/>
      <c r="D612" s="5"/>
      <c r="E612" s="5"/>
      <c r="F612" s="5"/>
      <c r="G612" s="29"/>
      <c r="H612" s="5"/>
      <c r="I612" s="22"/>
      <c r="J612" s="16"/>
      <c r="K612" s="25"/>
      <c r="L612" s="16"/>
      <c r="M612" s="16" t="str">
        <f t="shared" si="70"/>
        <v/>
      </c>
      <c r="N612" s="16" t="str">
        <f t="shared" si="71"/>
        <v/>
      </c>
      <c r="O612" s="7" t="str">
        <f t="shared" si="68"/>
        <v/>
      </c>
      <c r="P612" s="7" t="str">
        <f t="shared" si="69"/>
        <v/>
      </c>
      <c r="Q612" s="7"/>
      <c r="R612" s="7"/>
      <c r="S612" s="16"/>
      <c r="T612" s="4"/>
      <c r="U612" s="4"/>
      <c r="V612" s="4"/>
      <c r="W612" s="4"/>
      <c r="X612" s="4"/>
      <c r="Y612" s="4"/>
      <c r="Z612" s="4"/>
      <c r="AA612" s="37"/>
      <c r="AB612" s="4"/>
      <c r="AC612" s="4"/>
      <c r="AD612" s="4"/>
      <c r="AE612" s="4"/>
      <c r="AF612" s="4"/>
    </row>
    <row r="613" spans="1:32" x14ac:dyDescent="0.25">
      <c r="A613" s="4" t="str">
        <f t="shared" si="66"/>
        <v>'',</v>
      </c>
      <c r="B613" s="4" t="str">
        <f t="shared" si="67"/>
        <v>'',</v>
      </c>
      <c r="C613" s="15"/>
      <c r="D613" s="5"/>
      <c r="E613" s="5"/>
      <c r="F613" s="5"/>
      <c r="G613" s="29"/>
      <c r="H613" s="5"/>
      <c r="I613" s="22"/>
      <c r="J613" s="16"/>
      <c r="K613" s="25"/>
      <c r="L613" s="16"/>
      <c r="M613" s="16" t="str">
        <f t="shared" si="70"/>
        <v/>
      </c>
      <c r="N613" s="16" t="str">
        <f t="shared" si="71"/>
        <v/>
      </c>
      <c r="O613" s="7" t="str">
        <f t="shared" si="68"/>
        <v/>
      </c>
      <c r="P613" s="7" t="str">
        <f t="shared" si="69"/>
        <v/>
      </c>
      <c r="Q613" s="7"/>
      <c r="R613" s="7"/>
      <c r="S613" s="16"/>
      <c r="T613" s="4"/>
      <c r="U613" s="4"/>
      <c r="V613" s="4"/>
      <c r="W613" s="4"/>
      <c r="X613" s="4"/>
      <c r="Y613" s="4"/>
      <c r="Z613" s="4"/>
      <c r="AA613" s="37"/>
      <c r="AB613" s="4"/>
      <c r="AC613" s="4"/>
      <c r="AD613" s="4"/>
      <c r="AE613" s="4"/>
      <c r="AF613" s="4"/>
    </row>
    <row r="614" spans="1:32" x14ac:dyDescent="0.25">
      <c r="A614" s="4" t="str">
        <f t="shared" si="66"/>
        <v>'',</v>
      </c>
      <c r="B614" s="4" t="str">
        <f t="shared" si="67"/>
        <v>'',</v>
      </c>
      <c r="C614" s="15"/>
      <c r="D614" s="5"/>
      <c r="E614" s="5"/>
      <c r="F614" s="5"/>
      <c r="G614" s="29"/>
      <c r="H614" s="5"/>
      <c r="I614" s="22"/>
      <c r="J614" s="16"/>
      <c r="K614" s="25"/>
      <c r="L614" s="16"/>
      <c r="M614" s="16" t="str">
        <f t="shared" si="70"/>
        <v/>
      </c>
      <c r="N614" s="16" t="str">
        <f t="shared" si="71"/>
        <v/>
      </c>
      <c r="O614" s="7" t="str">
        <f t="shared" si="68"/>
        <v/>
      </c>
      <c r="P614" s="7" t="str">
        <f t="shared" si="69"/>
        <v/>
      </c>
      <c r="Q614" s="7"/>
      <c r="R614" s="7"/>
      <c r="S614" s="16"/>
      <c r="T614" s="4"/>
      <c r="U614" s="4"/>
      <c r="V614" s="4"/>
      <c r="W614" s="4"/>
      <c r="X614" s="4"/>
      <c r="Y614" s="4"/>
      <c r="Z614" s="4"/>
      <c r="AA614" s="37"/>
      <c r="AB614" s="4"/>
      <c r="AC614" s="4"/>
      <c r="AD614" s="4"/>
      <c r="AE614" s="4"/>
      <c r="AF614" s="4"/>
    </row>
    <row r="615" spans="1:32" x14ac:dyDescent="0.25">
      <c r="A615" s="4" t="str">
        <f t="shared" si="66"/>
        <v>'',</v>
      </c>
      <c r="B615" s="4" t="str">
        <f t="shared" si="67"/>
        <v>'',</v>
      </c>
      <c r="C615" s="15"/>
      <c r="D615" s="5"/>
      <c r="E615" s="5"/>
      <c r="F615" s="5"/>
      <c r="G615" s="29"/>
      <c r="H615" s="5"/>
      <c r="I615" s="22"/>
      <c r="J615" s="16"/>
      <c r="K615" s="25"/>
      <c r="L615" s="16"/>
      <c r="M615" s="16" t="str">
        <f t="shared" si="70"/>
        <v/>
      </c>
      <c r="N615" s="16" t="str">
        <f t="shared" si="71"/>
        <v/>
      </c>
      <c r="O615" s="7" t="str">
        <f t="shared" si="68"/>
        <v/>
      </c>
      <c r="P615" s="7" t="str">
        <f t="shared" si="69"/>
        <v/>
      </c>
      <c r="Q615" s="7"/>
      <c r="R615" s="7"/>
      <c r="S615" s="16"/>
      <c r="T615" s="4"/>
      <c r="U615" s="4"/>
      <c r="V615" s="4"/>
      <c r="W615" s="4"/>
      <c r="X615" s="4"/>
      <c r="Y615" s="4"/>
      <c r="Z615" s="4"/>
      <c r="AA615" s="37"/>
      <c r="AB615" s="4"/>
      <c r="AC615" s="4"/>
      <c r="AD615" s="4"/>
      <c r="AE615" s="4"/>
      <c r="AF615" s="4"/>
    </row>
    <row r="616" spans="1:32" x14ac:dyDescent="0.25">
      <c r="A616" s="4" t="str">
        <f t="shared" si="66"/>
        <v>'',</v>
      </c>
      <c r="B616" s="4" t="str">
        <f t="shared" si="67"/>
        <v>'',</v>
      </c>
      <c r="C616" s="15"/>
      <c r="D616" s="5"/>
      <c r="E616" s="5"/>
      <c r="F616" s="5"/>
      <c r="G616" s="29"/>
      <c r="H616" s="5"/>
      <c r="I616" s="22"/>
      <c r="J616" s="16"/>
      <c r="K616" s="25"/>
      <c r="L616" s="16"/>
      <c r="M616" s="16" t="str">
        <f t="shared" si="70"/>
        <v/>
      </c>
      <c r="N616" s="16" t="str">
        <f t="shared" si="71"/>
        <v/>
      </c>
      <c r="O616" s="7" t="str">
        <f t="shared" si="68"/>
        <v/>
      </c>
      <c r="P616" s="7" t="str">
        <f t="shared" si="69"/>
        <v/>
      </c>
      <c r="Q616" s="7"/>
      <c r="R616" s="7"/>
      <c r="S616" s="16"/>
      <c r="T616" s="4"/>
      <c r="U616" s="4"/>
      <c r="V616" s="4"/>
      <c r="W616" s="4"/>
      <c r="X616" s="4"/>
      <c r="Y616" s="4"/>
      <c r="Z616" s="4"/>
      <c r="AA616" s="37"/>
      <c r="AB616" s="4"/>
      <c r="AC616" s="4"/>
      <c r="AD616" s="4"/>
      <c r="AE616" s="4"/>
      <c r="AF616" s="4"/>
    </row>
    <row r="617" spans="1:32" x14ac:dyDescent="0.25">
      <c r="A617" s="4" t="str">
        <f t="shared" si="66"/>
        <v>'',</v>
      </c>
      <c r="B617" s="4" t="str">
        <f t="shared" si="67"/>
        <v>'',</v>
      </c>
      <c r="C617" s="15"/>
      <c r="D617" s="5"/>
      <c r="E617" s="5"/>
      <c r="F617" s="5"/>
      <c r="G617" s="29"/>
      <c r="H617" s="5"/>
      <c r="I617" s="22"/>
      <c r="J617" s="16"/>
      <c r="K617" s="25"/>
      <c r="L617" s="16"/>
      <c r="M617" s="16" t="str">
        <f t="shared" si="70"/>
        <v/>
      </c>
      <c r="N617" s="16" t="str">
        <f t="shared" si="71"/>
        <v/>
      </c>
      <c r="O617" s="7" t="str">
        <f t="shared" si="68"/>
        <v/>
      </c>
      <c r="P617" s="7" t="str">
        <f t="shared" si="69"/>
        <v/>
      </c>
      <c r="Q617" s="7"/>
      <c r="R617" s="7"/>
      <c r="S617" s="16"/>
      <c r="T617" s="4"/>
      <c r="U617" s="4"/>
      <c r="V617" s="4"/>
      <c r="W617" s="4"/>
      <c r="X617" s="4"/>
      <c r="Y617" s="4"/>
      <c r="Z617" s="4"/>
      <c r="AA617" s="37"/>
      <c r="AB617" s="4"/>
      <c r="AC617" s="4"/>
      <c r="AD617" s="4"/>
      <c r="AE617" s="4"/>
      <c r="AF617" s="4"/>
    </row>
    <row r="618" spans="1:32" x14ac:dyDescent="0.25">
      <c r="A618" s="4" t="str">
        <f t="shared" si="66"/>
        <v>'',</v>
      </c>
      <c r="B618" s="4" t="str">
        <f t="shared" si="67"/>
        <v>'',</v>
      </c>
      <c r="C618" s="15"/>
      <c r="D618" s="5"/>
      <c r="E618" s="5"/>
      <c r="F618" s="5"/>
      <c r="G618" s="29"/>
      <c r="H618" s="5"/>
      <c r="I618" s="22"/>
      <c r="J618" s="16"/>
      <c r="K618" s="25"/>
      <c r="L618" s="16"/>
      <c r="M618" s="16" t="str">
        <f t="shared" si="70"/>
        <v/>
      </c>
      <c r="N618" s="16" t="str">
        <f t="shared" si="71"/>
        <v/>
      </c>
      <c r="O618" s="7" t="str">
        <f t="shared" si="68"/>
        <v/>
      </c>
      <c r="P618" s="7" t="str">
        <f t="shared" si="69"/>
        <v/>
      </c>
      <c r="Q618" s="7"/>
      <c r="R618" s="7"/>
      <c r="S618" s="16"/>
      <c r="T618" s="4"/>
      <c r="U618" s="4"/>
      <c r="V618" s="4"/>
      <c r="W618" s="4"/>
      <c r="X618" s="4"/>
      <c r="Y618" s="4"/>
      <c r="Z618" s="4"/>
      <c r="AA618" s="37"/>
      <c r="AB618" s="4"/>
      <c r="AC618" s="4"/>
      <c r="AD618" s="4"/>
      <c r="AE618" s="4"/>
      <c r="AF618" s="4"/>
    </row>
    <row r="619" spans="1:32" x14ac:dyDescent="0.25">
      <c r="A619" s="4" t="str">
        <f t="shared" si="66"/>
        <v>'',</v>
      </c>
      <c r="B619" s="4" t="str">
        <f t="shared" si="67"/>
        <v>'',</v>
      </c>
      <c r="C619" s="15"/>
      <c r="D619" s="5"/>
      <c r="E619" s="5"/>
      <c r="F619" s="5"/>
      <c r="G619" s="29"/>
      <c r="H619" s="5"/>
      <c r="I619" s="22"/>
      <c r="J619" s="16"/>
      <c r="K619" s="25"/>
      <c r="L619" s="16"/>
      <c r="M619" s="16" t="str">
        <f t="shared" si="70"/>
        <v/>
      </c>
      <c r="N619" s="16" t="str">
        <f t="shared" si="71"/>
        <v/>
      </c>
      <c r="O619" s="7" t="str">
        <f t="shared" si="68"/>
        <v/>
      </c>
      <c r="P619" s="7" t="str">
        <f t="shared" si="69"/>
        <v/>
      </c>
      <c r="Q619" s="7"/>
      <c r="R619" s="7"/>
      <c r="S619" s="16"/>
      <c r="T619" s="4"/>
      <c r="U619" s="4"/>
      <c r="V619" s="4"/>
      <c r="W619" s="4"/>
      <c r="X619" s="4"/>
      <c r="Y619" s="4"/>
      <c r="Z619" s="4"/>
      <c r="AA619" s="37"/>
      <c r="AB619" s="4"/>
      <c r="AC619" s="4"/>
      <c r="AD619" s="4"/>
      <c r="AE619" s="4"/>
      <c r="AF619" s="4"/>
    </row>
    <row r="620" spans="1:32" x14ac:dyDescent="0.25">
      <c r="A620" s="4" t="str">
        <f t="shared" si="66"/>
        <v>'',</v>
      </c>
      <c r="B620" s="4" t="str">
        <f t="shared" si="67"/>
        <v>'',</v>
      </c>
      <c r="C620" s="15"/>
      <c r="D620" s="5"/>
      <c r="E620" s="5"/>
      <c r="F620" s="5"/>
      <c r="G620" s="29"/>
      <c r="H620" s="5"/>
      <c r="I620" s="22"/>
      <c r="J620" s="16"/>
      <c r="K620" s="25"/>
      <c r="L620" s="16"/>
      <c r="M620" s="16" t="str">
        <f t="shared" si="70"/>
        <v/>
      </c>
      <c r="N620" s="16" t="str">
        <f t="shared" si="71"/>
        <v/>
      </c>
      <c r="O620" s="7" t="str">
        <f t="shared" si="68"/>
        <v/>
      </c>
      <c r="P620" s="7" t="str">
        <f t="shared" si="69"/>
        <v/>
      </c>
      <c r="Q620" s="7"/>
      <c r="R620" s="7"/>
      <c r="S620" s="16"/>
      <c r="T620" s="4"/>
      <c r="U620" s="4"/>
      <c r="V620" s="4"/>
      <c r="W620" s="4"/>
      <c r="X620" s="4"/>
      <c r="Y620" s="4"/>
      <c r="Z620" s="4"/>
      <c r="AA620" s="37"/>
      <c r="AB620" s="4"/>
      <c r="AC620" s="4"/>
      <c r="AD620" s="4"/>
      <c r="AE620" s="4"/>
      <c r="AF620" s="4"/>
    </row>
    <row r="621" spans="1:32" x14ac:dyDescent="0.25">
      <c r="A621" s="4" t="str">
        <f t="shared" si="66"/>
        <v>'',</v>
      </c>
      <c r="B621" s="4" t="str">
        <f t="shared" si="67"/>
        <v>'',</v>
      </c>
      <c r="C621" s="15"/>
      <c r="D621" s="5"/>
      <c r="E621" s="5"/>
      <c r="F621" s="5"/>
      <c r="G621" s="29"/>
      <c r="H621" s="5"/>
      <c r="I621" s="22"/>
      <c r="J621" s="16"/>
      <c r="K621" s="25"/>
      <c r="L621" s="16"/>
      <c r="M621" s="16" t="str">
        <f t="shared" si="70"/>
        <v/>
      </c>
      <c r="N621" s="16" t="str">
        <f t="shared" si="71"/>
        <v/>
      </c>
      <c r="O621" s="7" t="str">
        <f t="shared" si="68"/>
        <v/>
      </c>
      <c r="P621" s="7" t="str">
        <f t="shared" si="69"/>
        <v/>
      </c>
      <c r="Q621" s="7"/>
      <c r="R621" s="7"/>
      <c r="S621" s="16"/>
      <c r="T621" s="4"/>
      <c r="U621" s="4"/>
      <c r="V621" s="4"/>
      <c r="W621" s="4"/>
      <c r="X621" s="4"/>
      <c r="Y621" s="4"/>
      <c r="Z621" s="4"/>
      <c r="AA621" s="37"/>
      <c r="AB621" s="4"/>
      <c r="AC621" s="4"/>
      <c r="AD621" s="4"/>
      <c r="AE621" s="4"/>
      <c r="AF621" s="4"/>
    </row>
    <row r="622" spans="1:32" x14ac:dyDescent="0.25">
      <c r="A622" s="4" t="str">
        <f t="shared" si="66"/>
        <v>'',</v>
      </c>
      <c r="B622" s="4" t="str">
        <f t="shared" si="67"/>
        <v>'',</v>
      </c>
      <c r="C622" s="15"/>
      <c r="D622" s="5"/>
      <c r="E622" s="5"/>
      <c r="F622" s="5"/>
      <c r="G622" s="29"/>
      <c r="H622" s="5"/>
      <c r="I622" s="22"/>
      <c r="J622" s="16"/>
      <c r="K622" s="25"/>
      <c r="L622" s="16"/>
      <c r="M622" s="16" t="str">
        <f t="shared" si="70"/>
        <v/>
      </c>
      <c r="N622" s="16" t="str">
        <f t="shared" si="71"/>
        <v/>
      </c>
      <c r="O622" s="7" t="str">
        <f t="shared" si="68"/>
        <v/>
      </c>
      <c r="P622" s="7" t="str">
        <f t="shared" si="69"/>
        <v/>
      </c>
      <c r="Q622" s="7"/>
      <c r="R622" s="7"/>
      <c r="S622" s="16"/>
      <c r="T622" s="4"/>
      <c r="U622" s="4"/>
      <c r="V622" s="4"/>
      <c r="W622" s="4"/>
      <c r="X622" s="4"/>
      <c r="Y622" s="4"/>
      <c r="Z622" s="4"/>
      <c r="AA622" s="37"/>
      <c r="AB622" s="4"/>
      <c r="AC622" s="4"/>
      <c r="AD622" s="4"/>
      <c r="AE622" s="4"/>
      <c r="AF622" s="4"/>
    </row>
    <row r="623" spans="1:32" x14ac:dyDescent="0.25">
      <c r="A623" s="4" t="str">
        <f t="shared" si="66"/>
        <v>'',</v>
      </c>
      <c r="B623" s="4" t="str">
        <f t="shared" si="67"/>
        <v>'',</v>
      </c>
      <c r="C623" s="15"/>
      <c r="D623" s="5"/>
      <c r="E623" s="5"/>
      <c r="F623" s="5"/>
      <c r="G623" s="29"/>
      <c r="H623" s="5"/>
      <c r="I623" s="22"/>
      <c r="J623" s="16"/>
      <c r="K623" s="25"/>
      <c r="L623" s="16"/>
      <c r="M623" s="16" t="str">
        <f t="shared" si="70"/>
        <v/>
      </c>
      <c r="N623" s="16" t="str">
        <f t="shared" si="71"/>
        <v/>
      </c>
      <c r="O623" s="7" t="str">
        <f t="shared" si="68"/>
        <v/>
      </c>
      <c r="P623" s="7" t="str">
        <f t="shared" si="69"/>
        <v/>
      </c>
      <c r="Q623" s="7"/>
      <c r="R623" s="7"/>
      <c r="S623" s="16"/>
      <c r="T623" s="4"/>
      <c r="U623" s="4"/>
      <c r="V623" s="4"/>
      <c r="W623" s="4"/>
      <c r="X623" s="4"/>
      <c r="Y623" s="4"/>
      <c r="Z623" s="4"/>
      <c r="AA623" s="37"/>
      <c r="AB623" s="4"/>
      <c r="AC623" s="4"/>
      <c r="AD623" s="4"/>
      <c r="AE623" s="4"/>
      <c r="AF623" s="4"/>
    </row>
    <row r="624" spans="1:32" x14ac:dyDescent="0.25">
      <c r="A624" s="4" t="str">
        <f t="shared" si="66"/>
        <v>'',</v>
      </c>
      <c r="B624" s="4" t="str">
        <f t="shared" si="67"/>
        <v>'',</v>
      </c>
      <c r="C624" s="15"/>
      <c r="D624" s="5"/>
      <c r="E624" s="5"/>
      <c r="F624" s="5"/>
      <c r="G624" s="29"/>
      <c r="H624" s="5"/>
      <c r="I624" s="22"/>
      <c r="J624" s="16"/>
      <c r="K624" s="25"/>
      <c r="L624" s="16"/>
      <c r="M624" s="16" t="str">
        <f t="shared" si="70"/>
        <v/>
      </c>
      <c r="N624" s="16" t="str">
        <f t="shared" si="71"/>
        <v/>
      </c>
      <c r="O624" s="7" t="str">
        <f t="shared" si="68"/>
        <v/>
      </c>
      <c r="P624" s="7" t="str">
        <f t="shared" si="69"/>
        <v/>
      </c>
      <c r="Q624" s="7"/>
      <c r="R624" s="7"/>
      <c r="S624" s="16"/>
      <c r="T624" s="4"/>
      <c r="U624" s="4"/>
      <c r="V624" s="4"/>
      <c r="W624" s="4"/>
      <c r="X624" s="4"/>
      <c r="Y624" s="4"/>
      <c r="Z624" s="4"/>
      <c r="AA624" s="37"/>
      <c r="AB624" s="4"/>
      <c r="AC624" s="4"/>
      <c r="AD624" s="4"/>
      <c r="AE624" s="4"/>
      <c r="AF624" s="4"/>
    </row>
    <row r="625" spans="1:32" x14ac:dyDescent="0.25">
      <c r="A625" s="4" t="str">
        <f t="shared" si="66"/>
        <v>'',</v>
      </c>
      <c r="B625" s="4" t="str">
        <f t="shared" si="67"/>
        <v>'',</v>
      </c>
      <c r="C625" s="15"/>
      <c r="D625" s="5"/>
      <c r="E625" s="5"/>
      <c r="F625" s="5"/>
      <c r="G625" s="29"/>
      <c r="H625" s="5"/>
      <c r="I625" s="22"/>
      <c r="J625" s="16"/>
      <c r="K625" s="25"/>
      <c r="L625" s="16"/>
      <c r="M625" s="16" t="str">
        <f t="shared" si="70"/>
        <v/>
      </c>
      <c r="N625" s="16" t="str">
        <f t="shared" si="71"/>
        <v/>
      </c>
      <c r="O625" s="7" t="str">
        <f t="shared" si="68"/>
        <v/>
      </c>
      <c r="P625" s="7" t="str">
        <f t="shared" si="69"/>
        <v/>
      </c>
      <c r="Q625" s="7"/>
      <c r="R625" s="7"/>
      <c r="S625" s="16"/>
      <c r="T625" s="4"/>
      <c r="U625" s="4"/>
      <c r="V625" s="4"/>
      <c r="W625" s="4"/>
      <c r="X625" s="4"/>
      <c r="Y625" s="4"/>
      <c r="Z625" s="4"/>
      <c r="AA625" s="37"/>
      <c r="AB625" s="4"/>
      <c r="AC625" s="4"/>
      <c r="AD625" s="4"/>
      <c r="AE625" s="4"/>
      <c r="AF625" s="4"/>
    </row>
    <row r="626" spans="1:32" x14ac:dyDescent="0.25">
      <c r="A626" s="4" t="str">
        <f t="shared" si="66"/>
        <v>'',</v>
      </c>
      <c r="B626" s="4" t="str">
        <f t="shared" si="67"/>
        <v>'',</v>
      </c>
      <c r="C626" s="15"/>
      <c r="D626" s="5"/>
      <c r="E626" s="5"/>
      <c r="F626" s="5"/>
      <c r="G626" s="29"/>
      <c r="H626" s="5"/>
      <c r="I626" s="22"/>
      <c r="J626" s="16"/>
      <c r="K626" s="25"/>
      <c r="L626" s="16"/>
      <c r="M626" s="16" t="str">
        <f t="shared" si="70"/>
        <v/>
      </c>
      <c r="N626" s="16" t="str">
        <f t="shared" si="71"/>
        <v/>
      </c>
      <c r="O626" s="7" t="str">
        <f t="shared" si="68"/>
        <v/>
      </c>
      <c r="P626" s="7" t="str">
        <f t="shared" si="69"/>
        <v/>
      </c>
      <c r="Q626" s="7"/>
      <c r="R626" s="7"/>
      <c r="S626" s="16"/>
      <c r="T626" s="4"/>
      <c r="U626" s="4"/>
      <c r="V626" s="4"/>
      <c r="W626" s="4"/>
      <c r="X626" s="4"/>
      <c r="Y626" s="4"/>
      <c r="Z626" s="4"/>
      <c r="AA626" s="37"/>
      <c r="AB626" s="4"/>
      <c r="AC626" s="4"/>
      <c r="AD626" s="4"/>
      <c r="AE626" s="4"/>
      <c r="AF626" s="4"/>
    </row>
    <row r="627" spans="1:32" x14ac:dyDescent="0.25">
      <c r="A627" s="4" t="str">
        <f t="shared" si="66"/>
        <v>'',</v>
      </c>
      <c r="B627" s="4" t="str">
        <f t="shared" si="67"/>
        <v>'',</v>
      </c>
      <c r="C627" s="15"/>
      <c r="D627" s="5"/>
      <c r="E627" s="5"/>
      <c r="F627" s="5"/>
      <c r="G627" s="29"/>
      <c r="H627" s="5"/>
      <c r="I627" s="22"/>
      <c r="J627" s="16"/>
      <c r="K627" s="25"/>
      <c r="L627" s="16"/>
      <c r="M627" s="16" t="str">
        <f t="shared" si="70"/>
        <v/>
      </c>
      <c r="N627" s="16" t="str">
        <f t="shared" si="71"/>
        <v/>
      </c>
      <c r="O627" s="7" t="str">
        <f t="shared" si="68"/>
        <v/>
      </c>
      <c r="P627" s="7" t="str">
        <f t="shared" si="69"/>
        <v/>
      </c>
      <c r="Q627" s="7"/>
      <c r="R627" s="7"/>
      <c r="S627" s="16"/>
      <c r="T627" s="4"/>
      <c r="U627" s="4"/>
      <c r="V627" s="4"/>
      <c r="W627" s="4"/>
      <c r="X627" s="4"/>
      <c r="Y627" s="4"/>
      <c r="Z627" s="4"/>
      <c r="AA627" s="37"/>
      <c r="AB627" s="4"/>
      <c r="AC627" s="4"/>
      <c r="AD627" s="4"/>
      <c r="AE627" s="4"/>
      <c r="AF627" s="4"/>
    </row>
    <row r="628" spans="1:32" x14ac:dyDescent="0.25">
      <c r="A628" s="4" t="str">
        <f t="shared" si="66"/>
        <v>'',</v>
      </c>
      <c r="B628" s="4" t="str">
        <f t="shared" si="67"/>
        <v>'',</v>
      </c>
      <c r="C628" s="15"/>
      <c r="D628" s="5"/>
      <c r="E628" s="5"/>
      <c r="F628" s="5"/>
      <c r="G628" s="29"/>
      <c r="H628" s="5"/>
      <c r="I628" s="22"/>
      <c r="J628" s="16"/>
      <c r="K628" s="25"/>
      <c r="L628" s="16"/>
      <c r="M628" s="16" t="str">
        <f t="shared" si="70"/>
        <v/>
      </c>
      <c r="N628" s="16" t="str">
        <f t="shared" si="71"/>
        <v/>
      </c>
      <c r="O628" s="7" t="str">
        <f t="shared" si="68"/>
        <v/>
      </c>
      <c r="P628" s="7" t="str">
        <f t="shared" si="69"/>
        <v/>
      </c>
      <c r="Q628" s="7"/>
      <c r="R628" s="7"/>
      <c r="S628" s="16"/>
      <c r="T628" s="4"/>
      <c r="U628" s="4"/>
      <c r="V628" s="4"/>
      <c r="W628" s="4"/>
      <c r="X628" s="4"/>
      <c r="Y628" s="4"/>
      <c r="Z628" s="4"/>
      <c r="AA628" s="37"/>
      <c r="AB628" s="4"/>
      <c r="AC628" s="4"/>
      <c r="AD628" s="4"/>
      <c r="AE628" s="4"/>
      <c r="AF628" s="4"/>
    </row>
    <row r="629" spans="1:32" x14ac:dyDescent="0.25">
      <c r="A629" s="4" t="str">
        <f t="shared" si="66"/>
        <v>'',</v>
      </c>
      <c r="B629" s="4" t="str">
        <f t="shared" si="67"/>
        <v>'',</v>
      </c>
      <c r="C629" s="15"/>
      <c r="D629" s="5"/>
      <c r="E629" s="5"/>
      <c r="F629" s="5"/>
      <c r="G629" s="29"/>
      <c r="H629" s="5"/>
      <c r="I629" s="22"/>
      <c r="J629" s="16"/>
      <c r="K629" s="25"/>
      <c r="L629" s="16"/>
      <c r="M629" s="16" t="str">
        <f t="shared" si="70"/>
        <v/>
      </c>
      <c r="N629" s="16" t="str">
        <f t="shared" si="71"/>
        <v/>
      </c>
      <c r="O629" s="7" t="str">
        <f t="shared" si="68"/>
        <v/>
      </c>
      <c r="P629" s="7" t="str">
        <f t="shared" si="69"/>
        <v/>
      </c>
      <c r="Q629" s="7"/>
      <c r="R629" s="7"/>
      <c r="S629" s="16"/>
      <c r="T629" s="4"/>
      <c r="U629" s="4"/>
      <c r="V629" s="4"/>
      <c r="W629" s="4"/>
      <c r="X629" s="4"/>
      <c r="Y629" s="4"/>
      <c r="Z629" s="4"/>
      <c r="AA629" s="37"/>
      <c r="AB629" s="4"/>
      <c r="AC629" s="4"/>
      <c r="AD629" s="4"/>
      <c r="AE629" s="4"/>
      <c r="AF629" s="4"/>
    </row>
    <row r="630" spans="1:32" x14ac:dyDescent="0.25">
      <c r="A630" s="4" t="str">
        <f t="shared" si="66"/>
        <v>'',</v>
      </c>
      <c r="B630" s="4" t="str">
        <f t="shared" si="67"/>
        <v>'',</v>
      </c>
      <c r="C630" s="15"/>
      <c r="D630" s="5"/>
      <c r="E630" s="5"/>
      <c r="F630" s="5"/>
      <c r="G630" s="29"/>
      <c r="H630" s="5"/>
      <c r="I630" s="22"/>
      <c r="J630" s="16"/>
      <c r="K630" s="25"/>
      <c r="L630" s="16"/>
      <c r="M630" s="16" t="str">
        <f t="shared" si="70"/>
        <v/>
      </c>
      <c r="N630" s="16" t="str">
        <f t="shared" si="71"/>
        <v/>
      </c>
      <c r="O630" s="7" t="str">
        <f t="shared" si="68"/>
        <v/>
      </c>
      <c r="P630" s="7" t="str">
        <f t="shared" si="69"/>
        <v/>
      </c>
      <c r="Q630" s="7"/>
      <c r="R630" s="7"/>
      <c r="S630" s="16"/>
      <c r="T630" s="4"/>
      <c r="U630" s="4"/>
      <c r="V630" s="4"/>
      <c r="W630" s="4"/>
      <c r="X630" s="4"/>
      <c r="Y630" s="4"/>
      <c r="Z630" s="4"/>
      <c r="AA630" s="37"/>
      <c r="AB630" s="4"/>
      <c r="AC630" s="4"/>
      <c r="AD630" s="4"/>
      <c r="AE630" s="4"/>
      <c r="AF630" s="4"/>
    </row>
    <row r="631" spans="1:32" x14ac:dyDescent="0.25">
      <c r="A631" s="4" t="str">
        <f t="shared" si="66"/>
        <v>'',</v>
      </c>
      <c r="B631" s="4" t="str">
        <f t="shared" si="67"/>
        <v>'',</v>
      </c>
      <c r="C631" s="15"/>
      <c r="D631" s="5"/>
      <c r="E631" s="5"/>
      <c r="F631" s="5"/>
      <c r="G631" s="29"/>
      <c r="H631" s="5"/>
      <c r="I631" s="22"/>
      <c r="J631" s="16"/>
      <c r="K631" s="25"/>
      <c r="L631" s="16"/>
      <c r="M631" s="16" t="str">
        <f t="shared" si="70"/>
        <v/>
      </c>
      <c r="N631" s="16" t="str">
        <f t="shared" si="71"/>
        <v/>
      </c>
      <c r="O631" s="7" t="str">
        <f t="shared" si="68"/>
        <v/>
      </c>
      <c r="P631" s="7" t="str">
        <f t="shared" si="69"/>
        <v/>
      </c>
      <c r="Q631" s="7"/>
      <c r="R631" s="7"/>
      <c r="S631" s="16"/>
      <c r="T631" s="4"/>
      <c r="U631" s="4"/>
      <c r="V631" s="4"/>
      <c r="W631" s="4"/>
      <c r="X631" s="4"/>
      <c r="Y631" s="4"/>
      <c r="Z631" s="4"/>
      <c r="AA631" s="37"/>
      <c r="AB631" s="4"/>
      <c r="AC631" s="4"/>
      <c r="AD631" s="4"/>
      <c r="AE631" s="4"/>
      <c r="AF631" s="4"/>
    </row>
    <row r="632" spans="1:32" x14ac:dyDescent="0.25">
      <c r="A632" s="4" t="str">
        <f t="shared" si="66"/>
        <v>'',</v>
      </c>
      <c r="B632" s="4" t="str">
        <f t="shared" si="67"/>
        <v>'',</v>
      </c>
      <c r="C632" s="15"/>
      <c r="D632" s="5"/>
      <c r="E632" s="5"/>
      <c r="F632" s="5"/>
      <c r="G632" s="29"/>
      <c r="H632" s="5"/>
      <c r="I632" s="22"/>
      <c r="J632" s="16"/>
      <c r="K632" s="25"/>
      <c r="L632" s="16"/>
      <c r="M632" s="16" t="str">
        <f t="shared" si="70"/>
        <v/>
      </c>
      <c r="N632" s="16" t="str">
        <f t="shared" si="71"/>
        <v/>
      </c>
      <c r="O632" s="7" t="str">
        <f t="shared" si="68"/>
        <v/>
      </c>
      <c r="P632" s="7" t="str">
        <f t="shared" si="69"/>
        <v/>
      </c>
      <c r="Q632" s="7"/>
      <c r="R632" s="7"/>
      <c r="S632" s="16"/>
      <c r="T632" s="4"/>
      <c r="U632" s="4"/>
      <c r="V632" s="4"/>
      <c r="W632" s="4"/>
      <c r="X632" s="4"/>
      <c r="Y632" s="4"/>
      <c r="Z632" s="4"/>
      <c r="AA632" s="37"/>
      <c r="AB632" s="4"/>
      <c r="AC632" s="4"/>
      <c r="AD632" s="4"/>
      <c r="AE632" s="4"/>
      <c r="AF632" s="4"/>
    </row>
    <row r="633" spans="1:32" x14ac:dyDescent="0.25">
      <c r="A633" s="4" t="str">
        <f t="shared" si="66"/>
        <v>'',</v>
      </c>
      <c r="B633" s="4" t="str">
        <f t="shared" si="67"/>
        <v>'',</v>
      </c>
      <c r="C633" s="15"/>
      <c r="D633" s="5"/>
      <c r="E633" s="5"/>
      <c r="F633" s="5"/>
      <c r="G633" s="29"/>
      <c r="H633" s="5"/>
      <c r="I633" s="22"/>
      <c r="J633" s="16"/>
      <c r="K633" s="25"/>
      <c r="L633" s="16"/>
      <c r="M633" s="16" t="str">
        <f t="shared" si="70"/>
        <v/>
      </c>
      <c r="N633" s="16" t="str">
        <f t="shared" si="71"/>
        <v/>
      </c>
      <c r="O633" s="7" t="str">
        <f t="shared" si="68"/>
        <v/>
      </c>
      <c r="P633" s="7" t="str">
        <f t="shared" si="69"/>
        <v/>
      </c>
      <c r="Q633" s="7"/>
      <c r="R633" s="7"/>
      <c r="S633" s="16"/>
      <c r="T633" s="4"/>
      <c r="U633" s="4"/>
      <c r="V633" s="4"/>
      <c r="W633" s="4"/>
      <c r="X633" s="4"/>
      <c r="Y633" s="4"/>
      <c r="Z633" s="4"/>
      <c r="AA633" s="37"/>
      <c r="AB633" s="4"/>
      <c r="AC633" s="4"/>
      <c r="AD633" s="4"/>
      <c r="AE633" s="4"/>
      <c r="AF633" s="4"/>
    </row>
    <row r="634" spans="1:32" x14ac:dyDescent="0.25">
      <c r="A634" s="4" t="str">
        <f t="shared" si="66"/>
        <v>'',</v>
      </c>
      <c r="B634" s="4" t="str">
        <f t="shared" si="67"/>
        <v>'',</v>
      </c>
      <c r="C634" s="15"/>
      <c r="D634" s="5"/>
      <c r="E634" s="5"/>
      <c r="F634" s="5"/>
      <c r="G634" s="29"/>
      <c r="H634" s="5"/>
      <c r="I634" s="22"/>
      <c r="J634" s="16"/>
      <c r="K634" s="25"/>
      <c r="L634" s="16"/>
      <c r="M634" s="16" t="str">
        <f t="shared" si="70"/>
        <v/>
      </c>
      <c r="N634" s="16" t="str">
        <f t="shared" si="71"/>
        <v/>
      </c>
      <c r="O634" s="7" t="str">
        <f t="shared" si="68"/>
        <v/>
      </c>
      <c r="P634" s="7" t="str">
        <f t="shared" si="69"/>
        <v/>
      </c>
      <c r="Q634" s="7"/>
      <c r="R634" s="7"/>
      <c r="S634" s="16"/>
      <c r="T634" s="4"/>
      <c r="U634" s="4"/>
      <c r="V634" s="4"/>
      <c r="W634" s="4"/>
      <c r="X634" s="4"/>
      <c r="Y634" s="4"/>
      <c r="Z634" s="4"/>
      <c r="AA634" s="37"/>
      <c r="AB634" s="4"/>
      <c r="AC634" s="4"/>
      <c r="AD634" s="4"/>
      <c r="AE634" s="4"/>
      <c r="AF634" s="4"/>
    </row>
    <row r="635" spans="1:32" x14ac:dyDescent="0.25">
      <c r="A635" s="4" t="str">
        <f t="shared" si="66"/>
        <v>'',</v>
      </c>
      <c r="B635" s="4" t="str">
        <f t="shared" si="67"/>
        <v>'',</v>
      </c>
      <c r="C635" s="15"/>
      <c r="D635" s="5"/>
      <c r="E635" s="5"/>
      <c r="F635" s="5"/>
      <c r="G635" s="29"/>
      <c r="H635" s="5"/>
      <c r="I635" s="22"/>
      <c r="J635" s="16"/>
      <c r="K635" s="25"/>
      <c r="L635" s="16"/>
      <c r="M635" s="16" t="str">
        <f t="shared" si="70"/>
        <v/>
      </c>
      <c r="N635" s="16" t="str">
        <f t="shared" si="71"/>
        <v/>
      </c>
      <c r="O635" s="7" t="str">
        <f t="shared" si="68"/>
        <v/>
      </c>
      <c r="P635" s="7" t="str">
        <f t="shared" si="69"/>
        <v/>
      </c>
      <c r="Q635" s="7"/>
      <c r="R635" s="7"/>
      <c r="S635" s="16"/>
      <c r="T635" s="4"/>
      <c r="U635" s="4"/>
      <c r="V635" s="4"/>
      <c r="W635" s="4"/>
      <c r="X635" s="4"/>
      <c r="Y635" s="4"/>
      <c r="Z635" s="4"/>
      <c r="AA635" s="37"/>
      <c r="AB635" s="4"/>
      <c r="AC635" s="4"/>
      <c r="AD635" s="4"/>
      <c r="AE635" s="4"/>
      <c r="AF635" s="4"/>
    </row>
    <row r="636" spans="1:32" x14ac:dyDescent="0.25">
      <c r="A636" s="4" t="str">
        <f t="shared" si="66"/>
        <v>'',</v>
      </c>
      <c r="B636" s="4" t="str">
        <f t="shared" si="67"/>
        <v>'',</v>
      </c>
      <c r="C636" s="15"/>
      <c r="D636" s="5"/>
      <c r="E636" s="5"/>
      <c r="F636" s="5"/>
      <c r="G636" s="29"/>
      <c r="H636" s="5"/>
      <c r="I636" s="22"/>
      <c r="J636" s="16"/>
      <c r="K636" s="25"/>
      <c r="L636" s="16"/>
      <c r="M636" s="16" t="str">
        <f t="shared" si="70"/>
        <v/>
      </c>
      <c r="N636" s="16" t="str">
        <f t="shared" si="71"/>
        <v/>
      </c>
      <c r="O636" s="7" t="str">
        <f t="shared" si="68"/>
        <v/>
      </c>
      <c r="P636" s="7" t="str">
        <f t="shared" si="69"/>
        <v/>
      </c>
      <c r="Q636" s="7"/>
      <c r="R636" s="7"/>
      <c r="S636" s="16"/>
      <c r="T636" s="4"/>
      <c r="U636" s="4"/>
      <c r="V636" s="4"/>
      <c r="W636" s="4"/>
      <c r="X636" s="4"/>
      <c r="Y636" s="4"/>
      <c r="Z636" s="4"/>
      <c r="AA636" s="37"/>
      <c r="AB636" s="4"/>
      <c r="AC636" s="4"/>
      <c r="AD636" s="4"/>
      <c r="AE636" s="4"/>
      <c r="AF636" s="4"/>
    </row>
    <row r="637" spans="1:32" x14ac:dyDescent="0.25">
      <c r="A637" s="4" t="str">
        <f t="shared" si="66"/>
        <v>'',</v>
      </c>
      <c r="B637" s="4" t="str">
        <f t="shared" si="67"/>
        <v>'',</v>
      </c>
      <c r="C637" s="15"/>
      <c r="D637" s="5"/>
      <c r="E637" s="5"/>
      <c r="F637" s="5"/>
      <c r="G637" s="29"/>
      <c r="H637" s="5"/>
      <c r="I637" s="22"/>
      <c r="J637" s="16"/>
      <c r="K637" s="25"/>
      <c r="L637" s="16"/>
      <c r="M637" s="16" t="str">
        <f t="shared" si="70"/>
        <v/>
      </c>
      <c r="N637" s="16" t="str">
        <f t="shared" si="71"/>
        <v/>
      </c>
      <c r="O637" s="7" t="str">
        <f t="shared" si="68"/>
        <v/>
      </c>
      <c r="P637" s="7" t="str">
        <f t="shared" si="69"/>
        <v/>
      </c>
      <c r="Q637" s="7"/>
      <c r="R637" s="7"/>
      <c r="S637" s="16"/>
      <c r="T637" s="4"/>
      <c r="U637" s="4"/>
      <c r="V637" s="4"/>
      <c r="W637" s="4"/>
      <c r="X637" s="4"/>
      <c r="Y637" s="4"/>
      <c r="Z637" s="4"/>
      <c r="AA637" s="37"/>
      <c r="AB637" s="4"/>
      <c r="AC637" s="4"/>
      <c r="AD637" s="4"/>
      <c r="AE637" s="4"/>
      <c r="AF637" s="4"/>
    </row>
    <row r="638" spans="1:32" x14ac:dyDescent="0.25">
      <c r="A638" s="4" t="str">
        <f t="shared" si="66"/>
        <v>'',</v>
      </c>
      <c r="B638" s="4" t="str">
        <f t="shared" si="67"/>
        <v>'',</v>
      </c>
      <c r="C638" s="15"/>
      <c r="D638" s="5"/>
      <c r="E638" s="5"/>
      <c r="F638" s="5"/>
      <c r="G638" s="29"/>
      <c r="H638" s="5"/>
      <c r="I638" s="22"/>
      <c r="J638" s="16"/>
      <c r="K638" s="25"/>
      <c r="L638" s="16"/>
      <c r="M638" s="16" t="str">
        <f t="shared" si="70"/>
        <v/>
      </c>
      <c r="N638" s="16" t="str">
        <f t="shared" si="71"/>
        <v/>
      </c>
      <c r="O638" s="7" t="str">
        <f t="shared" si="68"/>
        <v/>
      </c>
      <c r="P638" s="7" t="str">
        <f t="shared" si="69"/>
        <v/>
      </c>
      <c r="Q638" s="7"/>
      <c r="R638" s="7"/>
      <c r="S638" s="16"/>
      <c r="T638" s="4"/>
      <c r="U638" s="4"/>
      <c r="V638" s="4"/>
      <c r="W638" s="4"/>
      <c r="X638" s="4"/>
      <c r="Y638" s="4"/>
      <c r="Z638" s="4"/>
      <c r="AA638" s="37"/>
      <c r="AB638" s="4"/>
      <c r="AC638" s="4"/>
      <c r="AD638" s="4"/>
      <c r="AE638" s="4"/>
      <c r="AF638" s="4"/>
    </row>
    <row r="639" spans="1:32" x14ac:dyDescent="0.25">
      <c r="A639" s="4" t="str">
        <f t="shared" si="66"/>
        <v>'',</v>
      </c>
      <c r="B639" s="4" t="str">
        <f t="shared" si="67"/>
        <v>'',</v>
      </c>
      <c r="C639" s="15"/>
      <c r="D639" s="5"/>
      <c r="E639" s="5"/>
      <c r="F639" s="5"/>
      <c r="G639" s="29"/>
      <c r="H639" s="5"/>
      <c r="I639" s="22"/>
      <c r="J639" s="16"/>
      <c r="K639" s="25"/>
      <c r="L639" s="16"/>
      <c r="M639" s="16" t="str">
        <f t="shared" si="70"/>
        <v/>
      </c>
      <c r="N639" s="16" t="str">
        <f t="shared" si="71"/>
        <v/>
      </c>
      <c r="O639" s="7" t="str">
        <f t="shared" si="68"/>
        <v/>
      </c>
      <c r="P639" s="7" t="str">
        <f t="shared" si="69"/>
        <v/>
      </c>
      <c r="Q639" s="7"/>
      <c r="R639" s="7"/>
      <c r="S639" s="16"/>
      <c r="T639" s="4"/>
      <c r="U639" s="4"/>
      <c r="V639" s="4"/>
      <c r="W639" s="4"/>
      <c r="X639" s="4"/>
      <c r="Y639" s="4"/>
      <c r="Z639" s="4"/>
      <c r="AA639" s="37"/>
      <c r="AB639" s="4"/>
      <c r="AC639" s="4"/>
      <c r="AD639" s="4"/>
      <c r="AE639" s="4"/>
      <c r="AF639" s="4"/>
    </row>
    <row r="640" spans="1:32" x14ac:dyDescent="0.25">
      <c r="A640" s="4" t="str">
        <f t="shared" si="66"/>
        <v>'',</v>
      </c>
      <c r="B640" s="4" t="str">
        <f t="shared" si="67"/>
        <v>'',</v>
      </c>
      <c r="C640" s="15"/>
      <c r="D640" s="5"/>
      <c r="E640" s="5"/>
      <c r="F640" s="5"/>
      <c r="G640" s="29"/>
      <c r="H640" s="5"/>
      <c r="I640" s="22"/>
      <c r="J640" s="16"/>
      <c r="K640" s="25"/>
      <c r="L640" s="16"/>
      <c r="M640" s="16" t="str">
        <f t="shared" si="70"/>
        <v/>
      </c>
      <c r="N640" s="16" t="str">
        <f t="shared" si="71"/>
        <v/>
      </c>
      <c r="O640" s="7" t="str">
        <f t="shared" si="68"/>
        <v/>
      </c>
      <c r="P640" s="7" t="str">
        <f t="shared" si="69"/>
        <v/>
      </c>
      <c r="Q640" s="7"/>
      <c r="R640" s="7"/>
      <c r="S640" s="16"/>
      <c r="T640" s="4"/>
      <c r="U640" s="4"/>
      <c r="V640" s="4"/>
      <c r="W640" s="4"/>
      <c r="X640" s="4"/>
      <c r="Y640" s="4"/>
      <c r="Z640" s="4"/>
      <c r="AA640" s="37"/>
      <c r="AB640" s="4"/>
      <c r="AC640" s="4"/>
      <c r="AD640" s="4"/>
      <c r="AE640" s="4"/>
      <c r="AF640" s="4"/>
    </row>
    <row r="641" spans="1:32" x14ac:dyDescent="0.25">
      <c r="A641" s="4" t="str">
        <f t="shared" si="66"/>
        <v>'',</v>
      </c>
      <c r="B641" s="4" t="str">
        <f t="shared" si="67"/>
        <v>'',</v>
      </c>
      <c r="C641" s="15"/>
      <c r="D641" s="5"/>
      <c r="E641" s="5"/>
      <c r="F641" s="5"/>
      <c r="G641" s="29"/>
      <c r="H641" s="5"/>
      <c r="I641" s="22"/>
      <c r="J641" s="16"/>
      <c r="K641" s="25"/>
      <c r="L641" s="16"/>
      <c r="M641" s="16" t="str">
        <f t="shared" si="70"/>
        <v/>
      </c>
      <c r="N641" s="16" t="str">
        <f t="shared" si="71"/>
        <v/>
      </c>
      <c r="O641" s="7" t="str">
        <f t="shared" si="68"/>
        <v/>
      </c>
      <c r="P641" s="7" t="str">
        <f t="shared" si="69"/>
        <v/>
      </c>
      <c r="Q641" s="7"/>
      <c r="R641" s="7"/>
      <c r="S641" s="16"/>
      <c r="T641" s="4"/>
      <c r="U641" s="4"/>
      <c r="V641" s="4"/>
      <c r="W641" s="4"/>
      <c r="X641" s="4"/>
      <c r="Y641" s="4"/>
      <c r="Z641" s="4"/>
      <c r="AA641" s="37"/>
      <c r="AB641" s="4"/>
      <c r="AC641" s="4"/>
      <c r="AD641" s="4"/>
      <c r="AE641" s="4"/>
      <c r="AF641" s="4"/>
    </row>
    <row r="642" spans="1:32" x14ac:dyDescent="0.25">
      <c r="A642" s="4" t="str">
        <f t="shared" si="66"/>
        <v>'',</v>
      </c>
      <c r="B642" s="4" t="str">
        <f t="shared" si="67"/>
        <v>'',</v>
      </c>
      <c r="C642" s="15"/>
      <c r="D642" s="5"/>
      <c r="E642" s="5"/>
      <c r="F642" s="5"/>
      <c r="G642" s="29"/>
      <c r="H642" s="5"/>
      <c r="I642" s="22"/>
      <c r="J642" s="16"/>
      <c r="K642" s="25"/>
      <c r="L642" s="16"/>
      <c r="M642" s="16" t="str">
        <f t="shared" si="70"/>
        <v/>
      </c>
      <c r="N642" s="16" t="str">
        <f t="shared" si="71"/>
        <v/>
      </c>
      <c r="O642" s="7" t="str">
        <f t="shared" si="68"/>
        <v/>
      </c>
      <c r="P642" s="7" t="str">
        <f t="shared" si="69"/>
        <v/>
      </c>
      <c r="Q642" s="7"/>
      <c r="R642" s="7"/>
      <c r="S642" s="16"/>
      <c r="T642" s="4"/>
      <c r="U642" s="4"/>
      <c r="V642" s="4"/>
      <c r="W642" s="4"/>
      <c r="X642" s="4"/>
      <c r="Y642" s="4"/>
      <c r="Z642" s="4"/>
      <c r="AA642" s="37"/>
      <c r="AB642" s="4"/>
      <c r="AC642" s="4"/>
      <c r="AD642" s="4"/>
      <c r="AE642" s="4"/>
      <c r="AF642" s="4"/>
    </row>
    <row r="643" spans="1:32" x14ac:dyDescent="0.25">
      <c r="A643" s="4" t="str">
        <f t="shared" si="66"/>
        <v>'',</v>
      </c>
      <c r="B643" s="4" t="str">
        <f t="shared" si="67"/>
        <v>'',</v>
      </c>
      <c r="C643" s="15"/>
      <c r="D643" s="5"/>
      <c r="E643" s="5"/>
      <c r="F643" s="5"/>
      <c r="G643" s="29"/>
      <c r="H643" s="5"/>
      <c r="I643" s="22"/>
      <c r="J643" s="16"/>
      <c r="K643" s="25"/>
      <c r="L643" s="16"/>
      <c r="M643" s="16" t="str">
        <f t="shared" si="70"/>
        <v/>
      </c>
      <c r="N643" s="16" t="str">
        <f t="shared" si="71"/>
        <v/>
      </c>
      <c r="O643" s="7" t="str">
        <f t="shared" si="68"/>
        <v/>
      </c>
      <c r="P643" s="7" t="str">
        <f t="shared" si="69"/>
        <v/>
      </c>
      <c r="Q643" s="7"/>
      <c r="R643" s="7"/>
      <c r="S643" s="16"/>
      <c r="T643" s="4"/>
      <c r="U643" s="4"/>
      <c r="V643" s="4"/>
      <c r="W643" s="4"/>
      <c r="X643" s="4"/>
      <c r="Y643" s="4"/>
      <c r="Z643" s="4"/>
      <c r="AA643" s="37"/>
      <c r="AB643" s="4"/>
      <c r="AC643" s="4"/>
      <c r="AD643" s="4"/>
      <c r="AE643" s="4"/>
      <c r="AF643" s="4"/>
    </row>
    <row r="644" spans="1:32" x14ac:dyDescent="0.25">
      <c r="A644" s="4" t="str">
        <f t="shared" si="66"/>
        <v>'',</v>
      </c>
      <c r="B644" s="4" t="str">
        <f t="shared" si="67"/>
        <v>'',</v>
      </c>
      <c r="C644" s="15"/>
      <c r="D644" s="5"/>
      <c r="E644" s="5"/>
      <c r="F644" s="5"/>
      <c r="G644" s="29"/>
      <c r="H644" s="5"/>
      <c r="I644" s="22"/>
      <c r="J644" s="16"/>
      <c r="K644" s="25"/>
      <c r="L644" s="16"/>
      <c r="M644" s="16" t="str">
        <f t="shared" si="70"/>
        <v/>
      </c>
      <c r="N644" s="16" t="str">
        <f t="shared" si="71"/>
        <v/>
      </c>
      <c r="O644" s="7" t="str">
        <f t="shared" si="68"/>
        <v/>
      </c>
      <c r="P644" s="7" t="str">
        <f t="shared" si="69"/>
        <v/>
      </c>
      <c r="Q644" s="7"/>
      <c r="R644" s="7"/>
      <c r="S644" s="16"/>
      <c r="T644" s="4"/>
      <c r="U644" s="4"/>
      <c r="V644" s="4"/>
      <c r="W644" s="4"/>
      <c r="X644" s="4"/>
      <c r="Y644" s="4"/>
      <c r="Z644" s="4"/>
      <c r="AA644" s="37"/>
      <c r="AB644" s="4"/>
      <c r="AC644" s="4"/>
      <c r="AD644" s="4"/>
      <c r="AE644" s="4"/>
      <c r="AF644" s="4"/>
    </row>
    <row r="645" spans="1:32" x14ac:dyDescent="0.25">
      <c r="A645" s="4" t="str">
        <f t="shared" si="66"/>
        <v>'',</v>
      </c>
      <c r="B645" s="4" t="str">
        <f t="shared" si="67"/>
        <v>'',</v>
      </c>
      <c r="C645" s="15"/>
      <c r="D645" s="5"/>
      <c r="E645" s="5"/>
      <c r="F645" s="5"/>
      <c r="G645" s="29"/>
      <c r="H645" s="5"/>
      <c r="I645" s="22"/>
      <c r="J645" s="16"/>
      <c r="K645" s="25"/>
      <c r="L645" s="16"/>
      <c r="M645" s="16" t="str">
        <f t="shared" si="70"/>
        <v/>
      </c>
      <c r="N645" s="16" t="str">
        <f t="shared" si="71"/>
        <v/>
      </c>
      <c r="O645" s="7" t="str">
        <f t="shared" si="68"/>
        <v/>
      </c>
      <c r="P645" s="7" t="str">
        <f t="shared" si="69"/>
        <v/>
      </c>
      <c r="Q645" s="7"/>
      <c r="R645" s="7"/>
      <c r="S645" s="16"/>
      <c r="T645" s="4"/>
      <c r="U645" s="4"/>
      <c r="V645" s="4"/>
      <c r="W645" s="4"/>
      <c r="X645" s="4"/>
      <c r="Y645" s="4"/>
      <c r="Z645" s="4"/>
      <c r="AA645" s="37"/>
      <c r="AB645" s="4"/>
      <c r="AC645" s="4"/>
      <c r="AD645" s="4"/>
      <c r="AE645" s="4"/>
      <c r="AF645" s="4"/>
    </row>
    <row r="646" spans="1:32" x14ac:dyDescent="0.25">
      <c r="A646" s="4" t="str">
        <f t="shared" si="66"/>
        <v>'',</v>
      </c>
      <c r="B646" s="4" t="str">
        <f t="shared" si="67"/>
        <v>'',</v>
      </c>
      <c r="C646" s="15"/>
      <c r="D646" s="5"/>
      <c r="E646" s="5"/>
      <c r="F646" s="5"/>
      <c r="G646" s="29"/>
      <c r="H646" s="5"/>
      <c r="I646" s="22"/>
      <c r="J646" s="16"/>
      <c r="K646" s="25"/>
      <c r="L646" s="16"/>
      <c r="M646" s="16" t="str">
        <f t="shared" si="70"/>
        <v/>
      </c>
      <c r="N646" s="16" t="str">
        <f t="shared" si="71"/>
        <v/>
      </c>
      <c r="O646" s="7" t="str">
        <f t="shared" si="68"/>
        <v/>
      </c>
      <c r="P646" s="7" t="str">
        <f t="shared" si="69"/>
        <v/>
      </c>
      <c r="Q646" s="7"/>
      <c r="R646" s="7"/>
      <c r="S646" s="16"/>
      <c r="T646" s="4"/>
      <c r="U646" s="4"/>
      <c r="V646" s="4"/>
      <c r="W646" s="4"/>
      <c r="X646" s="4"/>
      <c r="Y646" s="4"/>
      <c r="Z646" s="4"/>
      <c r="AA646" s="37"/>
      <c r="AB646" s="4"/>
      <c r="AC646" s="4"/>
      <c r="AD646" s="4"/>
      <c r="AE646" s="4"/>
      <c r="AF646" s="4"/>
    </row>
    <row r="647" spans="1:32" x14ac:dyDescent="0.25">
      <c r="A647" s="4" t="str">
        <f t="shared" si="66"/>
        <v>'',</v>
      </c>
      <c r="B647" s="4" t="str">
        <f t="shared" si="67"/>
        <v>'',</v>
      </c>
      <c r="C647" s="15"/>
      <c r="D647" s="5"/>
      <c r="E647" s="5"/>
      <c r="F647" s="5"/>
      <c r="G647" s="29"/>
      <c r="H647" s="5"/>
      <c r="I647" s="22"/>
      <c r="J647" s="16"/>
      <c r="K647" s="25"/>
      <c r="L647" s="16"/>
      <c r="M647" s="16" t="str">
        <f t="shared" si="70"/>
        <v/>
      </c>
      <c r="N647" s="16" t="str">
        <f t="shared" si="71"/>
        <v/>
      </c>
      <c r="O647" s="7" t="str">
        <f t="shared" si="68"/>
        <v/>
      </c>
      <c r="P647" s="7" t="str">
        <f t="shared" si="69"/>
        <v/>
      </c>
      <c r="Q647" s="7"/>
      <c r="R647" s="7"/>
      <c r="S647" s="16"/>
      <c r="T647" s="4"/>
      <c r="U647" s="4"/>
      <c r="V647" s="4"/>
      <c r="W647" s="4"/>
      <c r="X647" s="4"/>
      <c r="Y647" s="4"/>
      <c r="Z647" s="4"/>
      <c r="AA647" s="37"/>
      <c r="AB647" s="4"/>
      <c r="AC647" s="4"/>
      <c r="AD647" s="4"/>
      <c r="AE647" s="4"/>
      <c r="AF647" s="4"/>
    </row>
    <row r="648" spans="1:32" x14ac:dyDescent="0.25">
      <c r="A648" s="4" t="str">
        <f t="shared" si="66"/>
        <v>'',</v>
      </c>
      <c r="B648" s="4" t="str">
        <f t="shared" si="67"/>
        <v>'',</v>
      </c>
      <c r="C648" s="15"/>
      <c r="D648" s="5"/>
      <c r="E648" s="5"/>
      <c r="F648" s="5"/>
      <c r="G648" s="29"/>
      <c r="H648" s="5"/>
      <c r="I648" s="22"/>
      <c r="J648" s="16"/>
      <c r="K648" s="25"/>
      <c r="L648" s="16"/>
      <c r="M648" s="16" t="str">
        <f t="shared" si="70"/>
        <v/>
      </c>
      <c r="N648" s="16" t="str">
        <f t="shared" si="71"/>
        <v/>
      </c>
      <c r="O648" s="7" t="str">
        <f t="shared" si="68"/>
        <v/>
      </c>
      <c r="P648" s="7" t="str">
        <f t="shared" si="69"/>
        <v/>
      </c>
      <c r="Q648" s="7"/>
      <c r="R648" s="7"/>
      <c r="S648" s="16"/>
      <c r="T648" s="4"/>
      <c r="U648" s="4"/>
      <c r="V648" s="4"/>
      <c r="W648" s="4"/>
      <c r="X648" s="4"/>
      <c r="Y648" s="4"/>
      <c r="Z648" s="4"/>
      <c r="AA648" s="37"/>
      <c r="AB648" s="4"/>
      <c r="AC648" s="4"/>
      <c r="AD648" s="4"/>
      <c r="AE648" s="4"/>
      <c r="AF648" s="4"/>
    </row>
    <row r="649" spans="1:32" x14ac:dyDescent="0.25">
      <c r="A649" s="4" t="str">
        <f t="shared" si="66"/>
        <v>'',</v>
      </c>
      <c r="B649" s="4" t="str">
        <f t="shared" si="67"/>
        <v>'',</v>
      </c>
      <c r="C649" s="15"/>
      <c r="D649" s="5"/>
      <c r="E649" s="5"/>
      <c r="F649" s="5"/>
      <c r="G649" s="29"/>
      <c r="H649" s="5"/>
      <c r="I649" s="22"/>
      <c r="J649" s="16"/>
      <c r="K649" s="25"/>
      <c r="L649" s="16"/>
      <c r="M649" s="16" t="str">
        <f t="shared" si="70"/>
        <v/>
      </c>
      <c r="N649" s="16" t="str">
        <f t="shared" si="71"/>
        <v/>
      </c>
      <c r="O649" s="7" t="str">
        <f t="shared" si="68"/>
        <v/>
      </c>
      <c r="P649" s="7" t="str">
        <f t="shared" si="69"/>
        <v/>
      </c>
      <c r="Q649" s="7"/>
      <c r="R649" s="7"/>
      <c r="S649" s="16"/>
      <c r="T649" s="4"/>
      <c r="U649" s="4"/>
      <c r="V649" s="4"/>
      <c r="W649" s="4"/>
      <c r="X649" s="4"/>
      <c r="Y649" s="4"/>
      <c r="Z649" s="4"/>
      <c r="AA649" s="37"/>
      <c r="AB649" s="4"/>
      <c r="AC649" s="4"/>
      <c r="AD649" s="4"/>
      <c r="AE649" s="4"/>
      <c r="AF649" s="4"/>
    </row>
    <row r="650" spans="1:32" x14ac:dyDescent="0.25">
      <c r="A650" s="4" t="str">
        <f t="shared" ref="A650:A713" si="72">"'"&amp;X650&amp;"',"</f>
        <v>'',</v>
      </c>
      <c r="B650" s="4" t="str">
        <f t="shared" ref="B650:B713" si="73">"'"&amp;T650&amp;"',"</f>
        <v>'',</v>
      </c>
      <c r="C650" s="15"/>
      <c r="D650" s="5"/>
      <c r="E650" s="5"/>
      <c r="F650" s="5"/>
      <c r="G650" s="29"/>
      <c r="H650" s="5"/>
      <c r="I650" s="22"/>
      <c r="J650" s="16"/>
      <c r="K650" s="25"/>
      <c r="L650" s="16"/>
      <c r="M650" s="16" t="str">
        <f t="shared" si="70"/>
        <v/>
      </c>
      <c r="N650" s="16" t="str">
        <f t="shared" si="71"/>
        <v/>
      </c>
      <c r="O650" s="7" t="str">
        <f t="shared" si="68"/>
        <v/>
      </c>
      <c r="P650" s="7" t="str">
        <f t="shared" si="69"/>
        <v/>
      </c>
      <c r="Q650" s="7"/>
      <c r="R650" s="7"/>
      <c r="S650" s="16"/>
      <c r="T650" s="4"/>
      <c r="U650" s="4"/>
      <c r="V650" s="4"/>
      <c r="W650" s="4"/>
      <c r="X650" s="4"/>
      <c r="Y650" s="4"/>
      <c r="Z650" s="4"/>
      <c r="AA650" s="37"/>
      <c r="AB650" s="4"/>
      <c r="AC650" s="4"/>
      <c r="AD650" s="4"/>
      <c r="AE650" s="4"/>
      <c r="AF650" s="4"/>
    </row>
    <row r="651" spans="1:32" x14ac:dyDescent="0.25">
      <c r="A651" s="4" t="str">
        <f t="shared" si="72"/>
        <v>'',</v>
      </c>
      <c r="B651" s="4" t="str">
        <f t="shared" si="73"/>
        <v>'',</v>
      </c>
      <c r="C651" s="15"/>
      <c r="D651" s="5"/>
      <c r="E651" s="5"/>
      <c r="F651" s="5"/>
      <c r="G651" s="29"/>
      <c r="H651" s="5"/>
      <c r="I651" s="22"/>
      <c r="J651" s="16"/>
      <c r="K651" s="25"/>
      <c r="L651" s="16"/>
      <c r="M651" s="16" t="str">
        <f t="shared" si="70"/>
        <v/>
      </c>
      <c r="N651" s="16" t="str">
        <f t="shared" si="71"/>
        <v/>
      </c>
      <c r="O651" s="7" t="str">
        <f t="shared" si="68"/>
        <v/>
      </c>
      <c r="P651" s="7" t="str">
        <f t="shared" si="69"/>
        <v/>
      </c>
      <c r="Q651" s="7"/>
      <c r="R651" s="7"/>
      <c r="S651" s="16"/>
      <c r="T651" s="4"/>
      <c r="U651" s="4"/>
      <c r="V651" s="4"/>
      <c r="W651" s="4"/>
      <c r="X651" s="4"/>
      <c r="Y651" s="4"/>
      <c r="Z651" s="4"/>
      <c r="AA651" s="37"/>
      <c r="AB651" s="4"/>
      <c r="AC651" s="4"/>
      <c r="AD651" s="4"/>
      <c r="AE651" s="4"/>
      <c r="AF651" s="4"/>
    </row>
    <row r="652" spans="1:32" x14ac:dyDescent="0.25">
      <c r="A652" s="4" t="str">
        <f t="shared" si="72"/>
        <v>'',</v>
      </c>
      <c r="B652" s="4" t="str">
        <f t="shared" si="73"/>
        <v>'',</v>
      </c>
      <c r="C652" s="15"/>
      <c r="D652" s="5"/>
      <c r="E652" s="5"/>
      <c r="F652" s="5"/>
      <c r="G652" s="29"/>
      <c r="H652" s="5"/>
      <c r="I652" s="22"/>
      <c r="J652" s="16"/>
      <c r="K652" s="25"/>
      <c r="L652" s="16"/>
      <c r="M652" s="16" t="str">
        <f t="shared" si="70"/>
        <v/>
      </c>
      <c r="N652" s="16" t="str">
        <f t="shared" si="71"/>
        <v/>
      </c>
      <c r="O652" s="7" t="str">
        <f t="shared" si="68"/>
        <v/>
      </c>
      <c r="P652" s="7" t="str">
        <f t="shared" si="69"/>
        <v/>
      </c>
      <c r="Q652" s="7"/>
      <c r="R652" s="7"/>
      <c r="S652" s="16"/>
      <c r="T652" s="4"/>
      <c r="U652" s="4"/>
      <c r="V652" s="4"/>
      <c r="W652" s="4"/>
      <c r="X652" s="4"/>
      <c r="Y652" s="4"/>
      <c r="Z652" s="4"/>
      <c r="AA652" s="37"/>
      <c r="AB652" s="4"/>
      <c r="AC652" s="4"/>
      <c r="AD652" s="4"/>
      <c r="AE652" s="4"/>
      <c r="AF652" s="4"/>
    </row>
    <row r="653" spans="1:32" x14ac:dyDescent="0.25">
      <c r="A653" s="4" t="str">
        <f t="shared" si="72"/>
        <v>'',</v>
      </c>
      <c r="B653" s="4" t="str">
        <f t="shared" si="73"/>
        <v>'',</v>
      </c>
      <c r="C653" s="15"/>
      <c r="D653" s="5"/>
      <c r="E653" s="5"/>
      <c r="F653" s="5"/>
      <c r="G653" s="29"/>
      <c r="H653" s="5"/>
      <c r="I653" s="22"/>
      <c r="J653" s="16"/>
      <c r="K653" s="25"/>
      <c r="L653" s="16"/>
      <c r="M653" s="16" t="str">
        <f t="shared" si="70"/>
        <v/>
      </c>
      <c r="N653" s="16" t="str">
        <f t="shared" si="71"/>
        <v/>
      </c>
      <c r="O653" s="7" t="str">
        <f t="shared" si="68"/>
        <v/>
      </c>
      <c r="P653" s="7" t="str">
        <f t="shared" si="69"/>
        <v/>
      </c>
      <c r="Q653" s="7"/>
      <c r="R653" s="7"/>
      <c r="S653" s="16"/>
      <c r="T653" s="4"/>
      <c r="U653" s="4"/>
      <c r="V653" s="4"/>
      <c r="W653" s="4"/>
      <c r="X653" s="4"/>
      <c r="Y653" s="4"/>
      <c r="Z653" s="4"/>
      <c r="AA653" s="37"/>
      <c r="AB653" s="4"/>
      <c r="AC653" s="4"/>
      <c r="AD653" s="4"/>
      <c r="AE653" s="4"/>
      <c r="AF653" s="4"/>
    </row>
    <row r="654" spans="1:32" x14ac:dyDescent="0.25">
      <c r="A654" s="4" t="str">
        <f t="shared" si="72"/>
        <v>'',</v>
      </c>
      <c r="B654" s="4" t="str">
        <f t="shared" si="73"/>
        <v>'',</v>
      </c>
      <c r="C654" s="15"/>
      <c r="D654" s="5"/>
      <c r="E654" s="5"/>
      <c r="F654" s="5"/>
      <c r="G654" s="29"/>
      <c r="H654" s="5"/>
      <c r="I654" s="22"/>
      <c r="J654" s="16"/>
      <c r="K654" s="25"/>
      <c r="L654" s="16"/>
      <c r="M654" s="16" t="str">
        <f t="shared" si="70"/>
        <v/>
      </c>
      <c r="N654" s="16" t="str">
        <f t="shared" si="71"/>
        <v/>
      </c>
      <c r="O654" s="7" t="str">
        <f t="shared" si="68"/>
        <v/>
      </c>
      <c r="P654" s="7" t="str">
        <f t="shared" si="69"/>
        <v/>
      </c>
      <c r="Q654" s="7"/>
      <c r="R654" s="7"/>
      <c r="S654" s="16"/>
      <c r="T654" s="4"/>
      <c r="U654" s="4"/>
      <c r="V654" s="4"/>
      <c r="W654" s="4"/>
      <c r="X654" s="4"/>
      <c r="Y654" s="4"/>
      <c r="Z654" s="4"/>
      <c r="AA654" s="37"/>
      <c r="AB654" s="4"/>
      <c r="AC654" s="4"/>
      <c r="AD654" s="4"/>
      <c r="AE654" s="4"/>
      <c r="AF654" s="4"/>
    </row>
    <row r="655" spans="1:32" x14ac:dyDescent="0.25">
      <c r="A655" s="4" t="str">
        <f t="shared" si="72"/>
        <v>'',</v>
      </c>
      <c r="B655" s="4" t="str">
        <f t="shared" si="73"/>
        <v>'',</v>
      </c>
      <c r="C655" s="15"/>
      <c r="D655" s="5"/>
      <c r="E655" s="5"/>
      <c r="F655" s="5"/>
      <c r="G655" s="29"/>
      <c r="H655" s="5"/>
      <c r="I655" s="22"/>
      <c r="J655" s="16"/>
      <c r="K655" s="25"/>
      <c r="L655" s="16"/>
      <c r="M655" s="16" t="str">
        <f t="shared" si="70"/>
        <v/>
      </c>
      <c r="N655" s="16" t="str">
        <f t="shared" si="71"/>
        <v/>
      </c>
      <c r="O655" s="7" t="str">
        <f t="shared" si="68"/>
        <v/>
      </c>
      <c r="P655" s="7" t="str">
        <f t="shared" si="69"/>
        <v/>
      </c>
      <c r="Q655" s="7"/>
      <c r="R655" s="7"/>
      <c r="S655" s="16"/>
      <c r="T655" s="4"/>
      <c r="U655" s="4"/>
      <c r="V655" s="4"/>
      <c r="W655" s="4"/>
      <c r="X655" s="4"/>
      <c r="Y655" s="4"/>
      <c r="Z655" s="4"/>
      <c r="AA655" s="37"/>
      <c r="AB655" s="4"/>
      <c r="AC655" s="4"/>
      <c r="AD655" s="4"/>
      <c r="AE655" s="4"/>
      <c r="AF655" s="4"/>
    </row>
    <row r="656" spans="1:32" x14ac:dyDescent="0.25">
      <c r="A656" s="4" t="str">
        <f t="shared" si="72"/>
        <v>'',</v>
      </c>
      <c r="B656" s="4" t="str">
        <f t="shared" si="73"/>
        <v>'',</v>
      </c>
      <c r="C656" s="15"/>
      <c r="D656" s="5"/>
      <c r="E656" s="5"/>
      <c r="F656" s="5"/>
      <c r="G656" s="29"/>
      <c r="H656" s="5"/>
      <c r="I656" s="22"/>
      <c r="J656" s="16"/>
      <c r="K656" s="25"/>
      <c r="L656" s="16"/>
      <c r="M656" s="16" t="str">
        <f t="shared" si="70"/>
        <v/>
      </c>
      <c r="N656" s="16" t="str">
        <f t="shared" si="71"/>
        <v/>
      </c>
      <c r="O656" s="7" t="str">
        <f t="shared" ref="O656:O719" si="74">IF(V656&lt;&gt;"",V656,"")</f>
        <v/>
      </c>
      <c r="P656" s="7" t="str">
        <f t="shared" ref="P656:P719" si="75">IF(O656="","","請協助處理")</f>
        <v/>
      </c>
      <c r="Q656" s="7"/>
      <c r="R656" s="7"/>
      <c r="S656" s="16"/>
      <c r="T656" s="4"/>
      <c r="U656" s="4"/>
      <c r="V656" s="4"/>
      <c r="W656" s="4"/>
      <c r="X656" s="4"/>
      <c r="Y656" s="4"/>
      <c r="Z656" s="4"/>
      <c r="AA656" s="37"/>
      <c r="AB656" s="4"/>
      <c r="AC656" s="4"/>
      <c r="AD656" s="4"/>
      <c r="AE656" s="4"/>
      <c r="AF656" s="4"/>
    </row>
    <row r="657" spans="1:32" x14ac:dyDescent="0.25">
      <c r="A657" s="4" t="str">
        <f t="shared" si="72"/>
        <v>'',</v>
      </c>
      <c r="B657" s="4" t="str">
        <f t="shared" si="73"/>
        <v>'',</v>
      </c>
      <c r="C657" s="15"/>
      <c r="D657" s="5"/>
      <c r="E657" s="5"/>
      <c r="F657" s="5"/>
      <c r="G657" s="29"/>
      <c r="H657" s="5"/>
      <c r="I657" s="22"/>
      <c r="J657" s="16"/>
      <c r="K657" s="25"/>
      <c r="L657" s="16"/>
      <c r="M657" s="16" t="str">
        <f t="shared" si="70"/>
        <v/>
      </c>
      <c r="N657" s="16" t="str">
        <f t="shared" si="71"/>
        <v/>
      </c>
      <c r="O657" s="7" t="str">
        <f t="shared" si="74"/>
        <v/>
      </c>
      <c r="P657" s="7" t="str">
        <f t="shared" si="75"/>
        <v/>
      </c>
      <c r="Q657" s="7"/>
      <c r="R657" s="7"/>
      <c r="S657" s="16"/>
      <c r="T657" s="4"/>
      <c r="U657" s="4"/>
      <c r="V657" s="4"/>
      <c r="W657" s="4"/>
      <c r="X657" s="4"/>
      <c r="Y657" s="4"/>
      <c r="Z657" s="4"/>
      <c r="AA657" s="37"/>
      <c r="AB657" s="4"/>
      <c r="AC657" s="4"/>
      <c r="AD657" s="4"/>
      <c r="AE657" s="4"/>
      <c r="AF657" s="4"/>
    </row>
    <row r="658" spans="1:32" x14ac:dyDescent="0.25">
      <c r="A658" s="4" t="str">
        <f t="shared" si="72"/>
        <v>'',</v>
      </c>
      <c r="B658" s="4" t="str">
        <f t="shared" si="73"/>
        <v>'',</v>
      </c>
      <c r="C658" s="15"/>
      <c r="D658" s="5"/>
      <c r="E658" s="5"/>
      <c r="F658" s="5"/>
      <c r="G658" s="29"/>
      <c r="H658" s="5"/>
      <c r="I658" s="22"/>
      <c r="J658" s="16"/>
      <c r="K658" s="25"/>
      <c r="L658" s="16"/>
      <c r="M658" s="16" t="str">
        <f t="shared" si="70"/>
        <v/>
      </c>
      <c r="N658" s="16" t="str">
        <f t="shared" si="71"/>
        <v/>
      </c>
      <c r="O658" s="7" t="str">
        <f t="shared" si="74"/>
        <v/>
      </c>
      <c r="P658" s="7" t="str">
        <f t="shared" si="75"/>
        <v/>
      </c>
      <c r="Q658" s="7"/>
      <c r="R658" s="7"/>
      <c r="S658" s="16"/>
      <c r="T658" s="4"/>
      <c r="U658" s="4"/>
      <c r="V658" s="4"/>
      <c r="W658" s="4"/>
      <c r="X658" s="4"/>
      <c r="Y658" s="4"/>
      <c r="Z658" s="4"/>
      <c r="AA658" s="37"/>
      <c r="AB658" s="4"/>
      <c r="AC658" s="4"/>
      <c r="AD658" s="4"/>
      <c r="AE658" s="4"/>
      <c r="AF658" s="4"/>
    </row>
    <row r="659" spans="1:32" x14ac:dyDescent="0.25">
      <c r="A659" s="4" t="str">
        <f t="shared" si="72"/>
        <v>'',</v>
      </c>
      <c r="B659" s="4" t="str">
        <f t="shared" si="73"/>
        <v>'',</v>
      </c>
      <c r="C659" s="15"/>
      <c r="D659" s="5"/>
      <c r="E659" s="5"/>
      <c r="F659" s="5"/>
      <c r="G659" s="29"/>
      <c r="H659" s="5"/>
      <c r="I659" s="22"/>
      <c r="J659" s="16"/>
      <c r="K659" s="25"/>
      <c r="L659" s="16"/>
      <c r="M659" s="16" t="str">
        <f t="shared" si="70"/>
        <v/>
      </c>
      <c r="N659" s="16" t="str">
        <f t="shared" si="71"/>
        <v/>
      </c>
      <c r="O659" s="7" t="str">
        <f t="shared" si="74"/>
        <v/>
      </c>
      <c r="P659" s="7" t="str">
        <f t="shared" si="75"/>
        <v/>
      </c>
      <c r="Q659" s="7"/>
      <c r="R659" s="7"/>
      <c r="S659" s="16"/>
      <c r="T659" s="4"/>
      <c r="U659" s="4"/>
      <c r="V659" s="4"/>
      <c r="W659" s="4"/>
      <c r="X659" s="4"/>
      <c r="Y659" s="4"/>
      <c r="Z659" s="4"/>
      <c r="AA659" s="37"/>
      <c r="AB659" s="4"/>
      <c r="AC659" s="4"/>
      <c r="AD659" s="4"/>
      <c r="AE659" s="4"/>
      <c r="AF659" s="4"/>
    </row>
    <row r="660" spans="1:32" x14ac:dyDescent="0.25">
      <c r="A660" s="4" t="str">
        <f t="shared" si="72"/>
        <v>'',</v>
      </c>
      <c r="B660" s="4" t="str">
        <f t="shared" si="73"/>
        <v>'',</v>
      </c>
      <c r="C660" s="15"/>
      <c r="D660" s="5"/>
      <c r="E660" s="5"/>
      <c r="F660" s="5"/>
      <c r="G660" s="29"/>
      <c r="H660" s="5"/>
      <c r="I660" s="22"/>
      <c r="J660" s="16"/>
      <c r="K660" s="25"/>
      <c r="L660" s="16"/>
      <c r="M660" s="16" t="str">
        <f t="shared" si="70"/>
        <v/>
      </c>
      <c r="N660" s="16" t="str">
        <f t="shared" si="71"/>
        <v/>
      </c>
      <c r="O660" s="7" t="str">
        <f t="shared" si="74"/>
        <v/>
      </c>
      <c r="P660" s="7" t="str">
        <f t="shared" si="75"/>
        <v/>
      </c>
      <c r="Q660" s="7"/>
      <c r="R660" s="7"/>
      <c r="S660" s="16"/>
      <c r="T660" s="4"/>
      <c r="U660" s="4"/>
      <c r="V660" s="4"/>
      <c r="W660" s="4"/>
      <c r="X660" s="4"/>
      <c r="Y660" s="4"/>
      <c r="Z660" s="4"/>
      <c r="AA660" s="37"/>
      <c r="AB660" s="4"/>
      <c r="AC660" s="4"/>
      <c r="AD660" s="4"/>
      <c r="AE660" s="4"/>
      <c r="AF660" s="4"/>
    </row>
    <row r="661" spans="1:32" x14ac:dyDescent="0.25">
      <c r="A661" s="4" t="str">
        <f t="shared" si="72"/>
        <v>'',</v>
      </c>
      <c r="B661" s="4" t="str">
        <f t="shared" si="73"/>
        <v>'',</v>
      </c>
      <c r="C661" s="15"/>
      <c r="D661" s="5"/>
      <c r="E661" s="5"/>
      <c r="F661" s="5"/>
      <c r="G661" s="29"/>
      <c r="H661" s="5"/>
      <c r="I661" s="22"/>
      <c r="J661" s="16"/>
      <c r="K661" s="25"/>
      <c r="L661" s="16"/>
      <c r="M661" s="16" t="str">
        <f t="shared" si="70"/>
        <v/>
      </c>
      <c r="N661" s="16" t="str">
        <f t="shared" si="71"/>
        <v/>
      </c>
      <c r="O661" s="7" t="str">
        <f t="shared" si="74"/>
        <v/>
      </c>
      <c r="P661" s="7" t="str">
        <f t="shared" si="75"/>
        <v/>
      </c>
      <c r="Q661" s="7"/>
      <c r="R661" s="7"/>
      <c r="S661" s="16"/>
      <c r="T661" s="4"/>
      <c r="U661" s="4"/>
      <c r="V661" s="4"/>
      <c r="W661" s="4"/>
      <c r="X661" s="4"/>
      <c r="Y661" s="4"/>
      <c r="Z661" s="4"/>
      <c r="AA661" s="37"/>
      <c r="AB661" s="4"/>
      <c r="AC661" s="4"/>
      <c r="AD661" s="4"/>
      <c r="AE661" s="4"/>
      <c r="AF661" s="4"/>
    </row>
    <row r="662" spans="1:32" x14ac:dyDescent="0.25">
      <c r="A662" s="4" t="str">
        <f t="shared" si="72"/>
        <v>'',</v>
      </c>
      <c r="B662" s="4" t="str">
        <f t="shared" si="73"/>
        <v>'',</v>
      </c>
      <c r="C662" s="15"/>
      <c r="D662" s="5"/>
      <c r="E662" s="5"/>
      <c r="F662" s="5"/>
      <c r="G662" s="29"/>
      <c r="H662" s="5"/>
      <c r="I662" s="22"/>
      <c r="J662" s="16"/>
      <c r="K662" s="25"/>
      <c r="L662" s="16"/>
      <c r="M662" s="16" t="str">
        <f t="shared" si="70"/>
        <v/>
      </c>
      <c r="N662" s="16" t="str">
        <f t="shared" si="71"/>
        <v/>
      </c>
      <c r="O662" s="7" t="str">
        <f t="shared" si="74"/>
        <v/>
      </c>
      <c r="P662" s="7" t="str">
        <f t="shared" si="75"/>
        <v/>
      </c>
      <c r="Q662" s="7"/>
      <c r="R662" s="7"/>
      <c r="S662" s="16"/>
      <c r="T662" s="4"/>
      <c r="U662" s="4"/>
      <c r="V662" s="4"/>
      <c r="W662" s="4"/>
      <c r="X662" s="4"/>
      <c r="Y662" s="4"/>
      <c r="Z662" s="4"/>
      <c r="AA662" s="37"/>
      <c r="AB662" s="4"/>
      <c r="AC662" s="4"/>
      <c r="AD662" s="4"/>
      <c r="AE662" s="4"/>
      <c r="AF662" s="4"/>
    </row>
    <row r="663" spans="1:32" x14ac:dyDescent="0.25">
      <c r="A663" s="4" t="str">
        <f t="shared" si="72"/>
        <v>'',</v>
      </c>
      <c r="B663" s="4" t="str">
        <f t="shared" si="73"/>
        <v>'',</v>
      </c>
      <c r="C663" s="15"/>
      <c r="D663" s="5"/>
      <c r="E663" s="5"/>
      <c r="F663" s="5"/>
      <c r="G663" s="29"/>
      <c r="H663" s="5"/>
      <c r="I663" s="22"/>
      <c r="J663" s="16"/>
      <c r="K663" s="25"/>
      <c r="L663" s="16"/>
      <c r="M663" s="16" t="str">
        <f t="shared" si="70"/>
        <v/>
      </c>
      <c r="N663" s="16" t="str">
        <f t="shared" si="71"/>
        <v/>
      </c>
      <c r="O663" s="7" t="str">
        <f t="shared" si="74"/>
        <v/>
      </c>
      <c r="P663" s="7" t="str">
        <f t="shared" si="75"/>
        <v/>
      </c>
      <c r="Q663" s="7"/>
      <c r="R663" s="7"/>
      <c r="S663" s="16"/>
      <c r="T663" s="4"/>
      <c r="U663" s="4"/>
      <c r="V663" s="4"/>
      <c r="W663" s="4"/>
      <c r="X663" s="4"/>
      <c r="Y663" s="4"/>
      <c r="Z663" s="4"/>
      <c r="AA663" s="37"/>
      <c r="AB663" s="4"/>
      <c r="AC663" s="4"/>
      <c r="AD663" s="4"/>
      <c r="AE663" s="4"/>
      <c r="AF663" s="4"/>
    </row>
    <row r="664" spans="1:32" x14ac:dyDescent="0.25">
      <c r="A664" s="4" t="str">
        <f t="shared" si="72"/>
        <v>'',</v>
      </c>
      <c r="B664" s="4" t="str">
        <f t="shared" si="73"/>
        <v>'',</v>
      </c>
      <c r="C664" s="15"/>
      <c r="D664" s="5"/>
      <c r="E664" s="5"/>
      <c r="F664" s="5"/>
      <c r="G664" s="29"/>
      <c r="H664" s="5"/>
      <c r="I664" s="22"/>
      <c r="J664" s="16"/>
      <c r="K664" s="25"/>
      <c r="L664" s="16"/>
      <c r="M664" s="16" t="str">
        <f t="shared" si="70"/>
        <v/>
      </c>
      <c r="N664" s="16" t="str">
        <f t="shared" si="71"/>
        <v/>
      </c>
      <c r="O664" s="7" t="str">
        <f t="shared" si="74"/>
        <v/>
      </c>
      <c r="P664" s="7" t="str">
        <f t="shared" si="75"/>
        <v/>
      </c>
      <c r="Q664" s="7"/>
      <c r="R664" s="7"/>
      <c r="S664" s="16"/>
      <c r="T664" s="4"/>
      <c r="U664" s="4"/>
      <c r="V664" s="4"/>
      <c r="W664" s="4"/>
      <c r="X664" s="4"/>
      <c r="Y664" s="4"/>
      <c r="Z664" s="4"/>
      <c r="AA664" s="37"/>
      <c r="AB664" s="4"/>
      <c r="AC664" s="4"/>
      <c r="AD664" s="4"/>
      <c r="AE664" s="4"/>
      <c r="AF664" s="4"/>
    </row>
    <row r="665" spans="1:32" x14ac:dyDescent="0.25">
      <c r="A665" s="4" t="str">
        <f t="shared" si="72"/>
        <v>'',</v>
      </c>
      <c r="B665" s="4" t="str">
        <f t="shared" si="73"/>
        <v>'',</v>
      </c>
      <c r="C665" s="15"/>
      <c r="D665" s="5"/>
      <c r="E665" s="5"/>
      <c r="F665" s="5"/>
      <c r="G665" s="29"/>
      <c r="H665" s="5"/>
      <c r="I665" s="22"/>
      <c r="J665" s="16"/>
      <c r="K665" s="25"/>
      <c r="L665" s="16"/>
      <c r="M665" s="16" t="str">
        <f t="shared" si="70"/>
        <v/>
      </c>
      <c r="N665" s="16" t="str">
        <f t="shared" si="71"/>
        <v/>
      </c>
      <c r="O665" s="7" t="str">
        <f t="shared" si="74"/>
        <v/>
      </c>
      <c r="P665" s="7" t="str">
        <f t="shared" si="75"/>
        <v/>
      </c>
      <c r="Q665" s="7"/>
      <c r="R665" s="7"/>
      <c r="S665" s="16"/>
      <c r="T665" s="4"/>
      <c r="U665" s="4"/>
      <c r="V665" s="4"/>
      <c r="W665" s="4"/>
      <c r="X665" s="4"/>
      <c r="Y665" s="4"/>
      <c r="Z665" s="4"/>
      <c r="AA665" s="37"/>
      <c r="AB665" s="4"/>
      <c r="AC665" s="4"/>
      <c r="AD665" s="4"/>
      <c r="AE665" s="4"/>
      <c r="AF665" s="4"/>
    </row>
    <row r="666" spans="1:32" x14ac:dyDescent="0.25">
      <c r="A666" s="4" t="str">
        <f t="shared" si="72"/>
        <v>'',</v>
      </c>
      <c r="B666" s="4" t="str">
        <f t="shared" si="73"/>
        <v>'',</v>
      </c>
      <c r="C666" s="15"/>
      <c r="D666" s="5"/>
      <c r="E666" s="5"/>
      <c r="F666" s="5"/>
      <c r="G666" s="29"/>
      <c r="H666" s="5"/>
      <c r="I666" s="22"/>
      <c r="J666" s="16"/>
      <c r="K666" s="25"/>
      <c r="L666" s="16"/>
      <c r="M666" s="16" t="str">
        <f t="shared" si="70"/>
        <v/>
      </c>
      <c r="N666" s="16" t="str">
        <f t="shared" si="71"/>
        <v/>
      </c>
      <c r="O666" s="7" t="str">
        <f t="shared" si="74"/>
        <v/>
      </c>
      <c r="P666" s="7" t="str">
        <f t="shared" si="75"/>
        <v/>
      </c>
      <c r="Q666" s="7"/>
      <c r="R666" s="7"/>
      <c r="S666" s="16"/>
      <c r="T666" s="4"/>
      <c r="U666" s="4"/>
      <c r="V666" s="4"/>
      <c r="W666" s="4"/>
      <c r="X666" s="4"/>
      <c r="Y666" s="4"/>
      <c r="Z666" s="4"/>
      <c r="AA666" s="37"/>
      <c r="AB666" s="4"/>
      <c r="AC666" s="4"/>
      <c r="AD666" s="4"/>
      <c r="AE666" s="4"/>
      <c r="AF666" s="4"/>
    </row>
    <row r="667" spans="1:32" x14ac:dyDescent="0.25">
      <c r="A667" s="4" t="str">
        <f t="shared" si="72"/>
        <v>'',</v>
      </c>
      <c r="B667" s="4" t="str">
        <f t="shared" si="73"/>
        <v>'',</v>
      </c>
      <c r="C667" s="15"/>
      <c r="D667" s="5"/>
      <c r="E667" s="5"/>
      <c r="F667" s="5"/>
      <c r="G667" s="29"/>
      <c r="H667" s="5"/>
      <c r="I667" s="22"/>
      <c r="J667" s="16"/>
      <c r="K667" s="25"/>
      <c r="L667" s="16"/>
      <c r="M667" s="16" t="str">
        <f t="shared" si="70"/>
        <v/>
      </c>
      <c r="N667" s="16" t="str">
        <f t="shared" si="71"/>
        <v/>
      </c>
      <c r="O667" s="7" t="str">
        <f t="shared" si="74"/>
        <v/>
      </c>
      <c r="P667" s="7" t="str">
        <f t="shared" si="75"/>
        <v/>
      </c>
      <c r="Q667" s="7"/>
      <c r="R667" s="7"/>
      <c r="S667" s="16"/>
      <c r="T667" s="4"/>
      <c r="U667" s="4"/>
      <c r="V667" s="4"/>
      <c r="W667" s="4"/>
      <c r="X667" s="4"/>
      <c r="Y667" s="4"/>
      <c r="Z667" s="4"/>
      <c r="AA667" s="37"/>
      <c r="AB667" s="4"/>
      <c r="AC667" s="4"/>
      <c r="AD667" s="4"/>
      <c r="AE667" s="4"/>
      <c r="AF667" s="4"/>
    </row>
    <row r="668" spans="1:32" x14ac:dyDescent="0.25">
      <c r="A668" s="4" t="str">
        <f t="shared" si="72"/>
        <v>'',</v>
      </c>
      <c r="B668" s="4" t="str">
        <f t="shared" si="73"/>
        <v>'',</v>
      </c>
      <c r="C668" s="15"/>
      <c r="D668" s="5"/>
      <c r="E668" s="5"/>
      <c r="F668" s="5"/>
      <c r="G668" s="29"/>
      <c r="H668" s="5"/>
      <c r="I668" s="22"/>
      <c r="J668" s="16"/>
      <c r="K668" s="25"/>
      <c r="L668" s="16"/>
      <c r="M668" s="16" t="str">
        <f t="shared" si="70"/>
        <v/>
      </c>
      <c r="N668" s="16" t="str">
        <f t="shared" si="71"/>
        <v/>
      </c>
      <c r="O668" s="7" t="str">
        <f t="shared" si="74"/>
        <v/>
      </c>
      <c r="P668" s="7" t="str">
        <f t="shared" si="75"/>
        <v/>
      </c>
      <c r="Q668" s="7"/>
      <c r="R668" s="7"/>
      <c r="S668" s="16"/>
      <c r="T668" s="4"/>
      <c r="U668" s="4"/>
      <c r="V668" s="4"/>
      <c r="W668" s="4"/>
      <c r="X668" s="4"/>
      <c r="Y668" s="4"/>
      <c r="Z668" s="4"/>
      <c r="AA668" s="37"/>
      <c r="AB668" s="4"/>
      <c r="AC668" s="4"/>
      <c r="AD668" s="4"/>
      <c r="AE668" s="4"/>
      <c r="AF668" s="4"/>
    </row>
    <row r="669" spans="1:32" x14ac:dyDescent="0.25">
      <c r="A669" s="4" t="str">
        <f t="shared" si="72"/>
        <v>'',</v>
      </c>
      <c r="B669" s="4" t="str">
        <f t="shared" si="73"/>
        <v>'',</v>
      </c>
      <c r="C669" s="15"/>
      <c r="D669" s="5"/>
      <c r="E669" s="5"/>
      <c r="F669" s="5"/>
      <c r="G669" s="29"/>
      <c r="H669" s="5"/>
      <c r="I669" s="22"/>
      <c r="J669" s="16"/>
      <c r="K669" s="25"/>
      <c r="L669" s="16"/>
      <c r="M669" s="16" t="str">
        <f t="shared" si="70"/>
        <v/>
      </c>
      <c r="N669" s="16" t="str">
        <f t="shared" si="71"/>
        <v/>
      </c>
      <c r="O669" s="7" t="str">
        <f t="shared" si="74"/>
        <v/>
      </c>
      <c r="P669" s="7" t="str">
        <f t="shared" si="75"/>
        <v/>
      </c>
      <c r="Q669" s="7"/>
      <c r="R669" s="7"/>
      <c r="S669" s="16"/>
      <c r="T669" s="4"/>
      <c r="U669" s="4"/>
      <c r="V669" s="4"/>
      <c r="W669" s="4"/>
      <c r="X669" s="4"/>
      <c r="Y669" s="4"/>
      <c r="Z669" s="4"/>
      <c r="AA669" s="37"/>
      <c r="AB669" s="4"/>
      <c r="AC669" s="4"/>
      <c r="AD669" s="4"/>
      <c r="AE669" s="4"/>
      <c r="AF669" s="4"/>
    </row>
    <row r="670" spans="1:32" x14ac:dyDescent="0.25">
      <c r="A670" s="4" t="str">
        <f t="shared" si="72"/>
        <v>'',</v>
      </c>
      <c r="B670" s="4" t="str">
        <f t="shared" si="73"/>
        <v>'',</v>
      </c>
      <c r="C670" s="15"/>
      <c r="D670" s="5"/>
      <c r="E670" s="5"/>
      <c r="F670" s="5"/>
      <c r="G670" s="29"/>
      <c r="H670" s="5"/>
      <c r="I670" s="22"/>
      <c r="J670" s="16"/>
      <c r="K670" s="25"/>
      <c r="L670" s="16"/>
      <c r="M670" s="16" t="str">
        <f t="shared" si="70"/>
        <v/>
      </c>
      <c r="N670" s="16" t="str">
        <f t="shared" si="71"/>
        <v/>
      </c>
      <c r="O670" s="7" t="str">
        <f t="shared" si="74"/>
        <v/>
      </c>
      <c r="P670" s="7" t="str">
        <f t="shared" si="75"/>
        <v/>
      </c>
      <c r="Q670" s="7"/>
      <c r="R670" s="7"/>
      <c r="S670" s="16"/>
      <c r="T670" s="4"/>
      <c r="U670" s="4"/>
      <c r="V670" s="4"/>
      <c r="W670" s="4"/>
      <c r="X670" s="4"/>
      <c r="Y670" s="4"/>
      <c r="Z670" s="4"/>
      <c r="AA670" s="37"/>
      <c r="AB670" s="4"/>
      <c r="AC670" s="4"/>
      <c r="AD670" s="4"/>
      <c r="AE670" s="4"/>
      <c r="AF670" s="4"/>
    </row>
    <row r="671" spans="1:32" x14ac:dyDescent="0.25">
      <c r="A671" s="4" t="str">
        <f t="shared" si="72"/>
        <v>'',</v>
      </c>
      <c r="B671" s="4" t="str">
        <f t="shared" si="73"/>
        <v>'',</v>
      </c>
      <c r="C671" s="15"/>
      <c r="D671" s="5"/>
      <c r="E671" s="5"/>
      <c r="F671" s="5"/>
      <c r="G671" s="29"/>
      <c r="H671" s="5"/>
      <c r="I671" s="22"/>
      <c r="J671" s="16"/>
      <c r="K671" s="25"/>
      <c r="L671" s="16"/>
      <c r="M671" s="16" t="str">
        <f t="shared" ref="M671:M734" si="76">IF($L671&lt;&gt;"",IF($L671="清除單筆同步失敗註記","UPDATE CIFX.TB_SERVICE_EXECUTION_CONTROL SET EXECUTION_STATE = "&amp;"'"&amp;"EXECUTED"&amp;"'"&amp;", ap_server_EXECUTING = NULL WHERE SERVICE_EXECUTION_CONTROL_ID IN ("&amp;"'"&amp;$Y671&amp;"'"&amp;") and execution_type = "&amp;"'"&amp;"STAGE1_EXECUTION"&amp;"';"&amp;"",IF($L671="重送單筆CIP電文","UPDATE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("&amp;"'"&amp;$Y671&amp;"'"&amp;") AND EXECUTION_TYPE = "&amp;"'"&amp;"STAGE1_EXECUTION"&amp;"'"&amp;";",IF($L671="清除顧客下同步任務","update cifx.tb_service_execution_control sec set sec.EXECUTION_STATE = "&amp;"'"&amp;"EXECUTED"&amp;"'"&amp;"  where sec.circi_key ="&amp;"'"&amp;AA671&amp;"';",IF($L671="重送顧客下特定同步任務","update cifx.tb_service_execution_control sec set sec.EXECUTION_STATE = "&amp;"'"&amp;"TO_EXECUTE"&amp;"'"&amp;"  where sec.SERVICE_EXECUTION_CONTROL_ID IN ();","沒有對應")))),"")</f>
        <v/>
      </c>
      <c r="N671" s="16" t="str">
        <f t="shared" ref="N671:N734" si="77">IF($L671&lt;&gt;"",IF($L671&lt;&gt;"清除顧客下同步任務","SELECT EXECUTION_TYPE,SERVICE_INTERCHANGE_ID,CIRCI_KEY,EXECUTION_STATE FROM CIFX.TB_SERVICE_EXECUTION_CONTROL WHERE SERVICE_EXECUTION_CONTROL_ID IN ("&amp;"'"&amp;$Y671&amp;"'"&amp;") AND EXECUTION_TYPE = "&amp;"'"&amp;"STAGE1_EXECUTION"&amp;"'"&amp;";","SELECT EXECUTION_TYPE,SERVICE_INTERCHANGE_ID,CIRCI_KEY,EXECUTION_STATE FROM CIFX.TB_SERVICE_EXECUTION_CONTROL SEC   where sec.circi_key ="&amp;"'"&amp;AA671&amp;"'order by req_timestamp desc ;"),"")</f>
        <v/>
      </c>
      <c r="O671" s="7" t="str">
        <f t="shared" si="74"/>
        <v/>
      </c>
      <c r="P671" s="7" t="str">
        <f t="shared" si="75"/>
        <v/>
      </c>
      <c r="Q671" s="7"/>
      <c r="R671" s="7"/>
      <c r="S671" s="16"/>
      <c r="T671" s="4"/>
      <c r="U671" s="4"/>
      <c r="V671" s="4"/>
      <c r="W671" s="4"/>
      <c r="X671" s="4"/>
      <c r="Y671" s="4"/>
      <c r="Z671" s="4"/>
      <c r="AA671" s="37"/>
      <c r="AB671" s="4"/>
      <c r="AC671" s="4"/>
      <c r="AD671" s="4"/>
      <c r="AE671" s="4"/>
      <c r="AF671" s="4"/>
    </row>
    <row r="672" spans="1:32" x14ac:dyDescent="0.25">
      <c r="A672" s="4" t="str">
        <f t="shared" si="72"/>
        <v>'',</v>
      </c>
      <c r="B672" s="4" t="str">
        <f t="shared" si="73"/>
        <v>'',</v>
      </c>
      <c r="C672" s="15"/>
      <c r="D672" s="5"/>
      <c r="E672" s="5"/>
      <c r="F672" s="5"/>
      <c r="G672" s="29"/>
      <c r="H672" s="5"/>
      <c r="I672" s="22"/>
      <c r="J672" s="16"/>
      <c r="K672" s="25"/>
      <c r="L672" s="16"/>
      <c r="M672" s="16" t="str">
        <f t="shared" si="76"/>
        <v/>
      </c>
      <c r="N672" s="16" t="str">
        <f t="shared" si="77"/>
        <v/>
      </c>
      <c r="O672" s="7" t="str">
        <f t="shared" si="74"/>
        <v/>
      </c>
      <c r="P672" s="7" t="str">
        <f t="shared" si="75"/>
        <v/>
      </c>
      <c r="Q672" s="7"/>
      <c r="R672" s="7"/>
      <c r="S672" s="16"/>
      <c r="T672" s="4"/>
      <c r="U672" s="4"/>
      <c r="V672" s="4"/>
      <c r="W672" s="4"/>
      <c r="X672" s="4"/>
      <c r="Y672" s="4"/>
      <c r="Z672" s="4"/>
      <c r="AA672" s="37"/>
      <c r="AB672" s="4"/>
      <c r="AC672" s="4"/>
      <c r="AD672" s="4"/>
      <c r="AE672" s="4"/>
      <c r="AF672" s="4"/>
    </row>
    <row r="673" spans="1:32" x14ac:dyDescent="0.25">
      <c r="A673" s="4" t="str">
        <f t="shared" si="72"/>
        <v>'',</v>
      </c>
      <c r="B673" s="4" t="str">
        <f t="shared" si="73"/>
        <v>'',</v>
      </c>
      <c r="C673" s="15"/>
      <c r="D673" s="5"/>
      <c r="E673" s="5"/>
      <c r="F673" s="5"/>
      <c r="G673" s="29"/>
      <c r="H673" s="5"/>
      <c r="I673" s="22"/>
      <c r="J673" s="16"/>
      <c r="K673" s="25"/>
      <c r="L673" s="16"/>
      <c r="M673" s="16" t="str">
        <f t="shared" si="76"/>
        <v/>
      </c>
      <c r="N673" s="16" t="str">
        <f t="shared" si="77"/>
        <v/>
      </c>
      <c r="O673" s="7" t="str">
        <f t="shared" si="74"/>
        <v/>
      </c>
      <c r="P673" s="7" t="str">
        <f t="shared" si="75"/>
        <v/>
      </c>
      <c r="Q673" s="7"/>
      <c r="R673" s="7"/>
      <c r="S673" s="16"/>
      <c r="T673" s="4"/>
      <c r="U673" s="4"/>
      <c r="V673" s="4"/>
      <c r="W673" s="4"/>
      <c r="X673" s="4"/>
      <c r="Y673" s="4"/>
      <c r="Z673" s="4"/>
      <c r="AA673" s="37"/>
      <c r="AB673" s="4"/>
      <c r="AC673" s="4"/>
      <c r="AD673" s="4"/>
      <c r="AE673" s="4"/>
      <c r="AF673" s="4"/>
    </row>
    <row r="674" spans="1:32" x14ac:dyDescent="0.25">
      <c r="A674" s="4" t="str">
        <f t="shared" si="72"/>
        <v>'',</v>
      </c>
      <c r="B674" s="4" t="str">
        <f t="shared" si="73"/>
        <v>'',</v>
      </c>
      <c r="C674" s="15"/>
      <c r="D674" s="5"/>
      <c r="E674" s="5"/>
      <c r="F674" s="5"/>
      <c r="G674" s="29"/>
      <c r="H674" s="5"/>
      <c r="I674" s="22"/>
      <c r="J674" s="16"/>
      <c r="K674" s="25"/>
      <c r="L674" s="16"/>
      <c r="M674" s="16" t="str">
        <f t="shared" si="76"/>
        <v/>
      </c>
      <c r="N674" s="16" t="str">
        <f t="shared" si="77"/>
        <v/>
      </c>
      <c r="O674" s="7" t="str">
        <f t="shared" si="74"/>
        <v/>
      </c>
      <c r="P674" s="7" t="str">
        <f t="shared" si="75"/>
        <v/>
      </c>
      <c r="Q674" s="7"/>
      <c r="R674" s="7"/>
      <c r="S674" s="16"/>
      <c r="T674" s="4"/>
      <c r="U674" s="4"/>
      <c r="V674" s="4"/>
      <c r="W674" s="4"/>
      <c r="X674" s="4"/>
      <c r="Y674" s="4"/>
      <c r="Z674" s="4"/>
      <c r="AA674" s="37"/>
      <c r="AB674" s="4"/>
      <c r="AC674" s="4"/>
      <c r="AD674" s="4"/>
      <c r="AE674" s="4"/>
      <c r="AF674" s="4"/>
    </row>
    <row r="675" spans="1:32" x14ac:dyDescent="0.25">
      <c r="A675" s="4" t="str">
        <f t="shared" si="72"/>
        <v>'',</v>
      </c>
      <c r="B675" s="4" t="str">
        <f t="shared" si="73"/>
        <v>'',</v>
      </c>
      <c r="C675" s="15"/>
      <c r="D675" s="5"/>
      <c r="E675" s="5"/>
      <c r="F675" s="5"/>
      <c r="G675" s="29"/>
      <c r="H675" s="5"/>
      <c r="I675" s="22"/>
      <c r="J675" s="16"/>
      <c r="K675" s="25"/>
      <c r="L675" s="16"/>
      <c r="M675" s="16" t="str">
        <f t="shared" si="76"/>
        <v/>
      </c>
      <c r="N675" s="16" t="str">
        <f t="shared" si="77"/>
        <v/>
      </c>
      <c r="O675" s="7" t="str">
        <f t="shared" si="74"/>
        <v/>
      </c>
      <c r="P675" s="7" t="str">
        <f t="shared" si="75"/>
        <v/>
      </c>
      <c r="Q675" s="7"/>
      <c r="R675" s="7"/>
      <c r="S675" s="16"/>
      <c r="T675" s="4"/>
      <c r="U675" s="4"/>
      <c r="V675" s="4"/>
      <c r="W675" s="4"/>
      <c r="X675" s="4"/>
      <c r="Y675" s="4"/>
      <c r="Z675" s="4"/>
      <c r="AA675" s="37"/>
      <c r="AB675" s="4"/>
      <c r="AC675" s="4"/>
      <c r="AD675" s="4"/>
      <c r="AE675" s="4"/>
      <c r="AF675" s="4"/>
    </row>
    <row r="676" spans="1:32" x14ac:dyDescent="0.25">
      <c r="A676" s="4" t="str">
        <f t="shared" si="72"/>
        <v>'',</v>
      </c>
      <c r="B676" s="4" t="str">
        <f t="shared" si="73"/>
        <v>'',</v>
      </c>
      <c r="C676" s="15"/>
      <c r="D676" s="5"/>
      <c r="E676" s="5"/>
      <c r="F676" s="5"/>
      <c r="G676" s="29"/>
      <c r="H676" s="5"/>
      <c r="I676" s="22"/>
      <c r="J676" s="16"/>
      <c r="K676" s="25"/>
      <c r="L676" s="16"/>
      <c r="M676" s="16" t="str">
        <f t="shared" si="76"/>
        <v/>
      </c>
      <c r="N676" s="16" t="str">
        <f t="shared" si="77"/>
        <v/>
      </c>
      <c r="O676" s="7" t="str">
        <f t="shared" si="74"/>
        <v/>
      </c>
      <c r="P676" s="7" t="str">
        <f t="shared" si="75"/>
        <v/>
      </c>
      <c r="Q676" s="7"/>
      <c r="R676" s="7"/>
      <c r="S676" s="16"/>
      <c r="T676" s="4"/>
      <c r="U676" s="4"/>
      <c r="V676" s="4"/>
      <c r="W676" s="4"/>
      <c r="X676" s="4"/>
      <c r="Y676" s="4"/>
      <c r="Z676" s="4"/>
      <c r="AA676" s="37"/>
      <c r="AB676" s="4"/>
      <c r="AC676" s="4"/>
      <c r="AD676" s="4"/>
      <c r="AE676" s="4"/>
      <c r="AF676" s="4"/>
    </row>
    <row r="677" spans="1:32" x14ac:dyDescent="0.25">
      <c r="A677" s="4" t="str">
        <f t="shared" si="72"/>
        <v>'',</v>
      </c>
      <c r="B677" s="4" t="str">
        <f t="shared" si="73"/>
        <v>'',</v>
      </c>
      <c r="C677" s="15"/>
      <c r="D677" s="5"/>
      <c r="E677" s="5"/>
      <c r="F677" s="5"/>
      <c r="G677" s="29"/>
      <c r="H677" s="5"/>
      <c r="I677" s="22"/>
      <c r="J677" s="16"/>
      <c r="K677" s="25"/>
      <c r="L677" s="16"/>
      <c r="M677" s="16" t="str">
        <f t="shared" si="76"/>
        <v/>
      </c>
      <c r="N677" s="16" t="str">
        <f t="shared" si="77"/>
        <v/>
      </c>
      <c r="O677" s="7" t="str">
        <f t="shared" si="74"/>
        <v/>
      </c>
      <c r="P677" s="7" t="str">
        <f t="shared" si="75"/>
        <v/>
      </c>
      <c r="Q677" s="7"/>
      <c r="R677" s="7"/>
      <c r="S677" s="16"/>
      <c r="T677" s="4"/>
      <c r="U677" s="4"/>
      <c r="V677" s="4"/>
      <c r="W677" s="4"/>
      <c r="X677" s="4"/>
      <c r="Y677" s="4"/>
      <c r="Z677" s="4"/>
      <c r="AA677" s="37"/>
      <c r="AB677" s="4"/>
      <c r="AC677" s="4"/>
      <c r="AD677" s="4"/>
      <c r="AE677" s="4"/>
      <c r="AF677" s="4"/>
    </row>
    <row r="678" spans="1:32" x14ac:dyDescent="0.25">
      <c r="A678" s="4" t="str">
        <f t="shared" si="72"/>
        <v>'',</v>
      </c>
      <c r="B678" s="4" t="str">
        <f t="shared" si="73"/>
        <v>'',</v>
      </c>
      <c r="C678" s="15"/>
      <c r="D678" s="5"/>
      <c r="E678" s="5"/>
      <c r="F678" s="5"/>
      <c r="G678" s="29"/>
      <c r="H678" s="5"/>
      <c r="I678" s="22"/>
      <c r="J678" s="16"/>
      <c r="K678" s="25"/>
      <c r="L678" s="16"/>
      <c r="M678" s="16" t="str">
        <f t="shared" si="76"/>
        <v/>
      </c>
      <c r="N678" s="16" t="str">
        <f t="shared" si="77"/>
        <v/>
      </c>
      <c r="O678" s="7" t="str">
        <f t="shared" si="74"/>
        <v/>
      </c>
      <c r="P678" s="7" t="str">
        <f t="shared" si="75"/>
        <v/>
      </c>
      <c r="Q678" s="7"/>
      <c r="R678" s="7"/>
      <c r="S678" s="16"/>
      <c r="T678" s="4"/>
      <c r="U678" s="4"/>
      <c r="V678" s="4"/>
      <c r="W678" s="4"/>
      <c r="X678" s="4"/>
      <c r="Y678" s="4"/>
      <c r="Z678" s="4"/>
      <c r="AA678" s="37"/>
      <c r="AB678" s="4"/>
      <c r="AC678" s="4"/>
      <c r="AD678" s="4"/>
      <c r="AE678" s="4"/>
      <c r="AF678" s="4"/>
    </row>
    <row r="679" spans="1:32" x14ac:dyDescent="0.25">
      <c r="A679" s="4" t="str">
        <f t="shared" si="72"/>
        <v>'',</v>
      </c>
      <c r="B679" s="4" t="str">
        <f t="shared" si="73"/>
        <v>'',</v>
      </c>
      <c r="C679" s="15"/>
      <c r="D679" s="5"/>
      <c r="E679" s="5"/>
      <c r="F679" s="5"/>
      <c r="G679" s="29"/>
      <c r="H679" s="5"/>
      <c r="I679" s="22"/>
      <c r="J679" s="16"/>
      <c r="K679" s="25"/>
      <c r="L679" s="16"/>
      <c r="M679" s="16" t="str">
        <f t="shared" si="76"/>
        <v/>
      </c>
      <c r="N679" s="16" t="str">
        <f t="shared" si="77"/>
        <v/>
      </c>
      <c r="O679" s="7" t="str">
        <f t="shared" si="74"/>
        <v/>
      </c>
      <c r="P679" s="7" t="str">
        <f t="shared" si="75"/>
        <v/>
      </c>
      <c r="Q679" s="7"/>
      <c r="R679" s="7"/>
      <c r="S679" s="16"/>
      <c r="T679" s="4"/>
      <c r="U679" s="4"/>
      <c r="V679" s="4"/>
      <c r="W679" s="4"/>
      <c r="X679" s="4"/>
      <c r="Y679" s="4"/>
      <c r="Z679" s="4"/>
      <c r="AA679" s="37"/>
      <c r="AB679" s="4"/>
      <c r="AC679" s="4"/>
      <c r="AD679" s="4"/>
      <c r="AE679" s="4"/>
      <c r="AF679" s="4"/>
    </row>
    <row r="680" spans="1:32" x14ac:dyDescent="0.25">
      <c r="A680" s="4" t="str">
        <f t="shared" si="72"/>
        <v>'',</v>
      </c>
      <c r="B680" s="4" t="str">
        <f t="shared" si="73"/>
        <v>'',</v>
      </c>
      <c r="C680" s="15"/>
      <c r="D680" s="5"/>
      <c r="E680" s="5"/>
      <c r="F680" s="5"/>
      <c r="G680" s="29"/>
      <c r="H680" s="5"/>
      <c r="I680" s="22"/>
      <c r="J680" s="16"/>
      <c r="K680" s="25"/>
      <c r="L680" s="16"/>
      <c r="M680" s="16" t="str">
        <f t="shared" si="76"/>
        <v/>
      </c>
      <c r="N680" s="16" t="str">
        <f t="shared" si="77"/>
        <v/>
      </c>
      <c r="O680" s="7" t="str">
        <f t="shared" si="74"/>
        <v/>
      </c>
      <c r="P680" s="7" t="str">
        <f t="shared" si="75"/>
        <v/>
      </c>
      <c r="Q680" s="7"/>
      <c r="R680" s="7"/>
      <c r="S680" s="16"/>
      <c r="T680" s="4"/>
      <c r="U680" s="4"/>
      <c r="V680" s="4"/>
      <c r="W680" s="4"/>
      <c r="X680" s="4"/>
      <c r="Y680" s="4"/>
      <c r="Z680" s="4"/>
      <c r="AA680" s="37"/>
      <c r="AB680" s="4"/>
      <c r="AC680" s="4"/>
      <c r="AD680" s="4"/>
      <c r="AE680" s="4"/>
      <c r="AF680" s="4"/>
    </row>
    <row r="681" spans="1:32" x14ac:dyDescent="0.25">
      <c r="A681" s="4" t="str">
        <f t="shared" si="72"/>
        <v>'',</v>
      </c>
      <c r="B681" s="4" t="str">
        <f t="shared" si="73"/>
        <v>'',</v>
      </c>
      <c r="C681" s="15"/>
      <c r="D681" s="5"/>
      <c r="E681" s="5"/>
      <c r="F681" s="5"/>
      <c r="G681" s="29"/>
      <c r="H681" s="5"/>
      <c r="I681" s="22"/>
      <c r="J681" s="16"/>
      <c r="K681" s="25"/>
      <c r="L681" s="16"/>
      <c r="M681" s="16" t="str">
        <f t="shared" si="76"/>
        <v/>
      </c>
      <c r="N681" s="16" t="str">
        <f t="shared" si="77"/>
        <v/>
      </c>
      <c r="O681" s="7" t="str">
        <f t="shared" si="74"/>
        <v/>
      </c>
      <c r="P681" s="7" t="str">
        <f t="shared" si="75"/>
        <v/>
      </c>
      <c r="Q681" s="7"/>
      <c r="R681" s="7"/>
      <c r="S681" s="16"/>
      <c r="T681" s="4"/>
      <c r="U681" s="4"/>
      <c r="V681" s="4"/>
      <c r="W681" s="4"/>
      <c r="X681" s="4"/>
      <c r="Y681" s="4"/>
      <c r="Z681" s="4"/>
      <c r="AA681" s="37"/>
      <c r="AB681" s="4"/>
      <c r="AC681" s="4"/>
      <c r="AD681" s="4"/>
      <c r="AE681" s="4"/>
      <c r="AF681" s="4"/>
    </row>
    <row r="682" spans="1:32" x14ac:dyDescent="0.25">
      <c r="A682" s="4" t="str">
        <f t="shared" si="72"/>
        <v>'',</v>
      </c>
      <c r="B682" s="4" t="str">
        <f t="shared" si="73"/>
        <v>'',</v>
      </c>
      <c r="C682" s="15"/>
      <c r="D682" s="5"/>
      <c r="E682" s="5"/>
      <c r="F682" s="5"/>
      <c r="G682" s="29"/>
      <c r="H682" s="5"/>
      <c r="I682" s="22"/>
      <c r="J682" s="16"/>
      <c r="K682" s="25"/>
      <c r="L682" s="16"/>
      <c r="M682" s="16" t="str">
        <f t="shared" si="76"/>
        <v/>
      </c>
      <c r="N682" s="16" t="str">
        <f t="shared" si="77"/>
        <v/>
      </c>
      <c r="O682" s="7" t="str">
        <f t="shared" si="74"/>
        <v/>
      </c>
      <c r="P682" s="7" t="str">
        <f t="shared" si="75"/>
        <v/>
      </c>
      <c r="Q682" s="7"/>
      <c r="R682" s="7"/>
      <c r="S682" s="16"/>
      <c r="T682" s="4"/>
      <c r="U682" s="4"/>
      <c r="V682" s="4"/>
      <c r="W682" s="4"/>
      <c r="X682" s="4"/>
      <c r="Y682" s="4"/>
      <c r="Z682" s="4"/>
      <c r="AA682" s="37"/>
      <c r="AB682" s="4"/>
      <c r="AC682" s="4"/>
      <c r="AD682" s="4"/>
      <c r="AE682" s="4"/>
      <c r="AF682" s="4"/>
    </row>
    <row r="683" spans="1:32" x14ac:dyDescent="0.25">
      <c r="A683" s="4" t="str">
        <f t="shared" si="72"/>
        <v>'',</v>
      </c>
      <c r="B683" s="4" t="str">
        <f t="shared" si="73"/>
        <v>'',</v>
      </c>
      <c r="C683" s="15"/>
      <c r="D683" s="5"/>
      <c r="E683" s="5"/>
      <c r="F683" s="5"/>
      <c r="G683" s="29"/>
      <c r="H683" s="5"/>
      <c r="I683" s="22"/>
      <c r="J683" s="16"/>
      <c r="K683" s="25"/>
      <c r="L683" s="16"/>
      <c r="M683" s="16" t="str">
        <f t="shared" si="76"/>
        <v/>
      </c>
      <c r="N683" s="16" t="str">
        <f t="shared" si="77"/>
        <v/>
      </c>
      <c r="O683" s="7" t="str">
        <f t="shared" si="74"/>
        <v/>
      </c>
      <c r="P683" s="7" t="str">
        <f t="shared" si="75"/>
        <v/>
      </c>
      <c r="Q683" s="7"/>
      <c r="R683" s="7"/>
      <c r="S683" s="16"/>
      <c r="T683" s="4"/>
      <c r="U683" s="4"/>
      <c r="V683" s="4"/>
      <c r="W683" s="4"/>
      <c r="X683" s="4"/>
      <c r="Y683" s="4"/>
      <c r="Z683" s="4"/>
      <c r="AA683" s="37"/>
      <c r="AB683" s="4"/>
      <c r="AC683" s="4"/>
      <c r="AD683" s="4"/>
      <c r="AE683" s="4"/>
      <c r="AF683" s="4"/>
    </row>
    <row r="684" spans="1:32" x14ac:dyDescent="0.25">
      <c r="A684" s="4" t="str">
        <f t="shared" si="72"/>
        <v>'',</v>
      </c>
      <c r="B684" s="4" t="str">
        <f t="shared" si="73"/>
        <v>'',</v>
      </c>
      <c r="C684" s="15"/>
      <c r="D684" s="5"/>
      <c r="E684" s="5"/>
      <c r="F684" s="5"/>
      <c r="G684" s="29"/>
      <c r="H684" s="5"/>
      <c r="I684" s="22"/>
      <c r="J684" s="16"/>
      <c r="K684" s="25"/>
      <c r="L684" s="16"/>
      <c r="M684" s="16" t="str">
        <f t="shared" si="76"/>
        <v/>
      </c>
      <c r="N684" s="16" t="str">
        <f t="shared" si="77"/>
        <v/>
      </c>
      <c r="O684" s="7" t="str">
        <f t="shared" si="74"/>
        <v/>
      </c>
      <c r="P684" s="7" t="str">
        <f t="shared" si="75"/>
        <v/>
      </c>
      <c r="Q684" s="7"/>
      <c r="R684" s="7"/>
      <c r="S684" s="16"/>
      <c r="T684" s="4"/>
      <c r="U684" s="4"/>
      <c r="V684" s="4"/>
      <c r="W684" s="4"/>
      <c r="X684" s="4"/>
      <c r="Y684" s="4"/>
      <c r="Z684" s="4"/>
      <c r="AA684" s="37"/>
      <c r="AB684" s="4"/>
      <c r="AC684" s="4"/>
      <c r="AD684" s="4"/>
      <c r="AE684" s="4"/>
      <c r="AF684" s="4"/>
    </row>
    <row r="685" spans="1:32" x14ac:dyDescent="0.25">
      <c r="A685" s="4" t="str">
        <f t="shared" si="72"/>
        <v>'',</v>
      </c>
      <c r="B685" s="4" t="str">
        <f t="shared" si="73"/>
        <v>'',</v>
      </c>
      <c r="C685" s="15"/>
      <c r="D685" s="5"/>
      <c r="E685" s="5"/>
      <c r="F685" s="5"/>
      <c r="G685" s="29"/>
      <c r="H685" s="5"/>
      <c r="I685" s="22"/>
      <c r="J685" s="16"/>
      <c r="K685" s="25"/>
      <c r="L685" s="16"/>
      <c r="M685" s="16" t="str">
        <f t="shared" si="76"/>
        <v/>
      </c>
      <c r="N685" s="16" t="str">
        <f t="shared" si="77"/>
        <v/>
      </c>
      <c r="O685" s="7" t="str">
        <f t="shared" si="74"/>
        <v/>
      </c>
      <c r="P685" s="7" t="str">
        <f t="shared" si="75"/>
        <v/>
      </c>
      <c r="Q685" s="7"/>
      <c r="R685" s="7"/>
      <c r="S685" s="16"/>
      <c r="T685" s="4"/>
      <c r="U685" s="4"/>
      <c r="V685" s="4"/>
      <c r="W685" s="4"/>
      <c r="X685" s="4"/>
      <c r="Y685" s="4"/>
      <c r="Z685" s="4"/>
      <c r="AA685" s="37"/>
      <c r="AB685" s="4"/>
      <c r="AC685" s="4"/>
      <c r="AD685" s="4"/>
      <c r="AE685" s="4"/>
      <c r="AF685" s="4"/>
    </row>
    <row r="686" spans="1:32" x14ac:dyDescent="0.25">
      <c r="A686" s="4" t="str">
        <f t="shared" si="72"/>
        <v>'',</v>
      </c>
      <c r="B686" s="4" t="str">
        <f t="shared" si="73"/>
        <v>'',</v>
      </c>
      <c r="C686" s="15"/>
      <c r="D686" s="5"/>
      <c r="E686" s="5"/>
      <c r="F686" s="5"/>
      <c r="G686" s="29"/>
      <c r="H686" s="5"/>
      <c r="I686" s="22"/>
      <c r="J686" s="16"/>
      <c r="K686" s="25"/>
      <c r="L686" s="16"/>
      <c r="M686" s="16" t="str">
        <f t="shared" si="76"/>
        <v/>
      </c>
      <c r="N686" s="16" t="str">
        <f t="shared" si="77"/>
        <v/>
      </c>
      <c r="O686" s="7" t="str">
        <f t="shared" si="74"/>
        <v/>
      </c>
      <c r="P686" s="7" t="str">
        <f t="shared" si="75"/>
        <v/>
      </c>
      <c r="Q686" s="7"/>
      <c r="R686" s="7"/>
      <c r="S686" s="16"/>
      <c r="T686" s="4"/>
      <c r="U686" s="4"/>
      <c r="V686" s="4"/>
      <c r="W686" s="4"/>
      <c r="X686" s="4"/>
      <c r="Y686" s="4"/>
      <c r="Z686" s="4"/>
      <c r="AA686" s="37"/>
      <c r="AB686" s="4"/>
      <c r="AC686" s="4"/>
      <c r="AD686" s="4"/>
      <c r="AE686" s="4"/>
      <c r="AF686" s="4"/>
    </row>
    <row r="687" spans="1:32" x14ac:dyDescent="0.25">
      <c r="A687" s="4" t="str">
        <f t="shared" si="72"/>
        <v>'',</v>
      </c>
      <c r="B687" s="4" t="str">
        <f t="shared" si="73"/>
        <v>'',</v>
      </c>
      <c r="C687" s="15"/>
      <c r="D687" s="5"/>
      <c r="E687" s="5"/>
      <c r="F687" s="5"/>
      <c r="G687" s="29"/>
      <c r="H687" s="5"/>
      <c r="I687" s="22"/>
      <c r="J687" s="16"/>
      <c r="K687" s="25"/>
      <c r="L687" s="16"/>
      <c r="M687" s="16" t="str">
        <f t="shared" si="76"/>
        <v/>
      </c>
      <c r="N687" s="16" t="str">
        <f t="shared" si="77"/>
        <v/>
      </c>
      <c r="O687" s="7" t="str">
        <f t="shared" si="74"/>
        <v/>
      </c>
      <c r="P687" s="7" t="str">
        <f t="shared" si="75"/>
        <v/>
      </c>
      <c r="Q687" s="7"/>
      <c r="R687" s="7"/>
      <c r="S687" s="16"/>
      <c r="T687" s="4"/>
      <c r="U687" s="4"/>
      <c r="V687" s="4"/>
      <c r="W687" s="4"/>
      <c r="X687" s="4"/>
      <c r="Y687" s="4"/>
      <c r="Z687" s="4"/>
      <c r="AA687" s="37"/>
      <c r="AB687" s="4"/>
      <c r="AC687" s="4"/>
      <c r="AD687" s="4"/>
      <c r="AE687" s="4"/>
      <c r="AF687" s="4"/>
    </row>
    <row r="688" spans="1:32" x14ac:dyDescent="0.25">
      <c r="A688" s="4" t="str">
        <f t="shared" si="72"/>
        <v>'',</v>
      </c>
      <c r="B688" s="4" t="str">
        <f t="shared" si="73"/>
        <v>'',</v>
      </c>
      <c r="C688" s="15"/>
      <c r="D688" s="5"/>
      <c r="E688" s="5"/>
      <c r="F688" s="5"/>
      <c r="G688" s="29"/>
      <c r="H688" s="5"/>
      <c r="I688" s="22"/>
      <c r="J688" s="16"/>
      <c r="K688" s="25"/>
      <c r="L688" s="16"/>
      <c r="M688" s="16" t="str">
        <f t="shared" si="76"/>
        <v/>
      </c>
      <c r="N688" s="16" t="str">
        <f t="shared" si="77"/>
        <v/>
      </c>
      <c r="O688" s="7" t="str">
        <f t="shared" si="74"/>
        <v/>
      </c>
      <c r="P688" s="7" t="str">
        <f t="shared" si="75"/>
        <v/>
      </c>
      <c r="Q688" s="7"/>
      <c r="R688" s="7"/>
      <c r="S688" s="16"/>
      <c r="T688" s="4"/>
      <c r="U688" s="4"/>
      <c r="V688" s="4"/>
      <c r="W688" s="4"/>
      <c r="X688" s="4"/>
      <c r="Y688" s="4"/>
      <c r="Z688" s="4"/>
      <c r="AA688" s="37"/>
      <c r="AB688" s="4"/>
      <c r="AC688" s="4"/>
      <c r="AD688" s="4"/>
      <c r="AE688" s="4"/>
      <c r="AF688" s="4"/>
    </row>
    <row r="689" spans="1:32" x14ac:dyDescent="0.25">
      <c r="A689" s="4" t="str">
        <f t="shared" si="72"/>
        <v>'',</v>
      </c>
      <c r="B689" s="4" t="str">
        <f t="shared" si="73"/>
        <v>'',</v>
      </c>
      <c r="C689" s="15"/>
      <c r="D689" s="5"/>
      <c r="E689" s="5"/>
      <c r="F689" s="5"/>
      <c r="G689" s="29"/>
      <c r="H689" s="5"/>
      <c r="I689" s="22"/>
      <c r="J689" s="16"/>
      <c r="K689" s="25"/>
      <c r="L689" s="16"/>
      <c r="M689" s="16" t="str">
        <f t="shared" si="76"/>
        <v/>
      </c>
      <c r="N689" s="16" t="str">
        <f t="shared" si="77"/>
        <v/>
      </c>
      <c r="O689" s="7" t="str">
        <f t="shared" si="74"/>
        <v/>
      </c>
      <c r="P689" s="7" t="str">
        <f t="shared" si="75"/>
        <v/>
      </c>
      <c r="Q689" s="7"/>
      <c r="R689" s="7"/>
      <c r="S689" s="16"/>
      <c r="T689" s="4"/>
      <c r="U689" s="4"/>
      <c r="V689" s="4"/>
      <c r="W689" s="4"/>
      <c r="X689" s="4"/>
      <c r="Y689" s="4"/>
      <c r="Z689" s="4"/>
      <c r="AA689" s="37"/>
      <c r="AB689" s="4"/>
      <c r="AC689" s="4"/>
      <c r="AD689" s="4"/>
      <c r="AE689" s="4"/>
      <c r="AF689" s="4"/>
    </row>
    <row r="690" spans="1:32" x14ac:dyDescent="0.25">
      <c r="A690" s="4" t="str">
        <f t="shared" si="72"/>
        <v>'',</v>
      </c>
      <c r="B690" s="4" t="str">
        <f t="shared" si="73"/>
        <v>'',</v>
      </c>
      <c r="C690" s="15"/>
      <c r="D690" s="5"/>
      <c r="E690" s="5"/>
      <c r="F690" s="5"/>
      <c r="G690" s="29"/>
      <c r="H690" s="5"/>
      <c r="I690" s="22"/>
      <c r="J690" s="16"/>
      <c r="K690" s="25"/>
      <c r="L690" s="16"/>
      <c r="M690" s="16" t="str">
        <f t="shared" si="76"/>
        <v/>
      </c>
      <c r="N690" s="16" t="str">
        <f t="shared" si="77"/>
        <v/>
      </c>
      <c r="O690" s="7" t="str">
        <f t="shared" si="74"/>
        <v/>
      </c>
      <c r="P690" s="7" t="str">
        <f t="shared" si="75"/>
        <v/>
      </c>
      <c r="Q690" s="7"/>
      <c r="R690" s="7"/>
      <c r="S690" s="16"/>
      <c r="T690" s="4"/>
      <c r="U690" s="4"/>
      <c r="V690" s="4"/>
      <c r="W690" s="4"/>
      <c r="X690" s="4"/>
      <c r="Y690" s="4"/>
      <c r="Z690" s="4"/>
      <c r="AA690" s="37"/>
      <c r="AB690" s="4"/>
      <c r="AC690" s="4"/>
      <c r="AD690" s="4"/>
      <c r="AE690" s="4"/>
      <c r="AF690" s="4"/>
    </row>
    <row r="691" spans="1:32" x14ac:dyDescent="0.25">
      <c r="A691" s="4" t="str">
        <f t="shared" si="72"/>
        <v>'',</v>
      </c>
      <c r="B691" s="4" t="str">
        <f t="shared" si="73"/>
        <v>'',</v>
      </c>
      <c r="C691" s="15"/>
      <c r="D691" s="5"/>
      <c r="E691" s="5"/>
      <c r="F691" s="5"/>
      <c r="G691" s="29"/>
      <c r="H691" s="5"/>
      <c r="I691" s="22"/>
      <c r="J691" s="16"/>
      <c r="K691" s="25"/>
      <c r="L691" s="16"/>
      <c r="M691" s="16" t="str">
        <f t="shared" si="76"/>
        <v/>
      </c>
      <c r="N691" s="16" t="str">
        <f t="shared" si="77"/>
        <v/>
      </c>
      <c r="O691" s="7" t="str">
        <f t="shared" si="74"/>
        <v/>
      </c>
      <c r="P691" s="7" t="str">
        <f t="shared" si="75"/>
        <v/>
      </c>
      <c r="Q691" s="7"/>
      <c r="R691" s="7"/>
      <c r="S691" s="16"/>
      <c r="T691" s="4"/>
      <c r="U691" s="4"/>
      <c r="V691" s="4"/>
      <c r="W691" s="4"/>
      <c r="X691" s="4"/>
      <c r="Y691" s="4"/>
      <c r="Z691" s="4"/>
      <c r="AA691" s="37"/>
      <c r="AB691" s="4"/>
      <c r="AC691" s="4"/>
      <c r="AD691" s="4"/>
      <c r="AE691" s="4"/>
      <c r="AF691" s="4"/>
    </row>
    <row r="692" spans="1:32" x14ac:dyDescent="0.25">
      <c r="A692" s="4" t="str">
        <f t="shared" si="72"/>
        <v>'',</v>
      </c>
      <c r="B692" s="4" t="str">
        <f t="shared" si="73"/>
        <v>'',</v>
      </c>
      <c r="C692" s="15"/>
      <c r="D692" s="5"/>
      <c r="E692" s="5"/>
      <c r="F692" s="5"/>
      <c r="G692" s="29"/>
      <c r="H692" s="5"/>
      <c r="I692" s="22"/>
      <c r="J692" s="16"/>
      <c r="K692" s="25"/>
      <c r="L692" s="16"/>
      <c r="M692" s="16" t="str">
        <f t="shared" si="76"/>
        <v/>
      </c>
      <c r="N692" s="16" t="str">
        <f t="shared" si="77"/>
        <v/>
      </c>
      <c r="O692" s="7" t="str">
        <f t="shared" si="74"/>
        <v/>
      </c>
      <c r="P692" s="7" t="str">
        <f t="shared" si="75"/>
        <v/>
      </c>
      <c r="Q692" s="7"/>
      <c r="R692" s="7"/>
      <c r="S692" s="16"/>
      <c r="T692" s="4"/>
      <c r="U692" s="4"/>
      <c r="V692" s="4"/>
      <c r="W692" s="4"/>
      <c r="X692" s="4"/>
      <c r="Y692" s="4"/>
      <c r="Z692" s="4"/>
      <c r="AA692" s="37"/>
      <c r="AB692" s="4"/>
      <c r="AC692" s="4"/>
      <c r="AD692" s="4"/>
      <c r="AE692" s="4"/>
      <c r="AF692" s="4"/>
    </row>
    <row r="693" spans="1:32" x14ac:dyDescent="0.25">
      <c r="A693" s="4" t="str">
        <f t="shared" si="72"/>
        <v>'',</v>
      </c>
      <c r="B693" s="4" t="str">
        <f t="shared" si="73"/>
        <v>'',</v>
      </c>
      <c r="C693" s="15"/>
      <c r="D693" s="5"/>
      <c r="E693" s="5"/>
      <c r="F693" s="5"/>
      <c r="G693" s="29"/>
      <c r="H693" s="5"/>
      <c r="I693" s="22"/>
      <c r="J693" s="16"/>
      <c r="K693" s="25"/>
      <c r="L693" s="16"/>
      <c r="M693" s="16" t="str">
        <f t="shared" si="76"/>
        <v/>
      </c>
      <c r="N693" s="16" t="str">
        <f t="shared" si="77"/>
        <v/>
      </c>
      <c r="O693" s="7" t="str">
        <f t="shared" si="74"/>
        <v/>
      </c>
      <c r="P693" s="7" t="str">
        <f t="shared" si="75"/>
        <v/>
      </c>
      <c r="Q693" s="7"/>
      <c r="R693" s="7"/>
      <c r="S693" s="16"/>
      <c r="T693" s="4"/>
      <c r="U693" s="4"/>
      <c r="V693" s="4"/>
      <c r="W693" s="4"/>
      <c r="X693" s="4"/>
      <c r="Y693" s="4"/>
      <c r="Z693" s="4"/>
      <c r="AA693" s="37"/>
      <c r="AB693" s="4"/>
      <c r="AC693" s="4"/>
      <c r="AD693" s="4"/>
      <c r="AE693" s="4"/>
      <c r="AF693" s="4"/>
    </row>
    <row r="694" spans="1:32" x14ac:dyDescent="0.25">
      <c r="A694" s="4" t="str">
        <f t="shared" si="72"/>
        <v>'',</v>
      </c>
      <c r="B694" s="4" t="str">
        <f t="shared" si="73"/>
        <v>'',</v>
      </c>
      <c r="C694" s="15"/>
      <c r="D694" s="5"/>
      <c r="E694" s="5"/>
      <c r="F694" s="5"/>
      <c r="G694" s="29"/>
      <c r="H694" s="5"/>
      <c r="I694" s="22"/>
      <c r="J694" s="16"/>
      <c r="K694" s="25"/>
      <c r="L694" s="16"/>
      <c r="M694" s="16" t="str">
        <f t="shared" si="76"/>
        <v/>
      </c>
      <c r="N694" s="16" t="str">
        <f t="shared" si="77"/>
        <v/>
      </c>
      <c r="O694" s="7" t="str">
        <f t="shared" si="74"/>
        <v/>
      </c>
      <c r="P694" s="7" t="str">
        <f t="shared" si="75"/>
        <v/>
      </c>
      <c r="Q694" s="7"/>
      <c r="R694" s="7"/>
      <c r="S694" s="16"/>
      <c r="T694" s="4"/>
      <c r="U694" s="4"/>
      <c r="V694" s="4"/>
      <c r="W694" s="4"/>
      <c r="X694" s="4"/>
      <c r="Y694" s="4"/>
      <c r="Z694" s="4"/>
      <c r="AA694" s="37"/>
      <c r="AB694" s="4"/>
      <c r="AC694" s="4"/>
      <c r="AD694" s="4"/>
      <c r="AE694" s="4"/>
      <c r="AF694" s="4"/>
    </row>
    <row r="695" spans="1:32" x14ac:dyDescent="0.25">
      <c r="A695" s="4" t="str">
        <f t="shared" si="72"/>
        <v>'',</v>
      </c>
      <c r="B695" s="4" t="str">
        <f t="shared" si="73"/>
        <v>'',</v>
      </c>
      <c r="C695" s="15"/>
      <c r="D695" s="5"/>
      <c r="E695" s="5"/>
      <c r="F695" s="5"/>
      <c r="G695" s="29"/>
      <c r="H695" s="5"/>
      <c r="I695" s="22"/>
      <c r="J695" s="16"/>
      <c r="K695" s="25"/>
      <c r="L695" s="16"/>
      <c r="M695" s="16" t="str">
        <f t="shared" si="76"/>
        <v/>
      </c>
      <c r="N695" s="16" t="str">
        <f t="shared" si="77"/>
        <v/>
      </c>
      <c r="O695" s="7" t="str">
        <f t="shared" si="74"/>
        <v/>
      </c>
      <c r="P695" s="7" t="str">
        <f t="shared" si="75"/>
        <v/>
      </c>
      <c r="Q695" s="7"/>
      <c r="R695" s="7"/>
      <c r="S695" s="16"/>
      <c r="T695" s="4"/>
      <c r="U695" s="4"/>
      <c r="V695" s="4"/>
      <c r="W695" s="4"/>
      <c r="X695" s="4"/>
      <c r="Y695" s="4"/>
      <c r="Z695" s="4"/>
      <c r="AA695" s="37"/>
      <c r="AB695" s="4"/>
      <c r="AC695" s="4"/>
      <c r="AD695" s="4"/>
      <c r="AE695" s="4"/>
      <c r="AF695" s="4"/>
    </row>
    <row r="696" spans="1:32" x14ac:dyDescent="0.25">
      <c r="A696" s="4" t="str">
        <f t="shared" si="72"/>
        <v>'',</v>
      </c>
      <c r="B696" s="4" t="str">
        <f t="shared" si="73"/>
        <v>'',</v>
      </c>
      <c r="C696" s="15"/>
      <c r="D696" s="5"/>
      <c r="E696" s="5"/>
      <c r="F696" s="5"/>
      <c r="G696" s="29"/>
      <c r="H696" s="5"/>
      <c r="I696" s="22"/>
      <c r="J696" s="16"/>
      <c r="K696" s="25"/>
      <c r="L696" s="16"/>
      <c r="M696" s="16" t="str">
        <f t="shared" si="76"/>
        <v/>
      </c>
      <c r="N696" s="16" t="str">
        <f t="shared" si="77"/>
        <v/>
      </c>
      <c r="O696" s="7" t="str">
        <f t="shared" si="74"/>
        <v/>
      </c>
      <c r="P696" s="7" t="str">
        <f t="shared" si="75"/>
        <v/>
      </c>
      <c r="Q696" s="7"/>
      <c r="R696" s="7"/>
      <c r="S696" s="16"/>
      <c r="T696" s="4"/>
      <c r="U696" s="4"/>
      <c r="V696" s="4"/>
      <c r="W696" s="4"/>
      <c r="X696" s="4"/>
      <c r="Y696" s="4"/>
      <c r="Z696" s="4"/>
      <c r="AA696" s="37"/>
      <c r="AB696" s="4"/>
      <c r="AC696" s="4"/>
      <c r="AD696" s="4"/>
      <c r="AE696" s="4"/>
      <c r="AF696" s="4"/>
    </row>
    <row r="697" spans="1:32" x14ac:dyDescent="0.25">
      <c r="A697" s="4" t="str">
        <f t="shared" si="72"/>
        <v>'',</v>
      </c>
      <c r="B697" s="4" t="str">
        <f t="shared" si="73"/>
        <v>'',</v>
      </c>
      <c r="C697" s="15"/>
      <c r="D697" s="5"/>
      <c r="E697" s="5"/>
      <c r="F697" s="5"/>
      <c r="G697" s="29"/>
      <c r="H697" s="5"/>
      <c r="I697" s="22"/>
      <c r="J697" s="16"/>
      <c r="K697" s="25"/>
      <c r="L697" s="16"/>
      <c r="M697" s="16" t="str">
        <f t="shared" si="76"/>
        <v/>
      </c>
      <c r="N697" s="16" t="str">
        <f t="shared" si="77"/>
        <v/>
      </c>
      <c r="O697" s="7" t="str">
        <f t="shared" si="74"/>
        <v/>
      </c>
      <c r="P697" s="7" t="str">
        <f t="shared" si="75"/>
        <v/>
      </c>
      <c r="Q697" s="7"/>
      <c r="R697" s="7"/>
      <c r="S697" s="16"/>
      <c r="T697" s="4"/>
      <c r="U697" s="4"/>
      <c r="V697" s="4"/>
      <c r="W697" s="4"/>
      <c r="X697" s="4"/>
      <c r="Y697" s="4"/>
      <c r="Z697" s="4"/>
      <c r="AA697" s="37"/>
      <c r="AB697" s="4"/>
      <c r="AC697" s="4"/>
      <c r="AD697" s="4"/>
      <c r="AE697" s="4"/>
      <c r="AF697" s="4"/>
    </row>
    <row r="698" spans="1:32" x14ac:dyDescent="0.25">
      <c r="A698" s="4" t="str">
        <f t="shared" si="72"/>
        <v>'',</v>
      </c>
      <c r="B698" s="4" t="str">
        <f t="shared" si="73"/>
        <v>'',</v>
      </c>
      <c r="C698" s="15"/>
      <c r="D698" s="5"/>
      <c r="E698" s="5"/>
      <c r="F698" s="5"/>
      <c r="G698" s="29"/>
      <c r="H698" s="5"/>
      <c r="I698" s="22"/>
      <c r="J698" s="16"/>
      <c r="K698" s="25"/>
      <c r="L698" s="16"/>
      <c r="M698" s="16" t="str">
        <f t="shared" si="76"/>
        <v/>
      </c>
      <c r="N698" s="16" t="str">
        <f t="shared" si="77"/>
        <v/>
      </c>
      <c r="O698" s="7" t="str">
        <f t="shared" si="74"/>
        <v/>
      </c>
      <c r="P698" s="7" t="str">
        <f t="shared" si="75"/>
        <v/>
      </c>
      <c r="Q698" s="7"/>
      <c r="R698" s="7"/>
      <c r="S698" s="16"/>
      <c r="T698" s="4"/>
      <c r="U698" s="4"/>
      <c r="V698" s="4"/>
      <c r="W698" s="4"/>
      <c r="X698" s="4"/>
      <c r="Y698" s="4"/>
      <c r="Z698" s="4"/>
      <c r="AA698" s="37"/>
      <c r="AB698" s="4"/>
      <c r="AC698" s="4"/>
      <c r="AD698" s="4"/>
      <c r="AE698" s="4"/>
      <c r="AF698" s="4"/>
    </row>
    <row r="699" spans="1:32" x14ac:dyDescent="0.25">
      <c r="A699" s="4" t="str">
        <f t="shared" si="72"/>
        <v>'',</v>
      </c>
      <c r="B699" s="4" t="str">
        <f t="shared" si="73"/>
        <v>'',</v>
      </c>
      <c r="C699" s="15"/>
      <c r="D699" s="5"/>
      <c r="E699" s="5"/>
      <c r="F699" s="5"/>
      <c r="G699" s="29"/>
      <c r="H699" s="5"/>
      <c r="I699" s="22"/>
      <c r="J699" s="16"/>
      <c r="K699" s="25"/>
      <c r="L699" s="16"/>
      <c r="M699" s="16" t="str">
        <f t="shared" si="76"/>
        <v/>
      </c>
      <c r="N699" s="16" t="str">
        <f t="shared" si="77"/>
        <v/>
      </c>
      <c r="O699" s="7" t="str">
        <f t="shared" si="74"/>
        <v/>
      </c>
      <c r="P699" s="7" t="str">
        <f t="shared" si="75"/>
        <v/>
      </c>
      <c r="Q699" s="7"/>
      <c r="R699" s="7"/>
      <c r="S699" s="16"/>
      <c r="T699" s="4"/>
      <c r="U699" s="4"/>
      <c r="V699" s="4"/>
      <c r="W699" s="4"/>
      <c r="X699" s="4"/>
      <c r="Y699" s="4"/>
      <c r="Z699" s="4"/>
      <c r="AA699" s="37"/>
      <c r="AB699" s="4"/>
      <c r="AC699" s="4"/>
      <c r="AD699" s="4"/>
      <c r="AE699" s="4"/>
      <c r="AF699" s="4"/>
    </row>
    <row r="700" spans="1:32" x14ac:dyDescent="0.25">
      <c r="A700" s="4" t="str">
        <f t="shared" si="72"/>
        <v>'',</v>
      </c>
      <c r="B700" s="4" t="str">
        <f t="shared" si="73"/>
        <v>'',</v>
      </c>
      <c r="C700" s="15"/>
      <c r="D700" s="5"/>
      <c r="E700" s="5"/>
      <c r="F700" s="5"/>
      <c r="G700" s="29"/>
      <c r="H700" s="5"/>
      <c r="I700" s="22"/>
      <c r="J700" s="16"/>
      <c r="K700" s="25"/>
      <c r="L700" s="16"/>
      <c r="M700" s="16" t="str">
        <f t="shared" si="76"/>
        <v/>
      </c>
      <c r="N700" s="16" t="str">
        <f t="shared" si="77"/>
        <v/>
      </c>
      <c r="O700" s="7" t="str">
        <f t="shared" si="74"/>
        <v/>
      </c>
      <c r="P700" s="7" t="str">
        <f t="shared" si="75"/>
        <v/>
      </c>
      <c r="Q700" s="7"/>
      <c r="R700" s="7"/>
      <c r="S700" s="16"/>
      <c r="T700" s="4"/>
      <c r="U700" s="4"/>
      <c r="V700" s="4"/>
      <c r="W700" s="4"/>
      <c r="X700" s="4"/>
      <c r="Y700" s="4"/>
      <c r="Z700" s="4"/>
      <c r="AA700" s="37"/>
      <c r="AB700" s="4"/>
      <c r="AC700" s="4"/>
      <c r="AD700" s="4"/>
      <c r="AE700" s="4"/>
      <c r="AF700" s="4"/>
    </row>
    <row r="701" spans="1:32" x14ac:dyDescent="0.25">
      <c r="A701" s="4" t="str">
        <f t="shared" si="72"/>
        <v>'',</v>
      </c>
      <c r="B701" s="4" t="str">
        <f t="shared" si="73"/>
        <v>'',</v>
      </c>
      <c r="C701" s="15"/>
      <c r="D701" s="5"/>
      <c r="E701" s="5"/>
      <c r="F701" s="5"/>
      <c r="G701" s="29"/>
      <c r="H701" s="5"/>
      <c r="I701" s="22"/>
      <c r="J701" s="16"/>
      <c r="K701" s="25"/>
      <c r="L701" s="16"/>
      <c r="M701" s="16" t="str">
        <f t="shared" si="76"/>
        <v/>
      </c>
      <c r="N701" s="16" t="str">
        <f t="shared" si="77"/>
        <v/>
      </c>
      <c r="O701" s="7" t="str">
        <f t="shared" si="74"/>
        <v/>
      </c>
      <c r="P701" s="7" t="str">
        <f t="shared" si="75"/>
        <v/>
      </c>
      <c r="Q701" s="7"/>
      <c r="R701" s="7"/>
      <c r="S701" s="16"/>
      <c r="T701" s="4"/>
      <c r="U701" s="4"/>
      <c r="V701" s="4"/>
      <c r="W701" s="4"/>
      <c r="X701" s="4"/>
      <c r="Y701" s="4"/>
      <c r="Z701" s="4"/>
      <c r="AA701" s="37"/>
      <c r="AB701" s="4"/>
      <c r="AC701" s="4"/>
      <c r="AD701" s="4"/>
      <c r="AE701" s="4"/>
      <c r="AF701" s="4"/>
    </row>
    <row r="702" spans="1:32" x14ac:dyDescent="0.25">
      <c r="A702" s="4" t="str">
        <f t="shared" si="72"/>
        <v>'',</v>
      </c>
      <c r="B702" s="4" t="str">
        <f t="shared" si="73"/>
        <v>'',</v>
      </c>
      <c r="C702" s="15"/>
      <c r="D702" s="5"/>
      <c r="E702" s="5"/>
      <c r="F702" s="5"/>
      <c r="G702" s="29"/>
      <c r="H702" s="5"/>
      <c r="I702" s="22"/>
      <c r="J702" s="16"/>
      <c r="K702" s="25"/>
      <c r="L702" s="16"/>
      <c r="M702" s="16" t="str">
        <f t="shared" si="76"/>
        <v/>
      </c>
      <c r="N702" s="16" t="str">
        <f t="shared" si="77"/>
        <v/>
      </c>
      <c r="O702" s="7" t="str">
        <f t="shared" si="74"/>
        <v/>
      </c>
      <c r="P702" s="7" t="str">
        <f t="shared" si="75"/>
        <v/>
      </c>
      <c r="Q702" s="7"/>
      <c r="R702" s="7"/>
      <c r="S702" s="16"/>
      <c r="T702" s="4"/>
      <c r="U702" s="4"/>
      <c r="V702" s="4"/>
      <c r="W702" s="4"/>
      <c r="X702" s="4"/>
      <c r="Y702" s="4"/>
      <c r="Z702" s="4"/>
      <c r="AA702" s="37"/>
      <c r="AB702" s="4"/>
      <c r="AC702" s="4"/>
      <c r="AD702" s="4"/>
      <c r="AE702" s="4"/>
      <c r="AF702" s="4"/>
    </row>
    <row r="703" spans="1:32" x14ac:dyDescent="0.25">
      <c r="A703" s="4" t="str">
        <f t="shared" si="72"/>
        <v>'',</v>
      </c>
      <c r="B703" s="4" t="str">
        <f t="shared" si="73"/>
        <v>'',</v>
      </c>
      <c r="C703" s="15"/>
      <c r="D703" s="5"/>
      <c r="E703" s="5"/>
      <c r="F703" s="5"/>
      <c r="G703" s="29"/>
      <c r="H703" s="5"/>
      <c r="I703" s="22"/>
      <c r="J703" s="16"/>
      <c r="K703" s="25"/>
      <c r="L703" s="16"/>
      <c r="M703" s="16" t="str">
        <f t="shared" si="76"/>
        <v/>
      </c>
      <c r="N703" s="16" t="str">
        <f t="shared" si="77"/>
        <v/>
      </c>
      <c r="O703" s="7" t="str">
        <f t="shared" si="74"/>
        <v/>
      </c>
      <c r="P703" s="7" t="str">
        <f t="shared" si="75"/>
        <v/>
      </c>
      <c r="Q703" s="7"/>
      <c r="R703" s="7"/>
      <c r="S703" s="16"/>
      <c r="T703" s="4"/>
      <c r="U703" s="4"/>
      <c r="V703" s="4"/>
      <c r="W703" s="4"/>
      <c r="X703" s="4"/>
      <c r="Y703" s="4"/>
      <c r="Z703" s="4"/>
      <c r="AA703" s="37"/>
      <c r="AB703" s="4"/>
      <c r="AC703" s="4"/>
      <c r="AD703" s="4"/>
      <c r="AE703" s="4"/>
      <c r="AF703" s="4"/>
    </row>
    <row r="704" spans="1:32" x14ac:dyDescent="0.25">
      <c r="A704" s="4" t="str">
        <f t="shared" si="72"/>
        <v>'',</v>
      </c>
      <c r="B704" s="4" t="str">
        <f t="shared" si="73"/>
        <v>'',</v>
      </c>
      <c r="C704" s="15"/>
      <c r="D704" s="5"/>
      <c r="E704" s="5"/>
      <c r="F704" s="5"/>
      <c r="G704" s="29"/>
      <c r="H704" s="5"/>
      <c r="I704" s="22"/>
      <c r="J704" s="16"/>
      <c r="K704" s="25"/>
      <c r="L704" s="16"/>
      <c r="M704" s="16" t="str">
        <f t="shared" si="76"/>
        <v/>
      </c>
      <c r="N704" s="16" t="str">
        <f t="shared" si="77"/>
        <v/>
      </c>
      <c r="O704" s="7" t="str">
        <f t="shared" si="74"/>
        <v/>
      </c>
      <c r="P704" s="7" t="str">
        <f t="shared" si="75"/>
        <v/>
      </c>
      <c r="Q704" s="7"/>
      <c r="R704" s="7"/>
      <c r="S704" s="16"/>
      <c r="T704" s="4"/>
      <c r="U704" s="4"/>
      <c r="V704" s="4"/>
      <c r="W704" s="4"/>
      <c r="X704" s="4"/>
      <c r="Y704" s="4"/>
      <c r="Z704" s="4"/>
      <c r="AA704" s="37"/>
      <c r="AB704" s="4"/>
      <c r="AC704" s="4"/>
      <c r="AD704" s="4"/>
      <c r="AE704" s="4"/>
      <c r="AF704" s="4"/>
    </row>
    <row r="705" spans="1:32" x14ac:dyDescent="0.25">
      <c r="A705" s="4" t="str">
        <f t="shared" si="72"/>
        <v>'',</v>
      </c>
      <c r="B705" s="4" t="str">
        <f t="shared" si="73"/>
        <v>'',</v>
      </c>
      <c r="C705" s="15"/>
      <c r="D705" s="5"/>
      <c r="E705" s="5"/>
      <c r="F705" s="5"/>
      <c r="G705" s="29"/>
      <c r="H705" s="5"/>
      <c r="I705" s="22"/>
      <c r="J705" s="16"/>
      <c r="K705" s="25"/>
      <c r="L705" s="16"/>
      <c r="M705" s="16" t="str">
        <f t="shared" si="76"/>
        <v/>
      </c>
      <c r="N705" s="16" t="str">
        <f t="shared" si="77"/>
        <v/>
      </c>
      <c r="O705" s="7" t="str">
        <f t="shared" si="74"/>
        <v/>
      </c>
      <c r="P705" s="7" t="str">
        <f t="shared" si="75"/>
        <v/>
      </c>
      <c r="Q705" s="7"/>
      <c r="R705" s="7"/>
      <c r="S705" s="16"/>
      <c r="T705" s="4"/>
      <c r="U705" s="4"/>
      <c r="V705" s="4"/>
      <c r="W705" s="4"/>
      <c r="X705" s="4"/>
      <c r="Y705" s="4"/>
      <c r="Z705" s="4"/>
      <c r="AA705" s="37"/>
      <c r="AB705" s="4"/>
      <c r="AC705" s="4"/>
      <c r="AD705" s="4"/>
      <c r="AE705" s="4"/>
      <c r="AF705" s="4"/>
    </row>
    <row r="706" spans="1:32" x14ac:dyDescent="0.25">
      <c r="A706" s="4" t="str">
        <f t="shared" si="72"/>
        <v>'',</v>
      </c>
      <c r="B706" s="4" t="str">
        <f t="shared" si="73"/>
        <v>'',</v>
      </c>
      <c r="C706" s="15"/>
      <c r="D706" s="5"/>
      <c r="E706" s="5"/>
      <c r="F706" s="5"/>
      <c r="G706" s="29"/>
      <c r="H706" s="5"/>
      <c r="I706" s="22"/>
      <c r="J706" s="16"/>
      <c r="K706" s="25"/>
      <c r="L706" s="16"/>
      <c r="M706" s="16" t="str">
        <f t="shared" si="76"/>
        <v/>
      </c>
      <c r="N706" s="16" t="str">
        <f t="shared" si="77"/>
        <v/>
      </c>
      <c r="O706" s="7" t="str">
        <f t="shared" si="74"/>
        <v/>
      </c>
      <c r="P706" s="7" t="str">
        <f t="shared" si="75"/>
        <v/>
      </c>
      <c r="Q706" s="7"/>
      <c r="R706" s="7"/>
      <c r="S706" s="16"/>
      <c r="T706" s="4"/>
      <c r="U706" s="4"/>
      <c r="V706" s="4"/>
      <c r="W706" s="4"/>
      <c r="X706" s="4"/>
      <c r="Y706" s="4"/>
      <c r="Z706" s="4"/>
      <c r="AA706" s="37"/>
      <c r="AB706" s="4"/>
      <c r="AC706" s="4"/>
      <c r="AD706" s="4"/>
      <c r="AE706" s="4"/>
      <c r="AF706" s="4"/>
    </row>
    <row r="707" spans="1:32" x14ac:dyDescent="0.25">
      <c r="A707" s="4" t="str">
        <f t="shared" si="72"/>
        <v>'',</v>
      </c>
      <c r="B707" s="4" t="str">
        <f t="shared" si="73"/>
        <v>'',</v>
      </c>
      <c r="C707" s="15"/>
      <c r="D707" s="5"/>
      <c r="E707" s="5"/>
      <c r="F707" s="5"/>
      <c r="G707" s="29"/>
      <c r="H707" s="5"/>
      <c r="I707" s="22"/>
      <c r="J707" s="16"/>
      <c r="K707" s="25"/>
      <c r="L707" s="16"/>
      <c r="M707" s="16" t="str">
        <f t="shared" si="76"/>
        <v/>
      </c>
      <c r="N707" s="16" t="str">
        <f t="shared" si="77"/>
        <v/>
      </c>
      <c r="O707" s="7" t="str">
        <f t="shared" si="74"/>
        <v/>
      </c>
      <c r="P707" s="7" t="str">
        <f t="shared" si="75"/>
        <v/>
      </c>
      <c r="Q707" s="7"/>
      <c r="R707" s="7"/>
      <c r="S707" s="16"/>
      <c r="T707" s="4"/>
      <c r="U707" s="4"/>
      <c r="V707" s="4"/>
      <c r="W707" s="4"/>
      <c r="X707" s="4"/>
      <c r="Y707" s="4"/>
      <c r="Z707" s="4"/>
      <c r="AA707" s="37"/>
      <c r="AB707" s="4"/>
      <c r="AC707" s="4"/>
      <c r="AD707" s="4"/>
      <c r="AE707" s="4"/>
      <c r="AF707" s="4"/>
    </row>
    <row r="708" spans="1:32" x14ac:dyDescent="0.25">
      <c r="A708" s="4" t="str">
        <f t="shared" si="72"/>
        <v>'',</v>
      </c>
      <c r="B708" s="4" t="str">
        <f t="shared" si="73"/>
        <v>'',</v>
      </c>
      <c r="C708" s="15"/>
      <c r="D708" s="5"/>
      <c r="E708" s="5"/>
      <c r="F708" s="5"/>
      <c r="G708" s="29"/>
      <c r="H708" s="5"/>
      <c r="I708" s="22"/>
      <c r="J708" s="16"/>
      <c r="K708" s="25"/>
      <c r="L708" s="16"/>
      <c r="M708" s="16" t="str">
        <f t="shared" si="76"/>
        <v/>
      </c>
      <c r="N708" s="16" t="str">
        <f t="shared" si="77"/>
        <v/>
      </c>
      <c r="O708" s="7" t="str">
        <f t="shared" si="74"/>
        <v/>
      </c>
      <c r="P708" s="7" t="str">
        <f t="shared" si="75"/>
        <v/>
      </c>
      <c r="Q708" s="7"/>
      <c r="R708" s="7"/>
      <c r="S708" s="16"/>
      <c r="T708" s="4"/>
      <c r="U708" s="4"/>
      <c r="V708" s="4"/>
      <c r="W708" s="4"/>
      <c r="X708" s="4"/>
      <c r="Y708" s="4"/>
      <c r="Z708" s="4"/>
      <c r="AA708" s="37"/>
      <c r="AB708" s="4"/>
      <c r="AC708" s="4"/>
      <c r="AD708" s="4"/>
      <c r="AE708" s="4"/>
      <c r="AF708" s="4"/>
    </row>
    <row r="709" spans="1:32" x14ac:dyDescent="0.25">
      <c r="A709" s="4" t="str">
        <f t="shared" si="72"/>
        <v>'',</v>
      </c>
      <c r="B709" s="4" t="str">
        <f t="shared" si="73"/>
        <v>'',</v>
      </c>
      <c r="C709" s="15"/>
      <c r="D709" s="5"/>
      <c r="E709" s="5"/>
      <c r="F709" s="5"/>
      <c r="G709" s="29"/>
      <c r="H709" s="5"/>
      <c r="I709" s="22"/>
      <c r="J709" s="16"/>
      <c r="K709" s="25"/>
      <c r="L709" s="16"/>
      <c r="M709" s="16" t="str">
        <f t="shared" si="76"/>
        <v/>
      </c>
      <c r="N709" s="16" t="str">
        <f t="shared" si="77"/>
        <v/>
      </c>
      <c r="O709" s="7" t="str">
        <f t="shared" si="74"/>
        <v/>
      </c>
      <c r="P709" s="7" t="str">
        <f t="shared" si="75"/>
        <v/>
      </c>
      <c r="Q709" s="7"/>
      <c r="R709" s="7"/>
      <c r="S709" s="16"/>
      <c r="T709" s="4"/>
      <c r="U709" s="4"/>
      <c r="V709" s="4"/>
      <c r="W709" s="4"/>
      <c r="X709" s="4"/>
      <c r="Y709" s="4"/>
      <c r="Z709" s="4"/>
      <c r="AA709" s="37"/>
      <c r="AB709" s="4"/>
      <c r="AC709" s="4"/>
      <c r="AD709" s="4"/>
      <c r="AE709" s="4"/>
      <c r="AF709" s="4"/>
    </row>
    <row r="710" spans="1:32" x14ac:dyDescent="0.25">
      <c r="A710" s="4" t="str">
        <f t="shared" si="72"/>
        <v>'',</v>
      </c>
      <c r="B710" s="4" t="str">
        <f t="shared" si="73"/>
        <v>'',</v>
      </c>
      <c r="C710" s="15"/>
      <c r="D710" s="5"/>
      <c r="E710" s="5"/>
      <c r="F710" s="5"/>
      <c r="G710" s="29"/>
      <c r="H710" s="5"/>
      <c r="I710" s="22"/>
      <c r="J710" s="16"/>
      <c r="K710" s="25"/>
      <c r="L710" s="16"/>
      <c r="M710" s="16" t="str">
        <f t="shared" si="76"/>
        <v/>
      </c>
      <c r="N710" s="16" t="str">
        <f t="shared" si="77"/>
        <v/>
      </c>
      <c r="O710" s="7" t="str">
        <f t="shared" si="74"/>
        <v/>
      </c>
      <c r="P710" s="7" t="str">
        <f t="shared" si="75"/>
        <v/>
      </c>
      <c r="Q710" s="7"/>
      <c r="R710" s="7"/>
      <c r="S710" s="16"/>
      <c r="T710" s="4"/>
      <c r="U710" s="4"/>
      <c r="V710" s="4"/>
      <c r="W710" s="4"/>
      <c r="X710" s="4"/>
      <c r="Y710" s="4"/>
      <c r="Z710" s="4"/>
      <c r="AA710" s="37"/>
      <c r="AB710" s="4"/>
      <c r="AC710" s="4"/>
      <c r="AD710" s="4"/>
      <c r="AE710" s="4"/>
      <c r="AF710" s="4"/>
    </row>
    <row r="711" spans="1:32" x14ac:dyDescent="0.25">
      <c r="A711" s="4" t="str">
        <f t="shared" si="72"/>
        <v>'',</v>
      </c>
      <c r="B711" s="4" t="str">
        <f t="shared" si="73"/>
        <v>'',</v>
      </c>
      <c r="C711" s="15"/>
      <c r="D711" s="5"/>
      <c r="E711" s="5"/>
      <c r="F711" s="5"/>
      <c r="G711" s="29"/>
      <c r="H711" s="5"/>
      <c r="I711" s="22"/>
      <c r="J711" s="16"/>
      <c r="K711" s="25"/>
      <c r="L711" s="16"/>
      <c r="M711" s="16" t="str">
        <f t="shared" si="76"/>
        <v/>
      </c>
      <c r="N711" s="16" t="str">
        <f t="shared" si="77"/>
        <v/>
      </c>
      <c r="O711" s="7" t="str">
        <f t="shared" si="74"/>
        <v/>
      </c>
      <c r="P711" s="7" t="str">
        <f t="shared" si="75"/>
        <v/>
      </c>
      <c r="Q711" s="7"/>
      <c r="R711" s="7"/>
      <c r="S711" s="16"/>
      <c r="T711" s="4"/>
      <c r="U711" s="4"/>
      <c r="V711" s="4"/>
      <c r="W711" s="4"/>
      <c r="X711" s="4"/>
      <c r="Y711" s="4"/>
      <c r="Z711" s="4"/>
      <c r="AA711" s="37"/>
      <c r="AB711" s="4"/>
      <c r="AC711" s="4"/>
      <c r="AD711" s="4"/>
      <c r="AE711" s="4"/>
      <c r="AF711" s="4"/>
    </row>
    <row r="712" spans="1:32" x14ac:dyDescent="0.25">
      <c r="A712" s="4" t="str">
        <f t="shared" si="72"/>
        <v>'',</v>
      </c>
      <c r="B712" s="4" t="str">
        <f t="shared" si="73"/>
        <v>'',</v>
      </c>
      <c r="C712" s="15"/>
      <c r="D712" s="5"/>
      <c r="E712" s="5"/>
      <c r="F712" s="5"/>
      <c r="G712" s="29"/>
      <c r="H712" s="5"/>
      <c r="I712" s="22"/>
      <c r="J712" s="16"/>
      <c r="K712" s="25"/>
      <c r="L712" s="16"/>
      <c r="M712" s="16" t="str">
        <f t="shared" si="76"/>
        <v/>
      </c>
      <c r="N712" s="16" t="str">
        <f t="shared" si="77"/>
        <v/>
      </c>
      <c r="O712" s="7" t="str">
        <f t="shared" si="74"/>
        <v/>
      </c>
      <c r="P712" s="7" t="str">
        <f t="shared" si="75"/>
        <v/>
      </c>
      <c r="Q712" s="7"/>
      <c r="R712" s="7"/>
      <c r="S712" s="16"/>
      <c r="T712" s="4"/>
      <c r="U712" s="4"/>
      <c r="V712" s="4"/>
      <c r="W712" s="4"/>
      <c r="X712" s="4"/>
      <c r="Y712" s="4"/>
      <c r="Z712" s="4"/>
      <c r="AA712" s="37"/>
      <c r="AB712" s="4"/>
      <c r="AC712" s="4"/>
      <c r="AD712" s="4"/>
      <c r="AE712" s="4"/>
      <c r="AF712" s="4"/>
    </row>
    <row r="713" spans="1:32" x14ac:dyDescent="0.25">
      <c r="A713" s="4" t="str">
        <f t="shared" si="72"/>
        <v>'',</v>
      </c>
      <c r="B713" s="4" t="str">
        <f t="shared" si="73"/>
        <v>'',</v>
      </c>
      <c r="C713" s="15"/>
      <c r="D713" s="5"/>
      <c r="E713" s="5"/>
      <c r="F713" s="5"/>
      <c r="G713" s="29"/>
      <c r="H713" s="5"/>
      <c r="I713" s="22"/>
      <c r="J713" s="16"/>
      <c r="K713" s="25"/>
      <c r="L713" s="16"/>
      <c r="M713" s="16" t="str">
        <f t="shared" si="76"/>
        <v/>
      </c>
      <c r="N713" s="16" t="str">
        <f t="shared" si="77"/>
        <v/>
      </c>
      <c r="O713" s="7" t="str">
        <f t="shared" si="74"/>
        <v/>
      </c>
      <c r="P713" s="7" t="str">
        <f t="shared" si="75"/>
        <v/>
      </c>
      <c r="Q713" s="7"/>
      <c r="R713" s="7"/>
      <c r="S713" s="16"/>
      <c r="T713" s="4"/>
      <c r="U713" s="4"/>
      <c r="V713" s="4"/>
      <c r="W713" s="4"/>
      <c r="X713" s="4"/>
      <c r="Y713" s="4"/>
      <c r="Z713" s="4"/>
      <c r="AA713" s="37"/>
      <c r="AB713" s="4"/>
      <c r="AC713" s="4"/>
      <c r="AD713" s="4"/>
      <c r="AE713" s="4"/>
      <c r="AF713" s="4"/>
    </row>
    <row r="714" spans="1:32" x14ac:dyDescent="0.25">
      <c r="A714" s="4" t="str">
        <f t="shared" ref="A714:A741" si="78">"'"&amp;X714&amp;"',"</f>
        <v>'',</v>
      </c>
      <c r="B714" s="4" t="str">
        <f t="shared" ref="B714:B741" si="79">"'"&amp;T714&amp;"',"</f>
        <v>'',</v>
      </c>
      <c r="C714" s="15"/>
      <c r="D714" s="5"/>
      <c r="E714" s="5"/>
      <c r="F714" s="5"/>
      <c r="G714" s="29"/>
      <c r="H714" s="5"/>
      <c r="I714" s="22"/>
      <c r="J714" s="16"/>
      <c r="K714" s="25"/>
      <c r="L714" s="16"/>
      <c r="M714" s="16" t="str">
        <f t="shared" si="76"/>
        <v/>
      </c>
      <c r="N714" s="16" t="str">
        <f t="shared" si="77"/>
        <v/>
      </c>
      <c r="O714" s="7" t="str">
        <f t="shared" si="74"/>
        <v/>
      </c>
      <c r="P714" s="7" t="str">
        <f t="shared" si="75"/>
        <v/>
      </c>
      <c r="Q714" s="7"/>
      <c r="R714" s="7"/>
      <c r="S714" s="16"/>
      <c r="T714" s="4"/>
      <c r="U714" s="4"/>
      <c r="V714" s="4"/>
      <c r="W714" s="4"/>
      <c r="X714" s="4"/>
      <c r="Y714" s="4"/>
      <c r="Z714" s="4"/>
      <c r="AA714" s="37"/>
      <c r="AB714" s="4"/>
      <c r="AC714" s="4"/>
      <c r="AD714" s="4"/>
      <c r="AE714" s="4"/>
      <c r="AF714" s="4"/>
    </row>
    <row r="715" spans="1:32" x14ac:dyDescent="0.25">
      <c r="A715" s="4" t="str">
        <f t="shared" si="78"/>
        <v>'',</v>
      </c>
      <c r="B715" s="4" t="str">
        <f t="shared" si="79"/>
        <v>'',</v>
      </c>
      <c r="C715" s="15"/>
      <c r="D715" s="5"/>
      <c r="E715" s="5"/>
      <c r="F715" s="5"/>
      <c r="G715" s="29"/>
      <c r="H715" s="5"/>
      <c r="I715" s="22"/>
      <c r="J715" s="16"/>
      <c r="K715" s="25"/>
      <c r="L715" s="16"/>
      <c r="M715" s="16" t="str">
        <f t="shared" si="76"/>
        <v/>
      </c>
      <c r="N715" s="16" t="str">
        <f t="shared" si="77"/>
        <v/>
      </c>
      <c r="O715" s="7" t="str">
        <f t="shared" si="74"/>
        <v/>
      </c>
      <c r="P715" s="7" t="str">
        <f t="shared" si="75"/>
        <v/>
      </c>
      <c r="Q715" s="7"/>
      <c r="R715" s="7"/>
      <c r="S715" s="16"/>
      <c r="T715" s="4"/>
      <c r="U715" s="4"/>
      <c r="V715" s="4"/>
      <c r="W715" s="4"/>
      <c r="X715" s="4"/>
      <c r="Y715" s="4"/>
      <c r="Z715" s="4"/>
      <c r="AA715" s="37"/>
      <c r="AB715" s="4"/>
      <c r="AC715" s="4"/>
      <c r="AD715" s="4"/>
      <c r="AE715" s="4"/>
      <c r="AF715" s="4"/>
    </row>
    <row r="716" spans="1:32" x14ac:dyDescent="0.25">
      <c r="A716" s="4" t="str">
        <f t="shared" si="78"/>
        <v>'',</v>
      </c>
      <c r="B716" s="4" t="str">
        <f t="shared" si="79"/>
        <v>'',</v>
      </c>
      <c r="C716" s="15"/>
      <c r="D716" s="5"/>
      <c r="E716" s="5"/>
      <c r="F716" s="5"/>
      <c r="G716" s="29"/>
      <c r="H716" s="5"/>
      <c r="I716" s="22"/>
      <c r="J716" s="16"/>
      <c r="K716" s="25"/>
      <c r="L716" s="16"/>
      <c r="M716" s="16" t="str">
        <f t="shared" si="76"/>
        <v/>
      </c>
      <c r="N716" s="16" t="str">
        <f t="shared" si="77"/>
        <v/>
      </c>
      <c r="O716" s="7" t="str">
        <f t="shared" si="74"/>
        <v/>
      </c>
      <c r="P716" s="7" t="str">
        <f t="shared" si="75"/>
        <v/>
      </c>
      <c r="Q716" s="7"/>
      <c r="R716" s="7"/>
      <c r="S716" s="16"/>
      <c r="T716" s="4"/>
      <c r="U716" s="4"/>
      <c r="V716" s="4"/>
      <c r="W716" s="4"/>
      <c r="X716" s="4"/>
      <c r="Y716" s="4"/>
      <c r="Z716" s="4"/>
      <c r="AA716" s="37"/>
      <c r="AB716" s="4"/>
      <c r="AC716" s="4"/>
      <c r="AD716" s="4"/>
      <c r="AE716" s="4"/>
      <c r="AF716" s="4"/>
    </row>
    <row r="717" spans="1:32" x14ac:dyDescent="0.25">
      <c r="A717" s="4" t="str">
        <f t="shared" si="78"/>
        <v>'',</v>
      </c>
      <c r="B717" s="4" t="str">
        <f t="shared" si="79"/>
        <v>'',</v>
      </c>
      <c r="C717" s="15"/>
      <c r="D717" s="5"/>
      <c r="E717" s="5"/>
      <c r="F717" s="5"/>
      <c r="G717" s="29"/>
      <c r="H717" s="5"/>
      <c r="I717" s="22"/>
      <c r="J717" s="16"/>
      <c r="K717" s="25"/>
      <c r="L717" s="16"/>
      <c r="M717" s="16" t="str">
        <f t="shared" si="76"/>
        <v/>
      </c>
      <c r="N717" s="16" t="str">
        <f t="shared" si="77"/>
        <v/>
      </c>
      <c r="O717" s="7" t="str">
        <f t="shared" si="74"/>
        <v/>
      </c>
      <c r="P717" s="7" t="str">
        <f t="shared" si="75"/>
        <v/>
      </c>
      <c r="Q717" s="7"/>
      <c r="R717" s="7"/>
      <c r="S717" s="16"/>
      <c r="T717" s="4"/>
      <c r="U717" s="4"/>
      <c r="V717" s="4"/>
      <c r="W717" s="4"/>
      <c r="X717" s="4"/>
      <c r="Y717" s="4"/>
      <c r="Z717" s="4"/>
      <c r="AA717" s="37"/>
      <c r="AB717" s="4"/>
      <c r="AC717" s="4"/>
      <c r="AD717" s="4"/>
      <c r="AE717" s="4"/>
      <c r="AF717" s="4"/>
    </row>
    <row r="718" spans="1:32" x14ac:dyDescent="0.25">
      <c r="A718" s="4" t="str">
        <f t="shared" si="78"/>
        <v>'',</v>
      </c>
      <c r="B718" s="4" t="str">
        <f t="shared" si="79"/>
        <v>'',</v>
      </c>
      <c r="C718" s="15"/>
      <c r="D718" s="5"/>
      <c r="E718" s="5"/>
      <c r="F718" s="5"/>
      <c r="G718" s="29"/>
      <c r="H718" s="5"/>
      <c r="I718" s="22"/>
      <c r="J718" s="16"/>
      <c r="K718" s="25"/>
      <c r="L718" s="16"/>
      <c r="M718" s="16" t="str">
        <f t="shared" si="76"/>
        <v/>
      </c>
      <c r="N718" s="16" t="str">
        <f t="shared" si="77"/>
        <v/>
      </c>
      <c r="O718" s="7" t="str">
        <f t="shared" si="74"/>
        <v/>
      </c>
      <c r="P718" s="7" t="str">
        <f t="shared" si="75"/>
        <v/>
      </c>
      <c r="Q718" s="7"/>
      <c r="R718" s="7"/>
      <c r="S718" s="16"/>
      <c r="T718" s="4"/>
      <c r="U718" s="4"/>
      <c r="V718" s="4"/>
      <c r="W718" s="4"/>
      <c r="X718" s="4"/>
      <c r="Y718" s="4"/>
      <c r="Z718" s="4"/>
      <c r="AA718" s="37"/>
      <c r="AB718" s="4"/>
      <c r="AC718" s="4"/>
      <c r="AD718" s="4"/>
      <c r="AE718" s="4"/>
      <c r="AF718" s="4"/>
    </row>
    <row r="719" spans="1:32" x14ac:dyDescent="0.25">
      <c r="A719" s="4" t="str">
        <f t="shared" si="78"/>
        <v>'',</v>
      </c>
      <c r="B719" s="4" t="str">
        <f t="shared" si="79"/>
        <v>'',</v>
      </c>
      <c r="C719" s="15"/>
      <c r="D719" s="5"/>
      <c r="E719" s="5"/>
      <c r="F719" s="5"/>
      <c r="G719" s="29"/>
      <c r="H719" s="5"/>
      <c r="I719" s="22"/>
      <c r="J719" s="16"/>
      <c r="K719" s="25"/>
      <c r="L719" s="16"/>
      <c r="M719" s="16" t="str">
        <f t="shared" si="76"/>
        <v/>
      </c>
      <c r="N719" s="16" t="str">
        <f t="shared" si="77"/>
        <v/>
      </c>
      <c r="O719" s="7" t="str">
        <f t="shared" si="74"/>
        <v/>
      </c>
      <c r="P719" s="7" t="str">
        <f t="shared" si="75"/>
        <v/>
      </c>
      <c r="Q719" s="7"/>
      <c r="R719" s="7"/>
      <c r="S719" s="16"/>
      <c r="T719" s="4"/>
      <c r="U719" s="4"/>
      <c r="V719" s="4"/>
      <c r="W719" s="4"/>
      <c r="X719" s="4"/>
      <c r="Y719" s="4"/>
      <c r="Z719" s="4"/>
      <c r="AA719" s="37"/>
      <c r="AB719" s="4"/>
      <c r="AC719" s="4"/>
      <c r="AD719" s="4"/>
      <c r="AE719" s="4"/>
      <c r="AF719" s="4"/>
    </row>
    <row r="720" spans="1:32" x14ac:dyDescent="0.25">
      <c r="A720" s="4" t="str">
        <f t="shared" si="78"/>
        <v>'',</v>
      </c>
      <c r="B720" s="4" t="str">
        <f t="shared" si="79"/>
        <v>'',</v>
      </c>
      <c r="C720" s="15"/>
      <c r="D720" s="5"/>
      <c r="E720" s="5"/>
      <c r="F720" s="5"/>
      <c r="G720" s="29"/>
      <c r="H720" s="5"/>
      <c r="I720" s="22"/>
      <c r="J720" s="16"/>
      <c r="K720" s="25"/>
      <c r="L720" s="16"/>
      <c r="M720" s="16" t="str">
        <f t="shared" si="76"/>
        <v/>
      </c>
      <c r="N720" s="16" t="str">
        <f t="shared" si="77"/>
        <v/>
      </c>
      <c r="O720" s="7" t="str">
        <f t="shared" ref="O720:O742" si="80">IF(V720&lt;&gt;"",V720,"")</f>
        <v/>
      </c>
      <c r="P720" s="7" t="str">
        <f t="shared" ref="P720:P742" si="81">IF(O720="","","請協助處理")</f>
        <v/>
      </c>
      <c r="Q720" s="7"/>
      <c r="R720" s="7"/>
      <c r="S720" s="16"/>
      <c r="T720" s="4"/>
      <c r="U720" s="4"/>
      <c r="V720" s="4"/>
      <c r="W720" s="4"/>
      <c r="X720" s="4"/>
      <c r="Y720" s="4"/>
      <c r="Z720" s="4"/>
      <c r="AA720" s="37"/>
      <c r="AB720" s="4"/>
      <c r="AC720" s="4"/>
      <c r="AD720" s="4"/>
      <c r="AE720" s="4"/>
      <c r="AF720" s="4"/>
    </row>
    <row r="721" spans="1:32" x14ac:dyDescent="0.25">
      <c r="A721" s="4" t="str">
        <f t="shared" si="78"/>
        <v>'',</v>
      </c>
      <c r="B721" s="4" t="str">
        <f t="shared" si="79"/>
        <v>'',</v>
      </c>
      <c r="C721" s="15"/>
      <c r="D721" s="5"/>
      <c r="E721" s="5"/>
      <c r="F721" s="5"/>
      <c r="G721" s="29"/>
      <c r="H721" s="5"/>
      <c r="I721" s="22"/>
      <c r="J721" s="16"/>
      <c r="K721" s="25"/>
      <c r="L721" s="16"/>
      <c r="M721" s="16" t="str">
        <f t="shared" si="76"/>
        <v/>
      </c>
      <c r="N721" s="16" t="str">
        <f t="shared" si="77"/>
        <v/>
      </c>
      <c r="O721" s="7" t="str">
        <f t="shared" si="80"/>
        <v/>
      </c>
      <c r="P721" s="7" t="str">
        <f t="shared" si="81"/>
        <v/>
      </c>
      <c r="Q721" s="7"/>
      <c r="R721" s="7"/>
      <c r="S721" s="16"/>
      <c r="T721" s="4"/>
      <c r="U721" s="4"/>
      <c r="V721" s="4"/>
      <c r="W721" s="4"/>
      <c r="X721" s="4"/>
      <c r="Y721" s="4"/>
      <c r="Z721" s="4"/>
      <c r="AA721" s="37"/>
      <c r="AB721" s="4"/>
      <c r="AC721" s="4"/>
      <c r="AD721" s="4"/>
      <c r="AE721" s="4"/>
      <c r="AF721" s="4"/>
    </row>
    <row r="722" spans="1:32" x14ac:dyDescent="0.25">
      <c r="A722" s="4" t="str">
        <f t="shared" si="78"/>
        <v>'',</v>
      </c>
      <c r="B722" s="4" t="str">
        <f t="shared" si="79"/>
        <v>'',</v>
      </c>
      <c r="C722" s="15"/>
      <c r="D722" s="5"/>
      <c r="E722" s="5"/>
      <c r="F722" s="5"/>
      <c r="G722" s="29"/>
      <c r="H722" s="5"/>
      <c r="I722" s="22"/>
      <c r="J722" s="16"/>
      <c r="K722" s="25"/>
      <c r="L722" s="16"/>
      <c r="M722" s="16" t="str">
        <f t="shared" si="76"/>
        <v/>
      </c>
      <c r="N722" s="16" t="str">
        <f t="shared" si="77"/>
        <v/>
      </c>
      <c r="O722" s="7" t="str">
        <f t="shared" si="80"/>
        <v/>
      </c>
      <c r="P722" s="7" t="str">
        <f t="shared" si="81"/>
        <v/>
      </c>
      <c r="Q722" s="7"/>
      <c r="R722" s="7"/>
      <c r="S722" s="16"/>
      <c r="T722" s="4"/>
      <c r="U722" s="4"/>
      <c r="V722" s="4"/>
      <c r="W722" s="4"/>
      <c r="X722" s="4"/>
      <c r="Y722" s="4"/>
      <c r="Z722" s="4"/>
      <c r="AA722" s="37"/>
      <c r="AB722" s="4"/>
      <c r="AC722" s="4"/>
      <c r="AD722" s="4"/>
      <c r="AE722" s="4"/>
      <c r="AF722" s="4"/>
    </row>
    <row r="723" spans="1:32" x14ac:dyDescent="0.25">
      <c r="A723" s="4" t="str">
        <f t="shared" si="78"/>
        <v>'',</v>
      </c>
      <c r="B723" s="4" t="str">
        <f t="shared" si="79"/>
        <v>'',</v>
      </c>
      <c r="C723" s="15"/>
      <c r="D723" s="5"/>
      <c r="E723" s="5"/>
      <c r="F723" s="5"/>
      <c r="G723" s="29"/>
      <c r="H723" s="5"/>
      <c r="I723" s="22"/>
      <c r="J723" s="16"/>
      <c r="K723" s="25"/>
      <c r="L723" s="16"/>
      <c r="M723" s="16" t="str">
        <f t="shared" si="76"/>
        <v/>
      </c>
      <c r="N723" s="16" t="str">
        <f t="shared" si="77"/>
        <v/>
      </c>
      <c r="O723" s="7" t="str">
        <f t="shared" si="80"/>
        <v/>
      </c>
      <c r="P723" s="7" t="str">
        <f t="shared" si="81"/>
        <v/>
      </c>
      <c r="Q723" s="7"/>
      <c r="R723" s="7"/>
      <c r="S723" s="16"/>
      <c r="T723" s="4"/>
      <c r="U723" s="4"/>
      <c r="V723" s="4"/>
      <c r="W723" s="4"/>
      <c r="X723" s="4"/>
      <c r="Y723" s="4"/>
      <c r="Z723" s="4"/>
      <c r="AA723" s="37"/>
      <c r="AB723" s="4"/>
      <c r="AC723" s="4"/>
      <c r="AD723" s="4"/>
      <c r="AE723" s="4"/>
      <c r="AF723" s="4"/>
    </row>
    <row r="724" spans="1:32" x14ac:dyDescent="0.25">
      <c r="A724" s="4" t="str">
        <f t="shared" si="78"/>
        <v>'',</v>
      </c>
      <c r="B724" s="4" t="str">
        <f t="shared" si="79"/>
        <v>'',</v>
      </c>
      <c r="C724" s="15"/>
      <c r="D724" s="5"/>
      <c r="E724" s="5"/>
      <c r="F724" s="5"/>
      <c r="G724" s="29"/>
      <c r="H724" s="5"/>
      <c r="I724" s="22"/>
      <c r="J724" s="16"/>
      <c r="K724" s="25"/>
      <c r="L724" s="16"/>
      <c r="M724" s="16" t="str">
        <f t="shared" si="76"/>
        <v/>
      </c>
      <c r="N724" s="16" t="str">
        <f t="shared" si="77"/>
        <v/>
      </c>
      <c r="O724" s="7" t="str">
        <f t="shared" si="80"/>
        <v/>
      </c>
      <c r="P724" s="7" t="str">
        <f t="shared" si="81"/>
        <v/>
      </c>
      <c r="Q724" s="7"/>
      <c r="R724" s="7"/>
      <c r="S724" s="16"/>
      <c r="T724" s="4"/>
      <c r="U724" s="4"/>
      <c r="V724" s="4"/>
      <c r="W724" s="4"/>
      <c r="X724" s="4"/>
      <c r="Y724" s="4"/>
      <c r="Z724" s="4"/>
      <c r="AA724" s="37"/>
      <c r="AB724" s="4"/>
      <c r="AC724" s="4"/>
      <c r="AD724" s="4"/>
      <c r="AE724" s="4"/>
      <c r="AF724" s="4"/>
    </row>
    <row r="725" spans="1:32" x14ac:dyDescent="0.25">
      <c r="A725" s="4" t="str">
        <f t="shared" si="78"/>
        <v>'',</v>
      </c>
      <c r="B725" s="4" t="str">
        <f t="shared" si="79"/>
        <v>'',</v>
      </c>
      <c r="C725" s="15"/>
      <c r="D725" s="5"/>
      <c r="E725" s="5"/>
      <c r="F725" s="5"/>
      <c r="G725" s="29"/>
      <c r="H725" s="5"/>
      <c r="I725" s="22"/>
      <c r="J725" s="16"/>
      <c r="K725" s="25"/>
      <c r="L725" s="16"/>
      <c r="M725" s="16" t="str">
        <f t="shared" si="76"/>
        <v/>
      </c>
      <c r="N725" s="16" t="str">
        <f t="shared" si="77"/>
        <v/>
      </c>
      <c r="O725" s="7" t="str">
        <f t="shared" si="80"/>
        <v/>
      </c>
      <c r="P725" s="7" t="str">
        <f t="shared" si="81"/>
        <v/>
      </c>
      <c r="Q725" s="7"/>
      <c r="R725" s="7"/>
      <c r="S725" s="16"/>
      <c r="T725" s="4"/>
      <c r="U725" s="4"/>
      <c r="V725" s="4"/>
      <c r="W725" s="4"/>
      <c r="X725" s="4"/>
      <c r="Y725" s="4"/>
      <c r="Z725" s="4"/>
      <c r="AA725" s="37"/>
      <c r="AB725" s="4"/>
      <c r="AC725" s="4"/>
      <c r="AD725" s="4"/>
      <c r="AE725" s="4"/>
      <c r="AF725" s="4"/>
    </row>
    <row r="726" spans="1:32" x14ac:dyDescent="0.25">
      <c r="A726" s="4" t="str">
        <f t="shared" si="78"/>
        <v>'',</v>
      </c>
      <c r="B726" s="4" t="str">
        <f t="shared" si="79"/>
        <v>'',</v>
      </c>
      <c r="C726" s="15"/>
      <c r="D726" s="5"/>
      <c r="E726" s="5"/>
      <c r="F726" s="5"/>
      <c r="G726" s="29"/>
      <c r="H726" s="5"/>
      <c r="I726" s="22"/>
      <c r="J726" s="16"/>
      <c r="K726" s="25"/>
      <c r="L726" s="16"/>
      <c r="M726" s="16" t="str">
        <f t="shared" si="76"/>
        <v/>
      </c>
      <c r="N726" s="16" t="str">
        <f t="shared" si="77"/>
        <v/>
      </c>
      <c r="O726" s="7" t="str">
        <f t="shared" si="80"/>
        <v/>
      </c>
      <c r="P726" s="7" t="str">
        <f t="shared" si="81"/>
        <v/>
      </c>
      <c r="Q726" s="7"/>
      <c r="R726" s="7"/>
      <c r="S726" s="16"/>
      <c r="T726" s="4"/>
      <c r="U726" s="4"/>
      <c r="V726" s="4"/>
      <c r="W726" s="4"/>
      <c r="X726" s="4"/>
      <c r="Y726" s="4"/>
      <c r="Z726" s="4"/>
      <c r="AA726" s="37"/>
      <c r="AB726" s="4"/>
      <c r="AC726" s="4"/>
      <c r="AD726" s="4"/>
      <c r="AE726" s="4"/>
      <c r="AF726" s="4"/>
    </row>
    <row r="727" spans="1:32" x14ac:dyDescent="0.25">
      <c r="A727" s="4" t="str">
        <f t="shared" si="78"/>
        <v>'',</v>
      </c>
      <c r="B727" s="4" t="str">
        <f t="shared" si="79"/>
        <v>'',</v>
      </c>
      <c r="C727" s="15"/>
      <c r="D727" s="5"/>
      <c r="E727" s="5"/>
      <c r="F727" s="5"/>
      <c r="G727" s="29"/>
      <c r="H727" s="5"/>
      <c r="I727" s="22"/>
      <c r="J727" s="16"/>
      <c r="K727" s="25"/>
      <c r="L727" s="16"/>
      <c r="M727" s="16" t="str">
        <f t="shared" si="76"/>
        <v/>
      </c>
      <c r="N727" s="16" t="str">
        <f t="shared" si="77"/>
        <v/>
      </c>
      <c r="O727" s="7" t="str">
        <f t="shared" si="80"/>
        <v/>
      </c>
      <c r="P727" s="7" t="str">
        <f t="shared" si="81"/>
        <v/>
      </c>
      <c r="Q727" s="7"/>
      <c r="R727" s="7"/>
      <c r="S727" s="16"/>
      <c r="T727" s="4"/>
      <c r="U727" s="4"/>
      <c r="V727" s="4"/>
      <c r="W727" s="4"/>
      <c r="X727" s="4"/>
      <c r="Y727" s="4"/>
      <c r="Z727" s="4"/>
      <c r="AA727" s="37"/>
      <c r="AB727" s="4"/>
      <c r="AC727" s="4"/>
      <c r="AD727" s="4"/>
      <c r="AE727" s="4"/>
      <c r="AF727" s="4"/>
    </row>
    <row r="728" spans="1:32" x14ac:dyDescent="0.25">
      <c r="A728" s="4" t="str">
        <f t="shared" si="78"/>
        <v>'',</v>
      </c>
      <c r="B728" s="4" t="str">
        <f t="shared" si="79"/>
        <v>'',</v>
      </c>
      <c r="C728" s="15"/>
      <c r="D728" s="5"/>
      <c r="E728" s="5"/>
      <c r="F728" s="5"/>
      <c r="G728" s="29"/>
      <c r="H728" s="5"/>
      <c r="I728" s="22"/>
      <c r="J728" s="16"/>
      <c r="K728" s="25"/>
      <c r="L728" s="16"/>
      <c r="M728" s="16" t="str">
        <f t="shared" si="76"/>
        <v/>
      </c>
      <c r="N728" s="16" t="str">
        <f t="shared" si="77"/>
        <v/>
      </c>
      <c r="O728" s="7" t="str">
        <f t="shared" si="80"/>
        <v/>
      </c>
      <c r="P728" s="7" t="str">
        <f t="shared" si="81"/>
        <v/>
      </c>
      <c r="Q728" s="7"/>
      <c r="R728" s="7"/>
      <c r="S728" s="16"/>
      <c r="T728" s="4"/>
      <c r="U728" s="4"/>
      <c r="V728" s="4"/>
      <c r="W728" s="4"/>
      <c r="X728" s="4"/>
      <c r="Y728" s="4"/>
      <c r="Z728" s="4"/>
      <c r="AA728" s="37"/>
      <c r="AB728" s="4"/>
      <c r="AC728" s="4"/>
      <c r="AD728" s="4"/>
      <c r="AE728" s="4"/>
      <c r="AF728" s="4"/>
    </row>
    <row r="729" spans="1:32" x14ac:dyDescent="0.25">
      <c r="A729" s="4" t="str">
        <f t="shared" si="78"/>
        <v>'',</v>
      </c>
      <c r="B729" s="4" t="str">
        <f t="shared" si="79"/>
        <v>'',</v>
      </c>
      <c r="C729" s="15"/>
      <c r="D729" s="5"/>
      <c r="E729" s="5"/>
      <c r="F729" s="5"/>
      <c r="G729" s="29"/>
      <c r="H729" s="5"/>
      <c r="I729" s="22"/>
      <c r="J729" s="16"/>
      <c r="K729" s="25"/>
      <c r="L729" s="16"/>
      <c r="M729" s="16" t="str">
        <f t="shared" si="76"/>
        <v/>
      </c>
      <c r="N729" s="16" t="str">
        <f t="shared" si="77"/>
        <v/>
      </c>
      <c r="O729" s="7" t="str">
        <f t="shared" si="80"/>
        <v/>
      </c>
      <c r="P729" s="7" t="str">
        <f t="shared" si="81"/>
        <v/>
      </c>
      <c r="Q729" s="7"/>
      <c r="R729" s="7"/>
      <c r="S729" s="16"/>
      <c r="T729" s="4"/>
      <c r="U729" s="4"/>
      <c r="V729" s="4"/>
      <c r="W729" s="4"/>
      <c r="X729" s="4"/>
      <c r="Y729" s="4"/>
      <c r="Z729" s="4"/>
      <c r="AA729" s="37"/>
      <c r="AB729" s="4"/>
      <c r="AC729" s="4"/>
      <c r="AD729" s="4"/>
      <c r="AE729" s="4"/>
      <c r="AF729" s="4"/>
    </row>
    <row r="730" spans="1:32" x14ac:dyDescent="0.25">
      <c r="A730" s="4" t="str">
        <f t="shared" si="78"/>
        <v>'',</v>
      </c>
      <c r="B730" s="4" t="str">
        <f t="shared" si="79"/>
        <v>'',</v>
      </c>
      <c r="C730" s="15"/>
      <c r="D730" s="5"/>
      <c r="E730" s="5"/>
      <c r="F730" s="5"/>
      <c r="G730" s="29"/>
      <c r="H730" s="5"/>
      <c r="I730" s="22"/>
      <c r="J730" s="16"/>
      <c r="K730" s="25"/>
      <c r="L730" s="16"/>
      <c r="M730" s="16" t="str">
        <f t="shared" si="76"/>
        <v/>
      </c>
      <c r="N730" s="16" t="str">
        <f t="shared" si="77"/>
        <v/>
      </c>
      <c r="O730" s="7" t="str">
        <f t="shared" si="80"/>
        <v/>
      </c>
      <c r="P730" s="7" t="str">
        <f t="shared" si="81"/>
        <v/>
      </c>
      <c r="Q730" s="7"/>
      <c r="R730" s="7"/>
      <c r="S730" s="16"/>
      <c r="T730" s="4"/>
      <c r="U730" s="4"/>
      <c r="V730" s="4"/>
      <c r="W730" s="4"/>
      <c r="X730" s="4"/>
      <c r="Y730" s="4"/>
      <c r="Z730" s="4"/>
      <c r="AA730" s="37"/>
      <c r="AB730" s="4"/>
      <c r="AC730" s="4"/>
      <c r="AD730" s="4"/>
      <c r="AE730" s="4"/>
      <c r="AF730" s="4"/>
    </row>
    <row r="731" spans="1:32" x14ac:dyDescent="0.25">
      <c r="A731" s="4" t="str">
        <f t="shared" si="78"/>
        <v>'',</v>
      </c>
      <c r="B731" s="4" t="str">
        <f t="shared" si="79"/>
        <v>'',</v>
      </c>
      <c r="C731" s="15"/>
      <c r="D731" s="5"/>
      <c r="E731" s="5"/>
      <c r="F731" s="5"/>
      <c r="G731" s="29"/>
      <c r="H731" s="5"/>
      <c r="I731" s="22"/>
      <c r="J731" s="16"/>
      <c r="K731" s="25"/>
      <c r="L731" s="16"/>
      <c r="M731" s="16" t="str">
        <f t="shared" si="76"/>
        <v/>
      </c>
      <c r="N731" s="16" t="str">
        <f t="shared" si="77"/>
        <v/>
      </c>
      <c r="O731" s="7" t="str">
        <f t="shared" si="80"/>
        <v/>
      </c>
      <c r="P731" s="7" t="str">
        <f t="shared" si="81"/>
        <v/>
      </c>
      <c r="Q731" s="7"/>
      <c r="R731" s="7"/>
      <c r="S731" s="16"/>
      <c r="T731" s="4"/>
      <c r="U731" s="4"/>
      <c r="V731" s="4"/>
      <c r="W731" s="4"/>
      <c r="X731" s="4"/>
      <c r="Y731" s="4"/>
      <c r="Z731" s="4"/>
      <c r="AA731" s="37"/>
      <c r="AB731" s="4"/>
      <c r="AC731" s="4"/>
      <c r="AD731" s="4"/>
      <c r="AE731" s="4"/>
      <c r="AF731" s="4"/>
    </row>
    <row r="732" spans="1:32" x14ac:dyDescent="0.25">
      <c r="A732" s="4" t="str">
        <f t="shared" si="78"/>
        <v>'',</v>
      </c>
      <c r="B732" s="4" t="str">
        <f t="shared" si="79"/>
        <v>'',</v>
      </c>
      <c r="C732" s="15"/>
      <c r="D732" s="5"/>
      <c r="E732" s="5"/>
      <c r="F732" s="5"/>
      <c r="G732" s="29"/>
      <c r="H732" s="5"/>
      <c r="I732" s="22"/>
      <c r="J732" s="16"/>
      <c r="K732" s="25"/>
      <c r="L732" s="16"/>
      <c r="M732" s="16" t="str">
        <f t="shared" si="76"/>
        <v/>
      </c>
      <c r="N732" s="16" t="str">
        <f t="shared" si="77"/>
        <v/>
      </c>
      <c r="O732" s="7" t="str">
        <f t="shared" si="80"/>
        <v/>
      </c>
      <c r="P732" s="7" t="str">
        <f t="shared" si="81"/>
        <v/>
      </c>
      <c r="Q732" s="7"/>
      <c r="R732" s="7"/>
      <c r="S732" s="16"/>
      <c r="T732" s="4"/>
      <c r="U732" s="4"/>
      <c r="V732" s="4"/>
      <c r="W732" s="4"/>
      <c r="X732" s="4"/>
      <c r="Y732" s="4"/>
      <c r="Z732" s="4"/>
      <c r="AA732" s="37"/>
      <c r="AB732" s="4"/>
      <c r="AC732" s="4"/>
      <c r="AD732" s="4"/>
      <c r="AE732" s="4"/>
      <c r="AF732" s="4"/>
    </row>
    <row r="733" spans="1:32" x14ac:dyDescent="0.25">
      <c r="A733" s="4" t="str">
        <f t="shared" si="78"/>
        <v>'',</v>
      </c>
      <c r="B733" s="4" t="str">
        <f t="shared" si="79"/>
        <v>'',</v>
      </c>
      <c r="C733" s="15"/>
      <c r="D733" s="5"/>
      <c r="E733" s="5"/>
      <c r="F733" s="5"/>
      <c r="G733" s="29"/>
      <c r="H733" s="5"/>
      <c r="I733" s="22"/>
      <c r="J733" s="16"/>
      <c r="K733" s="25"/>
      <c r="L733" s="16"/>
      <c r="M733" s="16" t="str">
        <f t="shared" si="76"/>
        <v/>
      </c>
      <c r="N733" s="16" t="str">
        <f t="shared" si="77"/>
        <v/>
      </c>
      <c r="O733" s="7" t="str">
        <f t="shared" si="80"/>
        <v/>
      </c>
      <c r="P733" s="7" t="str">
        <f t="shared" si="81"/>
        <v/>
      </c>
      <c r="Q733" s="7"/>
      <c r="R733" s="7"/>
      <c r="S733" s="16"/>
      <c r="T733" s="4"/>
      <c r="U733" s="4"/>
      <c r="V733" s="4"/>
      <c r="W733" s="4"/>
      <c r="X733" s="4"/>
      <c r="Y733" s="4"/>
      <c r="Z733" s="4"/>
      <c r="AA733" s="37"/>
      <c r="AB733" s="4"/>
      <c r="AC733" s="4"/>
      <c r="AD733" s="4"/>
      <c r="AE733" s="4"/>
      <c r="AF733" s="4"/>
    </row>
    <row r="734" spans="1:32" x14ac:dyDescent="0.25">
      <c r="A734" s="4" t="str">
        <f t="shared" si="78"/>
        <v>'',</v>
      </c>
      <c r="B734" s="4" t="str">
        <f t="shared" si="79"/>
        <v>'',</v>
      </c>
      <c r="C734" s="15"/>
      <c r="D734" s="5"/>
      <c r="E734" s="5"/>
      <c r="F734" s="5"/>
      <c r="G734" s="29"/>
      <c r="H734" s="5"/>
      <c r="I734" s="22"/>
      <c r="J734" s="16"/>
      <c r="K734" s="25"/>
      <c r="L734" s="16"/>
      <c r="M734" s="16" t="str">
        <f t="shared" si="76"/>
        <v/>
      </c>
      <c r="N734" s="16" t="str">
        <f t="shared" si="77"/>
        <v/>
      </c>
      <c r="O734" s="7" t="str">
        <f t="shared" si="80"/>
        <v/>
      </c>
      <c r="P734" s="7" t="str">
        <f t="shared" si="81"/>
        <v/>
      </c>
      <c r="Q734" s="7"/>
      <c r="R734" s="7"/>
      <c r="S734" s="16"/>
      <c r="T734" s="4"/>
      <c r="U734" s="4"/>
      <c r="V734" s="4"/>
      <c r="W734" s="4"/>
      <c r="X734" s="4"/>
      <c r="Y734" s="4"/>
      <c r="Z734" s="4"/>
      <c r="AA734" s="37"/>
      <c r="AB734" s="4"/>
      <c r="AC734" s="4"/>
      <c r="AD734" s="4"/>
      <c r="AE734" s="4"/>
      <c r="AF734" s="4"/>
    </row>
    <row r="735" spans="1:32" x14ac:dyDescent="0.25">
      <c r="A735" s="4" t="str">
        <f t="shared" si="78"/>
        <v>'',</v>
      </c>
      <c r="B735" s="4" t="str">
        <f t="shared" si="79"/>
        <v>'',</v>
      </c>
      <c r="C735" s="15"/>
      <c r="D735" s="5"/>
      <c r="E735" s="5"/>
      <c r="F735" s="5"/>
      <c r="G735" s="29"/>
      <c r="H735" s="5"/>
      <c r="I735" s="22"/>
      <c r="J735" s="16"/>
      <c r="K735" s="25"/>
      <c r="L735" s="16"/>
      <c r="M735" s="16" t="str">
        <f t="shared" ref="M735:M742" si="82">IF($L735&lt;&gt;"",IF($L735="清除單筆同步失敗註記","UPDATE CIFX.TB_SERVICE_EXECUTION_CONTROL SET EXECUTION_STATE = "&amp;"'"&amp;"EXECUTED"&amp;"'"&amp;", ap_server_EXECUTING = NULL WHERE SERVICE_EXECUTION_CONTROL_ID IN ("&amp;"'"&amp;$Y735&amp;"'"&amp;") and execution_type = "&amp;"'"&amp;"STAGE1_EXECUTION"&amp;"';"&amp;"",IF($L735="重送單筆CIP電文","UPDATE CIFX.TB_SERVICE_EXECUTION_CONTROL SET EXECUTION_STATE = "&amp;"'"&amp;"TO_EXECUTE"&amp;"'"&amp;",RESULT_CODE = NULL,EXECUTING_TIMESTAMP = null,EXECUTED_TIMESTAMP = null,ap_server_EXECUTING = NULL WHERE SERVICE_EXECUTION_CONTROL_ID IN ("&amp;"'"&amp;$Y735&amp;"'"&amp;") AND EXECUTION_TYPE = "&amp;"'"&amp;"STAGE1_EXECUTION"&amp;"'"&amp;";",IF($L735="清除顧客下同步任務","update cifx.tb_service_execution_control sec set sec.EXECUTION_STATE = "&amp;"'"&amp;"EXECUTED"&amp;"'"&amp;"  where sec.circi_key ="&amp;"'"&amp;AA735&amp;"';",IF($L735="重送顧客下特定同步任務","update cifx.tb_service_execution_control sec set sec.EXECUTION_STATE = "&amp;"'"&amp;"TO_EXECUTE"&amp;"'"&amp;"  where sec.SERVICE_EXECUTION_CONTROL_ID IN ();","沒有對應")))),"")</f>
        <v/>
      </c>
      <c r="N735" s="16" t="str">
        <f t="shared" ref="N735:N742" si="83">IF($L735&lt;&gt;"",IF($L735&lt;&gt;"清除顧客下同步任務","SELECT EXECUTION_TYPE,SERVICE_INTERCHANGE_ID,CIRCI_KEY,EXECUTION_STATE FROM CIFX.TB_SERVICE_EXECUTION_CONTROL WHERE SERVICE_EXECUTION_CONTROL_ID IN ("&amp;"'"&amp;$Y735&amp;"'"&amp;") AND EXECUTION_TYPE = "&amp;"'"&amp;"STAGE1_EXECUTION"&amp;"'"&amp;";","SELECT EXECUTION_TYPE,SERVICE_INTERCHANGE_ID,CIRCI_KEY,EXECUTION_STATE FROM CIFX.TB_SERVICE_EXECUTION_CONTROL SEC   where sec.circi_key ="&amp;"'"&amp;AA735&amp;"'order by req_timestamp desc ;"),"")</f>
        <v/>
      </c>
      <c r="O735" s="7" t="str">
        <f t="shared" si="80"/>
        <v/>
      </c>
      <c r="P735" s="7" t="str">
        <f t="shared" si="81"/>
        <v/>
      </c>
      <c r="Q735" s="7"/>
      <c r="R735" s="7"/>
      <c r="S735" s="16"/>
      <c r="T735" s="4"/>
      <c r="U735" s="4"/>
      <c r="V735" s="4"/>
      <c r="W735" s="4"/>
      <c r="X735" s="4"/>
      <c r="Y735" s="4"/>
      <c r="Z735" s="4"/>
      <c r="AA735" s="37"/>
      <c r="AB735" s="4"/>
      <c r="AC735" s="4"/>
      <c r="AD735" s="4"/>
      <c r="AE735" s="4"/>
      <c r="AF735" s="4"/>
    </row>
    <row r="736" spans="1:32" x14ac:dyDescent="0.25">
      <c r="A736" s="4" t="str">
        <f t="shared" si="78"/>
        <v>'',</v>
      </c>
      <c r="B736" s="4" t="str">
        <f t="shared" si="79"/>
        <v>'',</v>
      </c>
      <c r="C736" s="15"/>
      <c r="D736" s="5"/>
      <c r="E736" s="5"/>
      <c r="F736" s="5"/>
      <c r="G736" s="29"/>
      <c r="H736" s="5"/>
      <c r="I736" s="22"/>
      <c r="J736" s="16"/>
      <c r="K736" s="25"/>
      <c r="L736" s="16"/>
      <c r="M736" s="16" t="str">
        <f t="shared" si="82"/>
        <v/>
      </c>
      <c r="N736" s="16" t="str">
        <f t="shared" si="83"/>
        <v/>
      </c>
      <c r="O736" s="7" t="str">
        <f t="shared" si="80"/>
        <v/>
      </c>
      <c r="P736" s="7" t="str">
        <f t="shared" si="81"/>
        <v/>
      </c>
      <c r="Q736" s="7"/>
      <c r="R736" s="7"/>
      <c r="S736" s="16"/>
      <c r="T736" s="4"/>
      <c r="U736" s="4"/>
      <c r="V736" s="4"/>
      <c r="W736" s="4"/>
      <c r="X736" s="4"/>
      <c r="Y736" s="4"/>
      <c r="Z736" s="4"/>
      <c r="AA736" s="37"/>
      <c r="AB736" s="4"/>
      <c r="AC736" s="4"/>
      <c r="AD736" s="4"/>
      <c r="AE736" s="4"/>
      <c r="AF736" s="4"/>
    </row>
    <row r="737" spans="1:32" x14ac:dyDescent="0.25">
      <c r="A737" s="4" t="str">
        <f t="shared" si="78"/>
        <v>'',</v>
      </c>
      <c r="B737" s="4" t="str">
        <f t="shared" si="79"/>
        <v>'',</v>
      </c>
      <c r="C737" s="15"/>
      <c r="D737" s="5"/>
      <c r="E737" s="5"/>
      <c r="F737" s="5"/>
      <c r="G737" s="29"/>
      <c r="H737" s="5"/>
      <c r="I737" s="22"/>
      <c r="J737" s="16"/>
      <c r="K737" s="25"/>
      <c r="L737" s="16"/>
      <c r="M737" s="16" t="str">
        <f t="shared" si="82"/>
        <v/>
      </c>
      <c r="N737" s="16" t="str">
        <f t="shared" si="83"/>
        <v/>
      </c>
      <c r="O737" s="7" t="str">
        <f t="shared" si="80"/>
        <v/>
      </c>
      <c r="P737" s="7" t="str">
        <f t="shared" si="81"/>
        <v/>
      </c>
      <c r="Q737" s="7"/>
      <c r="R737" s="7"/>
      <c r="S737" s="16"/>
      <c r="T737" s="4"/>
      <c r="U737" s="4"/>
      <c r="V737" s="4"/>
      <c r="W737" s="4"/>
      <c r="X737" s="4"/>
      <c r="Y737" s="4"/>
      <c r="Z737" s="4"/>
      <c r="AA737" s="37"/>
      <c r="AB737" s="4"/>
      <c r="AC737" s="4"/>
      <c r="AD737" s="4"/>
      <c r="AE737" s="4"/>
      <c r="AF737" s="4"/>
    </row>
    <row r="738" spans="1:32" x14ac:dyDescent="0.25">
      <c r="A738" s="4" t="str">
        <f t="shared" si="78"/>
        <v>'',</v>
      </c>
      <c r="B738" s="4" t="str">
        <f t="shared" si="79"/>
        <v>'',</v>
      </c>
      <c r="C738" s="15"/>
      <c r="D738" s="5"/>
      <c r="E738" s="5"/>
      <c r="F738" s="5"/>
      <c r="G738" s="29"/>
      <c r="H738" s="5"/>
      <c r="I738" s="22"/>
      <c r="J738" s="16"/>
      <c r="K738" s="25"/>
      <c r="L738" s="16"/>
      <c r="M738" s="16" t="str">
        <f t="shared" si="82"/>
        <v/>
      </c>
      <c r="N738" s="16" t="str">
        <f t="shared" si="83"/>
        <v/>
      </c>
      <c r="O738" s="7" t="str">
        <f t="shared" si="80"/>
        <v/>
      </c>
      <c r="P738" s="7" t="str">
        <f t="shared" si="81"/>
        <v/>
      </c>
      <c r="Q738" s="7"/>
      <c r="R738" s="7"/>
      <c r="S738" s="16"/>
      <c r="T738" s="4"/>
      <c r="U738" s="4"/>
      <c r="V738" s="4"/>
      <c r="W738" s="4"/>
      <c r="X738" s="4"/>
      <c r="Y738" s="4"/>
      <c r="Z738" s="4"/>
      <c r="AA738" s="37"/>
      <c r="AB738" s="4"/>
      <c r="AC738" s="4"/>
      <c r="AD738" s="4"/>
      <c r="AE738" s="4"/>
      <c r="AF738" s="4"/>
    </row>
    <row r="739" spans="1:32" x14ac:dyDescent="0.25">
      <c r="A739" s="4" t="str">
        <f t="shared" si="78"/>
        <v>'',</v>
      </c>
      <c r="B739" s="4" t="str">
        <f t="shared" si="79"/>
        <v>'',</v>
      </c>
      <c r="C739" s="15"/>
      <c r="D739" s="5"/>
      <c r="E739" s="5"/>
      <c r="F739" s="5"/>
      <c r="G739" s="29"/>
      <c r="H739" s="5"/>
      <c r="I739" s="22"/>
      <c r="J739" s="16"/>
      <c r="K739" s="25"/>
      <c r="L739" s="16"/>
      <c r="M739" s="16" t="str">
        <f t="shared" si="82"/>
        <v/>
      </c>
      <c r="N739" s="16" t="str">
        <f t="shared" si="83"/>
        <v/>
      </c>
      <c r="O739" s="7" t="str">
        <f t="shared" si="80"/>
        <v/>
      </c>
      <c r="P739" s="7" t="str">
        <f t="shared" si="81"/>
        <v/>
      </c>
      <c r="Q739" s="7"/>
      <c r="R739" s="7"/>
      <c r="S739" s="16"/>
      <c r="T739" s="4"/>
      <c r="U739" s="4"/>
      <c r="V739" s="4"/>
      <c r="W739" s="4"/>
      <c r="X739" s="4"/>
      <c r="Y739" s="4"/>
      <c r="Z739" s="4"/>
      <c r="AA739" s="37"/>
      <c r="AB739" s="4"/>
      <c r="AC739" s="4"/>
      <c r="AD739" s="4"/>
      <c r="AE739" s="4"/>
      <c r="AF739" s="4"/>
    </row>
    <row r="740" spans="1:32" x14ac:dyDescent="0.25">
      <c r="A740" s="4" t="str">
        <f t="shared" si="78"/>
        <v>'',</v>
      </c>
      <c r="B740" s="4" t="str">
        <f t="shared" si="79"/>
        <v>'',</v>
      </c>
      <c r="C740" s="15"/>
      <c r="D740" s="5"/>
      <c r="E740" s="5"/>
      <c r="F740" s="5"/>
      <c r="G740" s="29"/>
      <c r="H740" s="5"/>
      <c r="I740" s="22"/>
      <c r="J740" s="16"/>
      <c r="K740" s="25"/>
      <c r="L740" s="16"/>
      <c r="M740" s="16" t="str">
        <f t="shared" si="82"/>
        <v/>
      </c>
      <c r="N740" s="16" t="str">
        <f t="shared" si="83"/>
        <v/>
      </c>
      <c r="O740" s="7" t="str">
        <f t="shared" si="80"/>
        <v/>
      </c>
      <c r="P740" s="7" t="str">
        <f t="shared" si="81"/>
        <v/>
      </c>
      <c r="Q740" s="7"/>
      <c r="R740" s="7"/>
      <c r="S740" s="16"/>
      <c r="T740" s="4"/>
      <c r="U740" s="4"/>
      <c r="V740" s="4"/>
      <c r="W740" s="4"/>
      <c r="X740" s="4"/>
      <c r="Y740" s="4"/>
      <c r="Z740" s="4"/>
      <c r="AA740" s="37"/>
      <c r="AB740" s="4"/>
      <c r="AC740" s="4"/>
      <c r="AD740" s="4"/>
      <c r="AE740" s="4"/>
      <c r="AF740" s="4"/>
    </row>
    <row r="741" spans="1:32" x14ac:dyDescent="0.25">
      <c r="A741" s="4" t="str">
        <f t="shared" si="78"/>
        <v>'',</v>
      </c>
      <c r="B741" s="4" t="str">
        <f t="shared" si="79"/>
        <v>'',</v>
      </c>
      <c r="C741" s="15"/>
      <c r="D741" s="5"/>
      <c r="E741" s="5"/>
      <c r="F741" s="5"/>
      <c r="G741" s="29"/>
      <c r="H741" s="5"/>
      <c r="I741" s="22"/>
      <c r="J741" s="16"/>
      <c r="K741" s="25"/>
      <c r="L741" s="16"/>
      <c r="M741" s="16" t="str">
        <f t="shared" si="82"/>
        <v/>
      </c>
      <c r="N741" s="16" t="str">
        <f t="shared" si="83"/>
        <v/>
      </c>
      <c r="O741" s="7" t="str">
        <f t="shared" si="80"/>
        <v/>
      </c>
      <c r="P741" s="7" t="str">
        <f t="shared" si="81"/>
        <v/>
      </c>
      <c r="Q741" s="7"/>
      <c r="R741" s="7"/>
      <c r="S741" s="16"/>
      <c r="T741" s="4"/>
      <c r="U741" s="4"/>
      <c r="V741" s="4"/>
      <c r="W741" s="4"/>
      <c r="X741" s="4"/>
      <c r="Y741" s="4"/>
      <c r="Z741" s="4"/>
      <c r="AA741" s="37"/>
      <c r="AB741" s="4"/>
      <c r="AC741" s="4"/>
      <c r="AD741" s="4"/>
      <c r="AE741" s="4"/>
      <c r="AF741" s="4"/>
    </row>
    <row r="742" spans="1:32" x14ac:dyDescent="0.25">
      <c r="A742" s="4"/>
      <c r="B742" s="4"/>
      <c r="C742" s="15"/>
      <c r="D742" s="5"/>
      <c r="E742" s="5"/>
      <c r="F742" s="5"/>
      <c r="G742" s="29"/>
      <c r="H742" s="5"/>
      <c r="I742" s="22"/>
      <c r="J742" s="16"/>
      <c r="K742" s="25"/>
      <c r="L742" s="16"/>
      <c r="M742" s="16" t="str">
        <f t="shared" si="82"/>
        <v/>
      </c>
      <c r="N742" s="16" t="str">
        <f t="shared" si="83"/>
        <v/>
      </c>
      <c r="O742" s="7" t="str">
        <f t="shared" si="80"/>
        <v/>
      </c>
      <c r="P742" s="7" t="str">
        <f t="shared" si="81"/>
        <v/>
      </c>
      <c r="Q742" s="7"/>
      <c r="R742" s="7"/>
      <c r="S742" s="16"/>
      <c r="T742" s="4"/>
      <c r="U742" s="4"/>
      <c r="V742" s="4"/>
      <c r="W742" s="4"/>
      <c r="X742" s="4"/>
      <c r="Y742" s="4"/>
      <c r="Z742" s="4"/>
      <c r="AA742" s="37"/>
      <c r="AB742" s="4"/>
      <c r="AC742" s="4"/>
      <c r="AD742" s="4"/>
      <c r="AE742" s="4"/>
      <c r="AF742" s="4"/>
    </row>
    <row r="1048557" spans="19:19" x14ac:dyDescent="0.25">
      <c r="S1048557" s="17" t="s">
        <v>299</v>
      </c>
    </row>
    <row r="1048576" spans="19:19" x14ac:dyDescent="0.25">
      <c r="S1048576" s="17" t="s">
        <v>3337</v>
      </c>
    </row>
  </sheetData>
  <autoFilter ref="A4:QP742"/>
  <mergeCells count="3">
    <mergeCell ref="E115:E119"/>
    <mergeCell ref="D115:D119"/>
    <mergeCell ref="C115:C119"/>
  </mergeCells>
  <phoneticPr fontId="1" type="noConversion"/>
  <conditionalFormatting sqref="F761:G761">
    <cfRule type="expression" dxfId="202" priority="267">
      <formula>IF($C760="done",1,0)</formula>
    </cfRule>
  </conditionalFormatting>
  <conditionalFormatting sqref="R1:R4 R97:R104 R110:R133 R135:R336 R343:R360 R362:R374 R376 R379:R1048576">
    <cfRule type="containsText" dxfId="201" priority="236" operator="containsText" text="MAIL">
      <formula>NOT(ISERROR(SEARCH("MAIL",R1)))</formula>
    </cfRule>
  </conditionalFormatting>
  <conditionalFormatting sqref="AA743:AA1048576 AA1:AA4 AA97">
    <cfRule type="duplicateValues" dxfId="200" priority="215"/>
  </conditionalFormatting>
  <conditionalFormatting sqref="C97:C104 C110:C115 C120:C133 C135:C336 C343:C360 C362:C374 C376 C379:C742">
    <cfRule type="expression" dxfId="199" priority="212">
      <formula>IF(AND($D97&lt;&gt;"",$C97&lt;&gt;"done"),1,0)</formula>
    </cfRule>
  </conditionalFormatting>
  <conditionalFormatting sqref="C97:D104 C110:D115 C120:D133 C343 C135:D336 C362:D374 C344:D360 C376:D376 C379:D742">
    <cfRule type="expression" dxfId="198" priority="211">
      <formula>IF($C97="done",1,0)</formula>
    </cfRule>
  </conditionalFormatting>
  <conditionalFormatting sqref="E97:E102 E110:E115 E120:E133 E135:E295 E297:E336 E343:E360 E362:E374 E376 E379:E742">
    <cfRule type="expression" dxfId="197" priority="210">
      <formula>IF(AND($F97&lt;&gt;"",$E97&lt;&gt;"done"),1,0)</formula>
    </cfRule>
  </conditionalFormatting>
  <conditionalFormatting sqref="E97 E98:F102 F116:F119 E113:F115 E120:E125 E126:F133 E135:F169 E170 E171:F295 E297:F336 E343 E344:F360 E362:F374 E376:F376 E379:F742">
    <cfRule type="expression" dxfId="196" priority="209">
      <formula>IF(AND($E97= "done"),1,0)</formula>
    </cfRule>
  </conditionalFormatting>
  <conditionalFormatting sqref="G97:H97 G110:H133 G135:H336 G343:H360 G362:H374 G376:H376 G379:H742">
    <cfRule type="expression" dxfId="195" priority="207">
      <formula>IF($G97="done",1,0)</formula>
    </cfRule>
  </conditionalFormatting>
  <conditionalFormatting sqref="G97:G104 G110:G133 G135:G336 G343:G360 G362:G374 G376 G379:G742">
    <cfRule type="expression" dxfId="194" priority="208">
      <formula>IF($H97&lt;&gt;"",1,0)</formula>
    </cfRule>
  </conditionalFormatting>
  <conditionalFormatting sqref="I97 AA110:AA133 AA97:AA104 L97:Y97 I98:Y134 I5:Y96 I135:AA244 AB5:AF244 I317:S317 U317:AF317 I318:AF336 I245:AF316 I343:AF360 I376:AF376 J363:AF373 K374:AF374 I362:AF362 I379:AF742">
    <cfRule type="expression" dxfId="193" priority="198">
      <formula>IF($I5="done",1,0)</formula>
    </cfRule>
  </conditionalFormatting>
  <conditionalFormatting sqref="G98:H104">
    <cfRule type="expression" dxfId="192" priority="190">
      <formula>IF($G98="done",1,0)</formula>
    </cfRule>
  </conditionalFormatting>
  <conditionalFormatting sqref="R5:R96">
    <cfRule type="containsText" dxfId="191" priority="188" operator="containsText" text="MAIL">
      <formula>NOT(ISERROR(SEARCH("MAIL",R5)))</formula>
    </cfRule>
  </conditionalFormatting>
  <conditionalFormatting sqref="AA5:AA96">
    <cfRule type="duplicateValues" dxfId="190" priority="187"/>
  </conditionalFormatting>
  <conditionalFormatting sqref="C5:C96">
    <cfRule type="expression" dxfId="189" priority="186">
      <formula>IF(AND($D5&lt;&gt;"",$C5&lt;&gt;"done"),1,0)</formula>
    </cfRule>
  </conditionalFormatting>
  <conditionalFormatting sqref="C5:D96">
    <cfRule type="expression" dxfId="188" priority="185">
      <formula>IF($C5="done",1,0)</formula>
    </cfRule>
  </conditionalFormatting>
  <conditionalFormatting sqref="E5:E96">
    <cfRule type="expression" dxfId="187" priority="184">
      <formula>IF(AND($F5&lt;&gt;"",$E5&lt;&gt;"done"),1,0)</formula>
    </cfRule>
  </conditionalFormatting>
  <conditionalFormatting sqref="E5:F96">
    <cfRule type="expression" dxfId="186" priority="183">
      <formula>IF(AND($E5= "done"),1,0)</formula>
    </cfRule>
  </conditionalFormatting>
  <conditionalFormatting sqref="G5:H96">
    <cfRule type="expression" dxfId="185" priority="181">
      <formula>IF($G5="done",1,0)</formula>
    </cfRule>
  </conditionalFormatting>
  <conditionalFormatting sqref="G5:G96">
    <cfRule type="expression" dxfId="184" priority="182">
      <formula>IF($H5&lt;&gt;"",1,0)</formula>
    </cfRule>
  </conditionalFormatting>
  <conditionalFormatting sqref="AA5:AA96">
    <cfRule type="expression" dxfId="183" priority="180">
      <formula>IF($I5="done",1,0)</formula>
    </cfRule>
  </conditionalFormatting>
  <conditionalFormatting sqref="J97">
    <cfRule type="expression" dxfId="182" priority="179">
      <formula>IF($I97="done",1,0)</formula>
    </cfRule>
  </conditionalFormatting>
  <conditionalFormatting sqref="K97">
    <cfRule type="expression" dxfId="181" priority="178">
      <formula>IF($I97="done",1,0)</formula>
    </cfRule>
  </conditionalFormatting>
  <conditionalFormatting sqref="F97">
    <cfRule type="expression" dxfId="180" priority="177">
      <formula>IF(AND($E97= "done"),1,0)</formula>
    </cfRule>
  </conditionalFormatting>
  <conditionalFormatting sqref="AA1:AA104 AA110:AA133 AA135:AA336 AA343:AA360 AA362:AA374 AA376 AA379:AA1048576">
    <cfRule type="duplicateValues" dxfId="179" priority="175"/>
  </conditionalFormatting>
  <conditionalFormatting sqref="E103">
    <cfRule type="expression" dxfId="178" priority="174">
      <formula>IF(AND($F103&lt;&gt;"",$E103&lt;&gt;"done"),1,0)</formula>
    </cfRule>
  </conditionalFormatting>
  <conditionalFormatting sqref="E103:F103">
    <cfRule type="expression" dxfId="177" priority="173">
      <formula>IF(AND($E103= "done"),1,0)</formula>
    </cfRule>
  </conditionalFormatting>
  <conditionalFormatting sqref="E104">
    <cfRule type="expression" dxfId="176" priority="172">
      <formula>IF(AND($F104&lt;&gt;"",$E104&lt;&gt;"done"),1,0)</formula>
    </cfRule>
  </conditionalFormatting>
  <conditionalFormatting sqref="E104:F104 E110:E112">
    <cfRule type="expression" dxfId="175" priority="171">
      <formula>IF(AND($E104= "done"),1,0)</formula>
    </cfRule>
  </conditionalFormatting>
  <conditionalFormatting sqref="R105">
    <cfRule type="containsText" dxfId="174" priority="169" operator="containsText" text="MAIL">
      <formula>NOT(ISERROR(SEARCH("MAIL",R105)))</formula>
    </cfRule>
  </conditionalFormatting>
  <conditionalFormatting sqref="C105">
    <cfRule type="expression" dxfId="173" priority="168">
      <formula>IF(AND($D105&lt;&gt;"",$C105&lt;&gt;"done"),1,0)</formula>
    </cfRule>
  </conditionalFormatting>
  <conditionalFormatting sqref="C105:D105">
    <cfRule type="expression" dxfId="172" priority="167">
      <formula>IF($C105="done",1,0)</formula>
    </cfRule>
  </conditionalFormatting>
  <conditionalFormatting sqref="G105">
    <cfRule type="expression" dxfId="171" priority="166">
      <formula>IF($H105&lt;&gt;"",1,0)</formula>
    </cfRule>
  </conditionalFormatting>
  <conditionalFormatting sqref="AA105">
    <cfRule type="expression" dxfId="170" priority="165">
      <formula>IF($I105="done",1,0)</formula>
    </cfRule>
  </conditionalFormatting>
  <conditionalFormatting sqref="G105:H105">
    <cfRule type="expression" dxfId="169" priority="164">
      <formula>IF($G105="done",1,0)</formula>
    </cfRule>
  </conditionalFormatting>
  <conditionalFormatting sqref="AA105">
    <cfRule type="duplicateValues" dxfId="168" priority="170"/>
  </conditionalFormatting>
  <conditionalFormatting sqref="AA105">
    <cfRule type="duplicateValues" dxfId="167" priority="163"/>
  </conditionalFormatting>
  <conditionalFormatting sqref="E105">
    <cfRule type="expression" dxfId="166" priority="162">
      <formula>IF(AND($F105&lt;&gt;"",$E105&lt;&gt;"done"),1,0)</formula>
    </cfRule>
  </conditionalFormatting>
  <conditionalFormatting sqref="E105:F105">
    <cfRule type="expression" dxfId="165" priority="161">
      <formula>IF(AND($E105= "done"),1,0)</formula>
    </cfRule>
  </conditionalFormatting>
  <conditionalFormatting sqref="R106:R109">
    <cfRule type="containsText" dxfId="164" priority="159" operator="containsText" text="MAIL">
      <formula>NOT(ISERROR(SEARCH("MAIL",R106)))</formula>
    </cfRule>
  </conditionalFormatting>
  <conditionalFormatting sqref="C106:C109">
    <cfRule type="expression" dxfId="163" priority="158">
      <formula>IF(AND($D106&lt;&gt;"",$C106&lt;&gt;"done"),1,0)</formula>
    </cfRule>
  </conditionalFormatting>
  <conditionalFormatting sqref="C106:D109">
    <cfRule type="expression" dxfId="162" priority="157">
      <formula>IF($C106="done",1,0)</formula>
    </cfRule>
  </conditionalFormatting>
  <conditionalFormatting sqref="G106:G109">
    <cfRule type="expression" dxfId="161" priority="156">
      <formula>IF($H106&lt;&gt;"",1,0)</formula>
    </cfRule>
  </conditionalFormatting>
  <conditionalFormatting sqref="AA106:AA109">
    <cfRule type="expression" dxfId="160" priority="155">
      <formula>IF($I106="done",1,0)</formula>
    </cfRule>
  </conditionalFormatting>
  <conditionalFormatting sqref="G106:H109">
    <cfRule type="expression" dxfId="159" priority="154">
      <formula>IF($G106="done",1,0)</formula>
    </cfRule>
  </conditionalFormatting>
  <conditionalFormatting sqref="AA106:AA109">
    <cfRule type="duplicateValues" dxfId="158" priority="160"/>
  </conditionalFormatting>
  <conditionalFormatting sqref="AA106:AA109">
    <cfRule type="duplicateValues" dxfId="157" priority="153"/>
  </conditionalFormatting>
  <conditionalFormatting sqref="E106:E109">
    <cfRule type="expression" dxfId="156" priority="152">
      <formula>IF(AND($F106&lt;&gt;"",$E106&lt;&gt;"done"),1,0)</formula>
    </cfRule>
  </conditionalFormatting>
  <conditionalFormatting sqref="E106:F109">
    <cfRule type="expression" dxfId="155" priority="151">
      <formula>IF(AND($E106= "done"),1,0)</formula>
    </cfRule>
  </conditionalFormatting>
  <conditionalFormatting sqref="F110">
    <cfRule type="expression" dxfId="154" priority="150">
      <formula>IF(AND($E110= "done"),1,0)</formula>
    </cfRule>
  </conditionalFormatting>
  <conditionalFormatting sqref="F111">
    <cfRule type="expression" dxfId="153" priority="149">
      <formula>IF(AND($E111= "done"),1,0)</formula>
    </cfRule>
  </conditionalFormatting>
  <conditionalFormatting sqref="F112">
    <cfRule type="expression" dxfId="152" priority="148">
      <formula>IF(AND($E112= "done"),1,0)</formula>
    </cfRule>
  </conditionalFormatting>
  <conditionalFormatting sqref="V1:W133 V135:W336 V343:W360 V362:W374 V376:W376 V379:W1048576">
    <cfRule type="containsText" dxfId="151" priority="146" operator="containsText" text="顧客識別寫入CI發生錯誤">
      <formula>NOT(ISERROR(SEARCH("顧客識別寫入CI發生錯誤",V1)))</formula>
    </cfRule>
    <cfRule type="cellIs" dxfId="150" priority="147" operator="equal">
      <formula>"發送異動通知電文，未回傳resultCode!!,回傳代碼描述:,錯誤訊息:[]"</formula>
    </cfRule>
  </conditionalFormatting>
  <conditionalFormatting sqref="F120:F125">
    <cfRule type="expression" dxfId="149" priority="145">
      <formula>IF(AND($E120= "done"),1,0)</formula>
    </cfRule>
  </conditionalFormatting>
  <conditionalFormatting sqref="E136">
    <cfRule type="expression" dxfId="148" priority="324">
      <formula>IF(AND(#REF!&lt;&gt;"",$E136&lt;&gt;"done"),1,0)</formula>
    </cfRule>
  </conditionalFormatting>
  <conditionalFormatting sqref="R134">
    <cfRule type="containsText" dxfId="147" priority="143" operator="containsText" text="MAIL">
      <formula>NOT(ISERROR(SEARCH("MAIL",R134)))</formula>
    </cfRule>
  </conditionalFormatting>
  <conditionalFormatting sqref="C134">
    <cfRule type="expression" dxfId="146" priority="142">
      <formula>IF(AND($D134&lt;&gt;"",$C134&lt;&gt;"done"),1,0)</formula>
    </cfRule>
  </conditionalFormatting>
  <conditionalFormatting sqref="C134:D134">
    <cfRule type="expression" dxfId="145" priority="141">
      <formula>IF($C134="done",1,0)</formula>
    </cfRule>
  </conditionalFormatting>
  <conditionalFormatting sqref="E134">
    <cfRule type="expression" dxfId="144" priority="140">
      <formula>IF(AND($F134&lt;&gt;"",$E134&lt;&gt;"done"),1,0)</formula>
    </cfRule>
  </conditionalFormatting>
  <conditionalFormatting sqref="E134:F134">
    <cfRule type="expression" dxfId="143" priority="139">
      <formula>IF(AND($E134= "done"),1,0)</formula>
    </cfRule>
  </conditionalFormatting>
  <conditionalFormatting sqref="G134:H134">
    <cfRule type="expression" dxfId="142" priority="137">
      <formula>IF($G134="done",1,0)</formula>
    </cfRule>
  </conditionalFormatting>
  <conditionalFormatting sqref="G134">
    <cfRule type="expression" dxfId="141" priority="138">
      <formula>IF($H134&lt;&gt;"",1,0)</formula>
    </cfRule>
  </conditionalFormatting>
  <conditionalFormatting sqref="AA134">
    <cfRule type="expression" dxfId="140" priority="136">
      <formula>IF($I134="done",1,0)</formula>
    </cfRule>
  </conditionalFormatting>
  <conditionalFormatting sqref="AA134:AA143">
    <cfRule type="duplicateValues" dxfId="139" priority="135"/>
  </conditionalFormatting>
  <conditionalFormatting sqref="V134:W134">
    <cfRule type="containsText" dxfId="138" priority="133" operator="containsText" text="顧客識別寫入CI發生錯誤">
      <formula>NOT(ISERROR(SEARCH("顧客識別寫入CI發生錯誤",V134)))</formula>
    </cfRule>
    <cfRule type="cellIs" dxfId="137" priority="134" operator="equal">
      <formula>"發送異動通知電文，未回傳resultCode!!,回傳代碼描述:,錯誤訊息:[]"</formula>
    </cfRule>
  </conditionalFormatting>
  <conditionalFormatting sqref="F170">
    <cfRule type="expression" dxfId="136" priority="132">
      <formula>IF(AND($E170= "done"),1,0)</formula>
    </cfRule>
  </conditionalFormatting>
  <conditionalFormatting sqref="Z97:Z104 Z110:Z133">
    <cfRule type="expression" dxfId="135" priority="126">
      <formula>IF($I97="done",1,0)</formula>
    </cfRule>
  </conditionalFormatting>
  <conditionalFormatting sqref="Z5:Z96">
    <cfRule type="expression" dxfId="134" priority="125">
      <formula>IF($I5="done",1,0)</formula>
    </cfRule>
  </conditionalFormatting>
  <conditionalFormatting sqref="Z105">
    <cfRule type="expression" dxfId="133" priority="124">
      <formula>IF($I105="done",1,0)</formula>
    </cfRule>
  </conditionalFormatting>
  <conditionalFormatting sqref="Z106:Z109">
    <cfRule type="expression" dxfId="132" priority="123">
      <formula>IF($I106="done",1,0)</formula>
    </cfRule>
  </conditionalFormatting>
  <conditionalFormatting sqref="Z134">
    <cfRule type="expression" dxfId="131" priority="122">
      <formula>IF($I134="done",1,0)</formula>
    </cfRule>
  </conditionalFormatting>
  <conditionalFormatting sqref="Y217">
    <cfRule type="duplicateValues" dxfId="130" priority="120"/>
  </conditionalFormatting>
  <conditionalFormatting sqref="Y217">
    <cfRule type="duplicateValues" dxfId="129" priority="121"/>
  </conditionalFormatting>
  <conditionalFormatting sqref="Z218">
    <cfRule type="duplicateValues" dxfId="128" priority="118"/>
  </conditionalFormatting>
  <conditionalFormatting sqref="Z218">
    <cfRule type="duplicateValues" dxfId="127" priority="119"/>
  </conditionalFormatting>
  <conditionalFormatting sqref="AG226:AG228">
    <cfRule type="expression" dxfId="126" priority="117">
      <formula>IF($I226="done",1,0)</formula>
    </cfRule>
  </conditionalFormatting>
  <conditionalFormatting sqref="Z226:Z229">
    <cfRule type="duplicateValues" dxfId="125" priority="115"/>
  </conditionalFormatting>
  <conditionalFormatting sqref="Z226:Z229">
    <cfRule type="duplicateValues" dxfId="124" priority="116"/>
  </conditionalFormatting>
  <conditionalFormatting sqref="V1:W336 V343:W360 V362:W374 V376:W376 V379:W1048576">
    <cfRule type="containsText" dxfId="123" priority="113" operator="containsText" text="顧客ID已停用">
      <formula>NOT(ISERROR(SEARCH("顧客ID已停用",V1)))</formula>
    </cfRule>
    <cfRule type="containsText" dxfId="122" priority="114" operator="containsText" text="agreeCrossSellingFlag">
      <formula>NOT(ISERROR(SEARCH("agreeCrossSellingFlag",V1)))</formula>
    </cfRule>
  </conditionalFormatting>
  <conditionalFormatting sqref="AC1:AC336 AC343:AC360 AC362:AC374 AC376 AC379:AC1048576">
    <cfRule type="cellIs" dxfId="121" priority="112" operator="equal">
      <formula>"ok resync to cip "</formula>
    </cfRule>
  </conditionalFormatting>
  <conditionalFormatting sqref="D279">
    <cfRule type="expression" dxfId="120" priority="111">
      <formula>IF(AND($D279&lt;&gt;"",$C279&lt;&gt;"done"),1,0)</formula>
    </cfRule>
  </conditionalFormatting>
  <conditionalFormatting sqref="D280">
    <cfRule type="expression" dxfId="119" priority="110">
      <formula>IF(AND($D280&lt;&gt;"",$C280&lt;&gt;"done"),1,0)</formula>
    </cfRule>
  </conditionalFormatting>
  <conditionalFormatting sqref="D281">
    <cfRule type="expression" dxfId="118" priority="109">
      <formula>IF(AND($D281&lt;&gt;"",$C281&lt;&gt;"done"),1,0)</formula>
    </cfRule>
  </conditionalFormatting>
  <conditionalFormatting sqref="D282">
    <cfRule type="expression" dxfId="117" priority="108">
      <formula>IF(AND($D282&lt;&gt;"",$C282&lt;&gt;"done"),1,0)</formula>
    </cfRule>
  </conditionalFormatting>
  <conditionalFormatting sqref="D283">
    <cfRule type="expression" dxfId="116" priority="107">
      <formula>IF(AND($D283&lt;&gt;"",$C283&lt;&gt;"done"),1,0)</formula>
    </cfRule>
  </conditionalFormatting>
  <conditionalFormatting sqref="D284">
    <cfRule type="expression" dxfId="115" priority="106">
      <formula>IF(AND($D284&lt;&gt;"",$C284&lt;&gt;"done"),1,0)</formula>
    </cfRule>
  </conditionalFormatting>
  <conditionalFormatting sqref="F287">
    <cfRule type="expression" dxfId="114" priority="105">
      <formula>IF(AND($F287&lt;&gt;"",$E287&lt;&gt;"done"),1,0)</formula>
    </cfRule>
  </conditionalFormatting>
  <conditionalFormatting sqref="AA98:AA104 AA110:AA133 AA135:AA336 AA343:AA360 AA362:AA374 AA376 AA379:AA742">
    <cfRule type="duplicateValues" dxfId="113" priority="830"/>
  </conditionalFormatting>
  <conditionalFormatting sqref="E296">
    <cfRule type="expression" dxfId="112" priority="100">
      <formula>IF(AND($F296&lt;&gt;"",$E296&lt;&gt;"done"),1,0)</formula>
    </cfRule>
  </conditionalFormatting>
  <conditionalFormatting sqref="E296:F296">
    <cfRule type="expression" dxfId="111" priority="99">
      <formula>IF(AND($E296= "done"),1,0)</formula>
    </cfRule>
  </conditionalFormatting>
  <conditionalFormatting sqref="R337:R342">
    <cfRule type="containsText" dxfId="110" priority="97" operator="containsText" text="MAIL">
      <formula>NOT(ISERROR(SEARCH("MAIL",R337)))</formula>
    </cfRule>
  </conditionalFormatting>
  <conditionalFormatting sqref="C337:C342">
    <cfRule type="expression" dxfId="109" priority="96">
      <formula>IF(AND($D337&lt;&gt;"",$C337&lt;&gt;"done"),1,0)</formula>
    </cfRule>
  </conditionalFormatting>
  <conditionalFormatting sqref="C337:D341 C342">
    <cfRule type="expression" dxfId="108" priority="95">
      <formula>IF($C337="done",1,0)</formula>
    </cfRule>
  </conditionalFormatting>
  <conditionalFormatting sqref="E337:E342">
    <cfRule type="expression" dxfId="107" priority="94">
      <formula>IF(AND($F337&lt;&gt;"",$E337&lt;&gt;"done"),1,0)</formula>
    </cfRule>
  </conditionalFormatting>
  <conditionalFormatting sqref="E337:F342">
    <cfRule type="expression" dxfId="106" priority="93">
      <formula>IF(AND($E337= "done"),1,0)</formula>
    </cfRule>
  </conditionalFormatting>
  <conditionalFormatting sqref="G337:H342">
    <cfRule type="expression" dxfId="105" priority="91">
      <formula>IF($G337="done",1,0)</formula>
    </cfRule>
  </conditionalFormatting>
  <conditionalFormatting sqref="G337:G342">
    <cfRule type="expression" dxfId="104" priority="92">
      <formula>IF($H337&lt;&gt;"",1,0)</formula>
    </cfRule>
  </conditionalFormatting>
  <conditionalFormatting sqref="I337:AF341 I342:K342 M342:AF342">
    <cfRule type="expression" dxfId="103" priority="90">
      <formula>IF($I337="done",1,0)</formula>
    </cfRule>
  </conditionalFormatting>
  <conditionalFormatting sqref="AA337:AA342">
    <cfRule type="duplicateValues" dxfId="102" priority="89"/>
  </conditionalFormatting>
  <conditionalFormatting sqref="V337:W342">
    <cfRule type="containsText" dxfId="101" priority="87" operator="containsText" text="顧客識別寫入CI發生錯誤">
      <formula>NOT(ISERROR(SEARCH("顧客識別寫入CI發生錯誤",V337)))</formula>
    </cfRule>
    <cfRule type="cellIs" dxfId="100" priority="88" operator="equal">
      <formula>"發送異動通知電文，未回傳resultCode!!,回傳代碼描述:,錯誤訊息:[]"</formula>
    </cfRule>
  </conditionalFormatting>
  <conditionalFormatting sqref="V337:W342">
    <cfRule type="containsText" dxfId="99" priority="85" operator="containsText" text="顧客ID已停用">
      <formula>NOT(ISERROR(SEARCH("顧客ID已停用",V337)))</formula>
    </cfRule>
    <cfRule type="containsText" dxfId="98" priority="86" operator="containsText" text="agreeCrossSellingFlag">
      <formula>NOT(ISERROR(SEARCH("agreeCrossSellingFlag",V337)))</formula>
    </cfRule>
  </conditionalFormatting>
  <conditionalFormatting sqref="AC337:AC342">
    <cfRule type="cellIs" dxfId="97" priority="84" operator="equal">
      <formula>"ok resync to cip "</formula>
    </cfRule>
  </conditionalFormatting>
  <conditionalFormatting sqref="AA337:AA342">
    <cfRule type="duplicateValues" dxfId="96" priority="98"/>
  </conditionalFormatting>
  <conditionalFormatting sqref="L342">
    <cfRule type="expression" dxfId="95" priority="83">
      <formula>IF($I342="done",1,0)</formula>
    </cfRule>
  </conditionalFormatting>
  <conditionalFormatting sqref="D342">
    <cfRule type="expression" dxfId="94" priority="82">
      <formula>IF($C342="done",1,0)</formula>
    </cfRule>
  </conditionalFormatting>
  <conditionalFormatting sqref="D343">
    <cfRule type="expression" dxfId="93" priority="81">
      <formula>IF($C343="done",1,0)</formula>
    </cfRule>
  </conditionalFormatting>
  <conditionalFormatting sqref="F343">
    <cfRule type="expression" dxfId="92" priority="80">
      <formula>IF(AND($E343= "done"),1,0)</formula>
    </cfRule>
  </conditionalFormatting>
  <conditionalFormatting sqref="AA1:AA360 AA362:AA374 AA376 AA379:AA1048576">
    <cfRule type="duplicateValues" dxfId="91" priority="79"/>
  </conditionalFormatting>
  <conditionalFormatting sqref="E349">
    <cfRule type="expression" dxfId="90" priority="835">
      <formula>IF(AND($F350&lt;&gt;"",$E349&lt;&gt;"done"),1,0)</formula>
    </cfRule>
  </conditionalFormatting>
  <conditionalFormatting sqref="E350">
    <cfRule type="expression" dxfId="89" priority="836">
      <formula>IF(AND(#REF!&lt;&gt;"",$E350&lt;&gt;"done"),1,0)</formula>
    </cfRule>
  </conditionalFormatting>
  <conditionalFormatting sqref="I363">
    <cfRule type="expression" dxfId="88" priority="78">
      <formula>IF(AND($F363&lt;&gt;"",$E363&lt;&gt;"done"),1,0)</formula>
    </cfRule>
  </conditionalFormatting>
  <conditionalFormatting sqref="I363">
    <cfRule type="expression" dxfId="87" priority="77">
      <formula>IF(AND($E363= "done"),1,0)</formula>
    </cfRule>
  </conditionalFormatting>
  <conditionalFormatting sqref="I364:I373">
    <cfRule type="expression" dxfId="86" priority="76">
      <formula>IF(AND($F364&lt;&gt;"",$E364&lt;&gt;"done"),1,0)</formula>
    </cfRule>
  </conditionalFormatting>
  <conditionalFormatting sqref="I364:I373">
    <cfRule type="expression" dxfId="85" priority="75">
      <formula>IF(AND($E364= "done"),1,0)</formula>
    </cfRule>
  </conditionalFormatting>
  <conditionalFormatting sqref="J374">
    <cfRule type="expression" dxfId="84" priority="71">
      <formula>IF($I374="done",1,0)</formula>
    </cfRule>
  </conditionalFormatting>
  <conditionalFormatting sqref="I374">
    <cfRule type="expression" dxfId="83" priority="70">
      <formula>IF(AND($F374&lt;&gt;"",$E374&lt;&gt;"done"),1,0)</formula>
    </cfRule>
  </conditionalFormatting>
  <conditionalFormatting sqref="I374">
    <cfRule type="expression" dxfId="82" priority="69">
      <formula>IF(AND($E374= "done"),1,0)</formula>
    </cfRule>
  </conditionalFormatting>
  <conditionalFormatting sqref="R361">
    <cfRule type="containsText" dxfId="81" priority="67" operator="containsText" text="MAIL">
      <formula>NOT(ISERROR(SEARCH("MAIL",R361)))</formula>
    </cfRule>
  </conditionalFormatting>
  <conditionalFormatting sqref="C361">
    <cfRule type="expression" dxfId="80" priority="66">
      <formula>IF(AND($D361&lt;&gt;"",$C361&lt;&gt;"done"),1,0)</formula>
    </cfRule>
  </conditionalFormatting>
  <conditionalFormatting sqref="C361:D361">
    <cfRule type="expression" dxfId="79" priority="65">
      <formula>IF($C361="done",1,0)</formula>
    </cfRule>
  </conditionalFormatting>
  <conditionalFormatting sqref="E361">
    <cfRule type="expression" dxfId="78" priority="64">
      <formula>IF(AND($F361&lt;&gt;"",$E361&lt;&gt;"done"),1,0)</formula>
    </cfRule>
  </conditionalFormatting>
  <conditionalFormatting sqref="E361:F361">
    <cfRule type="expression" dxfId="77" priority="63">
      <formula>IF(AND($E361= "done"),1,0)</formula>
    </cfRule>
  </conditionalFormatting>
  <conditionalFormatting sqref="G361:H361">
    <cfRule type="expression" dxfId="76" priority="61">
      <formula>IF($G361="done",1,0)</formula>
    </cfRule>
  </conditionalFormatting>
  <conditionalFormatting sqref="G361">
    <cfRule type="expression" dxfId="75" priority="62">
      <formula>IF($H361&lt;&gt;"",1,0)</formula>
    </cfRule>
  </conditionalFormatting>
  <conditionalFormatting sqref="I361:AF361">
    <cfRule type="expression" dxfId="74" priority="60">
      <formula>IF($I361="done",1,0)</formula>
    </cfRule>
  </conditionalFormatting>
  <conditionalFormatting sqref="AA361">
    <cfRule type="duplicateValues" dxfId="73" priority="59"/>
  </conditionalFormatting>
  <conditionalFormatting sqref="V361:W361">
    <cfRule type="containsText" dxfId="72" priority="57" operator="containsText" text="顧客識別寫入CI發生錯誤">
      <formula>NOT(ISERROR(SEARCH("顧客識別寫入CI發生錯誤",V361)))</formula>
    </cfRule>
    <cfRule type="cellIs" dxfId="71" priority="58" operator="equal">
      <formula>"發送異動通知電文，未回傳resultCode!!,回傳代碼描述:,錯誤訊息:[]"</formula>
    </cfRule>
  </conditionalFormatting>
  <conditionalFormatting sqref="V361:W361">
    <cfRule type="containsText" dxfId="70" priority="55" operator="containsText" text="顧客ID已停用">
      <formula>NOT(ISERROR(SEARCH("顧客ID已停用",V361)))</formula>
    </cfRule>
    <cfRule type="containsText" dxfId="69" priority="56" operator="containsText" text="agreeCrossSellingFlag">
      <formula>NOT(ISERROR(SEARCH("agreeCrossSellingFlag",V361)))</formula>
    </cfRule>
  </conditionalFormatting>
  <conditionalFormatting sqref="AC361">
    <cfRule type="cellIs" dxfId="68" priority="54" operator="equal">
      <formula>"ok resync to cip "</formula>
    </cfRule>
  </conditionalFormatting>
  <conditionalFormatting sqref="AA361">
    <cfRule type="duplicateValues" dxfId="67" priority="68"/>
  </conditionalFormatting>
  <conditionalFormatting sqref="AA361">
    <cfRule type="duplicateValues" dxfId="66" priority="53"/>
  </conditionalFormatting>
  <conditionalFormatting sqref="R375">
    <cfRule type="containsText" dxfId="65" priority="51" operator="containsText" text="MAIL">
      <formula>NOT(ISERROR(SEARCH("MAIL",R375)))</formula>
    </cfRule>
  </conditionalFormatting>
  <conditionalFormatting sqref="C375">
    <cfRule type="expression" dxfId="64" priority="50">
      <formula>IF(AND($D375&lt;&gt;"",$C375&lt;&gt;"done"),1,0)</formula>
    </cfRule>
  </conditionalFormatting>
  <conditionalFormatting sqref="C375:D375">
    <cfRule type="expression" dxfId="63" priority="49">
      <formula>IF($C375="done",1,0)</formula>
    </cfRule>
  </conditionalFormatting>
  <conditionalFormatting sqref="E375">
    <cfRule type="expression" dxfId="62" priority="48">
      <formula>IF(AND($F375&lt;&gt;"",$E375&lt;&gt;"done"),1,0)</formula>
    </cfRule>
  </conditionalFormatting>
  <conditionalFormatting sqref="E375:F375">
    <cfRule type="expression" dxfId="61" priority="47">
      <formula>IF(AND($E375= "done"),1,0)</formula>
    </cfRule>
  </conditionalFormatting>
  <conditionalFormatting sqref="G375:H375">
    <cfRule type="expression" dxfId="60" priority="45">
      <formula>IF($G375="done",1,0)</formula>
    </cfRule>
  </conditionalFormatting>
  <conditionalFormatting sqref="G375">
    <cfRule type="expression" dxfId="59" priority="46">
      <formula>IF($H375&lt;&gt;"",1,0)</formula>
    </cfRule>
  </conditionalFormatting>
  <conditionalFormatting sqref="K375:AF375">
    <cfRule type="expression" dxfId="58" priority="44">
      <formula>IF($I375="done",1,0)</formula>
    </cfRule>
  </conditionalFormatting>
  <conditionalFormatting sqref="AA375">
    <cfRule type="duplicateValues" dxfId="57" priority="43"/>
  </conditionalFormatting>
  <conditionalFormatting sqref="V375:W375">
    <cfRule type="containsText" dxfId="56" priority="41" operator="containsText" text="顧客識別寫入CI發生錯誤">
      <formula>NOT(ISERROR(SEARCH("顧客識別寫入CI發生錯誤",V375)))</formula>
    </cfRule>
    <cfRule type="cellIs" dxfId="55" priority="42" operator="equal">
      <formula>"發送異動通知電文，未回傳resultCode!!,回傳代碼描述:,錯誤訊息:[]"</formula>
    </cfRule>
  </conditionalFormatting>
  <conditionalFormatting sqref="V375:W375">
    <cfRule type="containsText" dxfId="54" priority="39" operator="containsText" text="顧客ID已停用">
      <formula>NOT(ISERROR(SEARCH("顧客ID已停用",V375)))</formula>
    </cfRule>
    <cfRule type="containsText" dxfId="53" priority="40" operator="containsText" text="agreeCrossSellingFlag">
      <formula>NOT(ISERROR(SEARCH("agreeCrossSellingFlag",V375)))</formula>
    </cfRule>
  </conditionalFormatting>
  <conditionalFormatting sqref="AC375">
    <cfRule type="cellIs" dxfId="52" priority="38" operator="equal">
      <formula>"ok resync to cip "</formula>
    </cfRule>
  </conditionalFormatting>
  <conditionalFormatting sqref="AA375">
    <cfRule type="duplicateValues" dxfId="51" priority="52"/>
  </conditionalFormatting>
  <conditionalFormatting sqref="AA375">
    <cfRule type="duplicateValues" dxfId="50" priority="37"/>
  </conditionalFormatting>
  <conditionalFormatting sqref="J375">
    <cfRule type="expression" dxfId="49" priority="36">
      <formula>IF($I375="done",1,0)</formula>
    </cfRule>
  </conditionalFormatting>
  <conditionalFormatting sqref="I375">
    <cfRule type="expression" dxfId="48" priority="35">
      <formula>IF(AND($F375&lt;&gt;"",$E375&lt;&gt;"done"),1,0)</formula>
    </cfRule>
  </conditionalFormatting>
  <conditionalFormatting sqref="I375">
    <cfRule type="expression" dxfId="47" priority="34">
      <formula>IF(AND($E375= "done"),1,0)</formula>
    </cfRule>
  </conditionalFormatting>
  <conditionalFormatting sqref="R377">
    <cfRule type="containsText" dxfId="46" priority="32" operator="containsText" text="MAIL">
      <formula>NOT(ISERROR(SEARCH("MAIL",R377)))</formula>
    </cfRule>
  </conditionalFormatting>
  <conditionalFormatting sqref="C377">
    <cfRule type="expression" dxfId="45" priority="31">
      <formula>IF(AND($D377&lt;&gt;"",$C377&lt;&gt;"done"),1,0)</formula>
    </cfRule>
  </conditionalFormatting>
  <conditionalFormatting sqref="C377:D377">
    <cfRule type="expression" dxfId="44" priority="30">
      <formula>IF($C377="done",1,0)</formula>
    </cfRule>
  </conditionalFormatting>
  <conditionalFormatting sqref="E377">
    <cfRule type="expression" dxfId="43" priority="29">
      <formula>IF(AND($F377&lt;&gt;"",$E377&lt;&gt;"done"),1,0)</formula>
    </cfRule>
  </conditionalFormatting>
  <conditionalFormatting sqref="E377:F377">
    <cfRule type="expression" dxfId="42" priority="28">
      <formula>IF(AND($E377= "done"),1,0)</formula>
    </cfRule>
  </conditionalFormatting>
  <conditionalFormatting sqref="G377:H377">
    <cfRule type="expression" dxfId="41" priority="26">
      <formula>IF($G377="done",1,0)</formula>
    </cfRule>
  </conditionalFormatting>
  <conditionalFormatting sqref="G377">
    <cfRule type="expression" dxfId="40" priority="27">
      <formula>IF($H377&lt;&gt;"",1,0)</formula>
    </cfRule>
  </conditionalFormatting>
  <conditionalFormatting sqref="I377:AF377">
    <cfRule type="expression" dxfId="39" priority="25">
      <formula>IF($I377="done",1,0)</formula>
    </cfRule>
  </conditionalFormatting>
  <conditionalFormatting sqref="AA377">
    <cfRule type="duplicateValues" dxfId="38" priority="24"/>
  </conditionalFormatting>
  <conditionalFormatting sqref="V377:W377">
    <cfRule type="containsText" dxfId="37" priority="22" operator="containsText" text="顧客識別寫入CI發生錯誤">
      <formula>NOT(ISERROR(SEARCH("顧客識別寫入CI發生錯誤",V377)))</formula>
    </cfRule>
    <cfRule type="cellIs" dxfId="36" priority="23" operator="equal">
      <formula>"發送異動通知電文，未回傳resultCode!!,回傳代碼描述:,錯誤訊息:[]"</formula>
    </cfRule>
  </conditionalFormatting>
  <conditionalFormatting sqref="V377:W377">
    <cfRule type="containsText" dxfId="35" priority="20" operator="containsText" text="顧客ID已停用">
      <formula>NOT(ISERROR(SEARCH("顧客ID已停用",V377)))</formula>
    </cfRule>
    <cfRule type="containsText" dxfId="34" priority="21" operator="containsText" text="agreeCrossSellingFlag">
      <formula>NOT(ISERROR(SEARCH("agreeCrossSellingFlag",V377)))</formula>
    </cfRule>
  </conditionalFormatting>
  <conditionalFormatting sqref="AC377">
    <cfRule type="cellIs" dxfId="33" priority="19" operator="equal">
      <formula>"ok resync to cip "</formula>
    </cfRule>
  </conditionalFormatting>
  <conditionalFormatting sqref="AA377">
    <cfRule type="duplicateValues" dxfId="32" priority="33"/>
  </conditionalFormatting>
  <conditionalFormatting sqref="AA377">
    <cfRule type="duplicateValues" dxfId="31" priority="18"/>
  </conditionalFormatting>
  <conditionalFormatting sqref="R378">
    <cfRule type="containsText" dxfId="30" priority="16" operator="containsText" text="MAIL">
      <formula>NOT(ISERROR(SEARCH("MAIL",R378)))</formula>
    </cfRule>
  </conditionalFormatting>
  <conditionalFormatting sqref="C378">
    <cfRule type="expression" dxfId="29" priority="15">
      <formula>IF(AND($D378&lt;&gt;"",$C378&lt;&gt;"done"),1,0)</formula>
    </cfRule>
  </conditionalFormatting>
  <conditionalFormatting sqref="C378:D378">
    <cfRule type="expression" dxfId="28" priority="14">
      <formula>IF($C378="done",1,0)</formula>
    </cfRule>
  </conditionalFormatting>
  <conditionalFormatting sqref="E378">
    <cfRule type="expression" dxfId="27" priority="13">
      <formula>IF(AND($F378&lt;&gt;"",$E378&lt;&gt;"done"),1,0)</formula>
    </cfRule>
  </conditionalFormatting>
  <conditionalFormatting sqref="E378:F378">
    <cfRule type="expression" dxfId="26" priority="12">
      <formula>IF(AND($E378= "done"),1,0)</formula>
    </cfRule>
  </conditionalFormatting>
  <conditionalFormatting sqref="G378:H378">
    <cfRule type="expression" dxfId="25" priority="10">
      <formula>IF($G378="done",1,0)</formula>
    </cfRule>
  </conditionalFormatting>
  <conditionalFormatting sqref="G378">
    <cfRule type="expression" dxfId="24" priority="11">
      <formula>IF($H378&lt;&gt;"",1,0)</formula>
    </cfRule>
  </conditionalFormatting>
  <conditionalFormatting sqref="I378:AF378">
    <cfRule type="expression" dxfId="23" priority="9">
      <formula>IF($I378="done",1,0)</formula>
    </cfRule>
  </conditionalFormatting>
  <conditionalFormatting sqref="AA378">
    <cfRule type="duplicateValues" dxfId="22" priority="8"/>
  </conditionalFormatting>
  <conditionalFormatting sqref="V378:W378">
    <cfRule type="containsText" dxfId="21" priority="6" operator="containsText" text="顧客識別寫入CI發生錯誤">
      <formula>NOT(ISERROR(SEARCH("顧客識別寫入CI發生錯誤",V378)))</formula>
    </cfRule>
    <cfRule type="cellIs" dxfId="20" priority="7" operator="equal">
      <formula>"發送異動通知電文，未回傳resultCode!!,回傳代碼描述:,錯誤訊息:[]"</formula>
    </cfRule>
  </conditionalFormatting>
  <conditionalFormatting sqref="V378:W378">
    <cfRule type="containsText" dxfId="19" priority="4" operator="containsText" text="顧客ID已停用">
      <formula>NOT(ISERROR(SEARCH("顧客ID已停用",V378)))</formula>
    </cfRule>
    <cfRule type="containsText" dxfId="18" priority="5" operator="containsText" text="agreeCrossSellingFlag">
      <formula>NOT(ISERROR(SEARCH("agreeCrossSellingFlag",V378)))</formula>
    </cfRule>
  </conditionalFormatting>
  <conditionalFormatting sqref="AC378">
    <cfRule type="cellIs" dxfId="17" priority="3" operator="equal">
      <formula>"ok resync to cip "</formula>
    </cfRule>
  </conditionalFormatting>
  <conditionalFormatting sqref="AA378">
    <cfRule type="duplicateValues" dxfId="16" priority="17"/>
  </conditionalFormatting>
  <conditionalFormatting sqref="AA378">
    <cfRule type="duplicateValues" dxfId="15" priority="2"/>
  </conditionalFormatting>
  <conditionalFormatting sqref="AA1:AA1048576">
    <cfRule type="duplicateValues" dxfId="14" priority="1"/>
  </conditionalFormatting>
  <hyperlinks>
    <hyperlink ref="D32" r:id="rId1"/>
    <hyperlink ref="D31" r:id="rId2"/>
    <hyperlink ref="D37" r:id="rId3"/>
    <hyperlink ref="D36" r:id="rId4"/>
    <hyperlink ref="D30" r:id="rId5"/>
    <hyperlink ref="D29" r:id="rId6"/>
    <hyperlink ref="D38" r:id="rId7"/>
    <hyperlink ref="D40" r:id="rId8"/>
    <hyperlink ref="D39" r:id="rId9"/>
    <hyperlink ref="D24" r:id="rId10"/>
    <hyperlink ref="D25" r:id="rId11"/>
    <hyperlink ref="D26" r:id="rId12"/>
    <hyperlink ref="D27" r:id="rId13"/>
    <hyperlink ref="D5" r:id="rId14"/>
    <hyperlink ref="H38" r:id="rId15"/>
    <hyperlink ref="H40" r:id="rId16"/>
    <hyperlink ref="F38" r:id="rId17"/>
    <hyperlink ref="F40" r:id="rId18"/>
    <hyperlink ref="F37" r:id="rId19"/>
    <hyperlink ref="H37" r:id="rId20"/>
    <hyperlink ref="H41" r:id="rId21"/>
    <hyperlink ref="F41" r:id="rId22"/>
    <hyperlink ref="D41" r:id="rId23"/>
    <hyperlink ref="F39" r:id="rId24"/>
    <hyperlink ref="F45" r:id="rId25"/>
    <hyperlink ref="D45" r:id="rId26"/>
    <hyperlink ref="D46" r:id="rId27"/>
    <hyperlink ref="D47" r:id="rId28"/>
    <hyperlink ref="D48" r:id="rId29"/>
    <hyperlink ref="D49" r:id="rId30"/>
    <hyperlink ref="F47" r:id="rId31"/>
    <hyperlink ref="F48" r:id="rId32"/>
    <hyperlink ref="F49" r:id="rId33"/>
    <hyperlink ref="D51" r:id="rId34"/>
    <hyperlink ref="D52" r:id="rId35"/>
    <hyperlink ref="F52" r:id="rId36"/>
    <hyperlink ref="D50" r:id="rId37"/>
    <hyperlink ref="F50" r:id="rId38"/>
    <hyperlink ref="D53" r:id="rId39"/>
    <hyperlink ref="D55" r:id="rId40"/>
    <hyperlink ref="H51" r:id="rId41"/>
    <hyperlink ref="H54" r:id="rId42"/>
    <hyperlink ref="F51" r:id="rId43"/>
    <hyperlink ref="F54" r:id="rId44"/>
    <hyperlink ref="D54" r:id="rId45"/>
    <hyperlink ref="D57" r:id="rId46"/>
    <hyperlink ref="D56" r:id="rId47"/>
    <hyperlink ref="F57" r:id="rId48"/>
    <hyperlink ref="F61" r:id="rId49"/>
    <hyperlink ref="F60" r:id="rId50"/>
    <hyperlink ref="D58" r:id="rId51"/>
    <hyperlink ref="D59" r:id="rId52"/>
    <hyperlink ref="D60" r:id="rId53"/>
    <hyperlink ref="D61" r:id="rId54"/>
    <hyperlink ref="D62" r:id="rId55"/>
    <hyperlink ref="F58" r:id="rId56"/>
    <hyperlink ref="F59" r:id="rId57"/>
    <hyperlink ref="F53" r:id="rId58"/>
    <hyperlink ref="F55" r:id="rId59"/>
    <hyperlink ref="C60" r:id="rId60" display="EM10911152"/>
    <hyperlink ref="D68" r:id="rId61"/>
    <hyperlink ref="D69" r:id="rId62"/>
    <hyperlink ref="D70" r:id="rId63"/>
    <hyperlink ref="F56" r:id="rId64"/>
    <hyperlink ref="F70" r:id="rId65"/>
    <hyperlink ref="H67" r:id="rId66"/>
    <hyperlink ref="D71" r:id="rId67"/>
    <hyperlink ref="T72" r:id="rId68"/>
    <hyperlink ref="D65" r:id="rId69"/>
    <hyperlink ref="F65" r:id="rId70"/>
    <hyperlink ref="F66" r:id="rId71"/>
    <hyperlink ref="F71" r:id="rId72"/>
    <hyperlink ref="F72" r:id="rId73"/>
    <hyperlink ref="F73" r:id="rId74"/>
    <hyperlink ref="F74" r:id="rId75"/>
    <hyperlink ref="F75" r:id="rId76"/>
    <hyperlink ref="D73" r:id="rId77"/>
    <hyperlink ref="D74" r:id="rId78"/>
    <hyperlink ref="D75" r:id="rId79"/>
    <hyperlink ref="F68" r:id="rId80"/>
    <hyperlink ref="D67" r:id="rId81"/>
    <hyperlink ref="H76" r:id="rId82"/>
    <hyperlink ref="F76" r:id="rId83"/>
    <hyperlink ref="D82" r:id="rId84"/>
    <hyperlink ref="D83" r:id="rId85"/>
    <hyperlink ref="F84" r:id="rId86"/>
    <hyperlink ref="D84" r:id="rId87"/>
    <hyperlink ref="D90" r:id="rId88"/>
    <hyperlink ref="F91" r:id="rId89"/>
    <hyperlink ref="D91" r:id="rId90"/>
    <hyperlink ref="D92" r:id="rId91"/>
    <hyperlink ref="F92" r:id="rId92"/>
    <hyperlink ref="D93" r:id="rId93"/>
    <hyperlink ref="F93" r:id="rId94"/>
    <hyperlink ref="F94" r:id="rId95"/>
    <hyperlink ref="D94" r:id="rId96"/>
    <hyperlink ref="D95" r:id="rId97"/>
    <hyperlink ref="H96" r:id="rId98"/>
    <hyperlink ref="F96" r:id="rId99"/>
    <hyperlink ref="D88" r:id="rId100"/>
    <hyperlink ref="D89" r:id="rId101"/>
    <hyperlink ref="H97" r:id="rId102"/>
    <hyperlink ref="H98" r:id="rId103"/>
    <hyperlink ref="F98" r:id="rId104"/>
    <hyperlink ref="D98" r:id="rId105"/>
    <hyperlink ref="D97" r:id="rId106"/>
    <hyperlink ref="D100" r:id="rId107"/>
    <hyperlink ref="H101" r:id="rId108"/>
    <hyperlink ref="F100" r:id="rId109"/>
    <hyperlink ref="D103" r:id="rId110"/>
    <hyperlink ref="F103" r:id="rId111"/>
    <hyperlink ref="H102" r:id="rId112"/>
    <hyperlink ref="F102" r:id="rId113"/>
    <hyperlink ref="D102" r:id="rId114"/>
    <hyperlink ref="H104" r:id="rId115"/>
    <hyperlink ref="F104" r:id="rId116"/>
    <hyperlink ref="D104" r:id="rId117"/>
    <hyperlink ref="D105" r:id="rId118"/>
    <hyperlink ref="D110" r:id="rId119"/>
    <hyperlink ref="D111" r:id="rId120"/>
    <hyperlink ref="D112" r:id="rId121"/>
    <hyperlink ref="D114" r:id="rId122"/>
    <hyperlink ref="D121" r:id="rId123"/>
    <hyperlink ref="D122" r:id="rId124"/>
    <hyperlink ref="G120" r:id="rId125"/>
    <hyperlink ref="G121" r:id="rId126"/>
    <hyperlink ref="D124" r:id="rId127"/>
    <hyperlink ref="D123" r:id="rId128"/>
    <hyperlink ref="D120" r:id="rId129"/>
    <hyperlink ref="G125" r:id="rId130"/>
    <hyperlink ref="D125" r:id="rId131"/>
    <hyperlink ref="D127" r:id="rId132"/>
    <hyperlink ref="D128" r:id="rId133"/>
    <hyperlink ref="F125" r:id="rId134"/>
    <hyperlink ref="D126" r:id="rId135"/>
    <hyperlink ref="F126" r:id="rId136"/>
    <hyperlink ref="D130" r:id="rId137"/>
    <hyperlink ref="D129" r:id="rId138"/>
    <hyperlink ref="G129" r:id="rId139"/>
    <hyperlink ref="G130" r:id="rId140"/>
    <hyperlink ref="D131" r:id="rId141"/>
    <hyperlink ref="D132" r:id="rId142"/>
    <hyperlink ref="F129" r:id="rId143"/>
    <hyperlink ref="F130" r:id="rId144"/>
    <hyperlink ref="D133" r:id="rId145"/>
    <hyperlink ref="F133" r:id="rId146"/>
    <hyperlink ref="D134" r:id="rId147"/>
    <hyperlink ref="F132" r:id="rId148"/>
    <hyperlink ref="D168" r:id="rId149"/>
    <hyperlink ref="D167" r:id="rId150"/>
    <hyperlink ref="F168" r:id="rId151"/>
    <hyperlink ref="D169" r:id="rId152"/>
    <hyperlink ref="H167" r:id="rId153"/>
    <hyperlink ref="D171" r:id="rId154"/>
    <hyperlink ref="H171" r:id="rId155"/>
    <hyperlink ref="F167" r:id="rId156"/>
    <hyperlink ref="F171" r:id="rId157"/>
    <hyperlink ref="D172" r:id="rId158"/>
    <hyperlink ref="D173" r:id="rId159"/>
    <hyperlink ref="F173" r:id="rId160"/>
    <hyperlink ref="D175" r:id="rId161"/>
    <hyperlink ref="H174" r:id="rId162"/>
    <hyperlink ref="D176" r:id="rId163"/>
    <hyperlink ref="F174" r:id="rId164"/>
    <hyperlink ref="F176" r:id="rId165"/>
    <hyperlink ref="F177" r:id="rId166"/>
    <hyperlink ref="F178" r:id="rId167"/>
    <hyperlink ref="F179" r:id="rId168"/>
    <hyperlink ref="F180" r:id="rId169"/>
    <hyperlink ref="F181" r:id="rId170"/>
    <hyperlink ref="F182" r:id="rId171"/>
    <hyperlink ref="F183" r:id="rId172"/>
    <hyperlink ref="F184" r:id="rId173"/>
    <hyperlink ref="F185" r:id="rId174"/>
    <hyperlink ref="F186" r:id="rId175"/>
    <hyperlink ref="D187" r:id="rId176"/>
    <hyperlink ref="D188" r:id="rId177"/>
    <hyperlink ref="F188" r:id="rId178" display="https://oadof.esunbank.com.tw/FormView/SystemChange?FormID=SC2021071200015&amp;Token=ZJYd2XYEEhtFku4GZWvfsJJtftbawnL6"/>
    <hyperlink ref="F187" r:id="rId179"/>
    <hyperlink ref="D189" r:id="rId180"/>
    <hyperlink ref="F175" r:id="rId181"/>
    <hyperlink ref="D190" r:id="rId182"/>
    <hyperlink ref="F190" r:id="rId183"/>
    <hyperlink ref="F189" r:id="rId184" display="SC2021071200096"/>
    <hyperlink ref="D174" r:id="rId185"/>
    <hyperlink ref="D191" r:id="rId186"/>
    <hyperlink ref="D192" r:id="rId187"/>
    <hyperlink ref="F192" r:id="rId188"/>
    <hyperlink ref="D193" r:id="rId189"/>
    <hyperlink ref="F191" r:id="rId190"/>
    <hyperlink ref="D194" r:id="rId191"/>
    <hyperlink ref="F194" r:id="rId192"/>
    <hyperlink ref="D196" r:id="rId193"/>
    <hyperlink ref="D198" r:id="rId194"/>
    <hyperlink ref="F198" r:id="rId195"/>
    <hyperlink ref="D199" r:id="rId196"/>
    <hyperlink ref="F199" r:id="rId197"/>
    <hyperlink ref="D200" r:id="rId198"/>
    <hyperlink ref="D201" r:id="rId199"/>
    <hyperlink ref="D202" r:id="rId200"/>
    <hyperlink ref="D203" r:id="rId201"/>
    <hyperlink ref="D204" r:id="rId202"/>
    <hyperlink ref="D205" r:id="rId203"/>
    <hyperlink ref="D197" r:id="rId204"/>
    <hyperlink ref="F197" r:id="rId205"/>
    <hyperlink ref="D206" r:id="rId206"/>
    <hyperlink ref="F206" r:id="rId207"/>
    <hyperlink ref="D207" r:id="rId208"/>
    <hyperlink ref="D208" r:id="rId209"/>
    <hyperlink ref="F207" r:id="rId210" display="https://oadof.esunbank.com.tw/FormView/SystemChange?FormID=SC2021081300023&amp;Token=ZcncdrC722GmGtjBk3YaHnyytwLhgw4k"/>
    <hyperlink ref="F208" r:id="rId211" display="https://oadof.esunbank.com.tw/FormView/SystemChange?FormID=SC2021081300023&amp;Token=ZcncdrC722GmGtjBk3YaHnyytwLhgw4k"/>
    <hyperlink ref="D209" r:id="rId212"/>
    <hyperlink ref="D210" r:id="rId213"/>
    <hyperlink ref="F209" r:id="rId214"/>
    <hyperlink ref="F210" r:id="rId215"/>
    <hyperlink ref="D211" r:id="rId216"/>
    <hyperlink ref="F200" r:id="rId217"/>
    <hyperlink ref="F201" r:id="rId218"/>
    <hyperlink ref="F202" r:id="rId219"/>
    <hyperlink ref="F203" r:id="rId220"/>
    <hyperlink ref="F204" r:id="rId221"/>
    <hyperlink ref="F196" r:id="rId222"/>
    <hyperlink ref="D212" r:id="rId223"/>
    <hyperlink ref="D213" r:id="rId224"/>
    <hyperlink ref="D214" r:id="rId225"/>
    <hyperlink ref="D215" r:id="rId226"/>
    <hyperlink ref="D216" r:id="rId227"/>
    <hyperlink ref="D217" r:id="rId228"/>
    <hyperlink ref="D218" r:id="rId229"/>
    <hyperlink ref="F214" r:id="rId230"/>
    <hyperlink ref="F215" r:id="rId231"/>
    <hyperlink ref="F216" r:id="rId232"/>
    <hyperlink ref="F217" r:id="rId233"/>
    <hyperlink ref="F218" r:id="rId234"/>
    <hyperlink ref="D219" r:id="rId235"/>
    <hyperlink ref="D221" r:id="rId236"/>
    <hyperlink ref="D220" r:id="rId237"/>
    <hyperlink ref="D222" r:id="rId238"/>
    <hyperlink ref="D223" r:id="rId239"/>
    <hyperlink ref="D224" r:id="rId240"/>
    <hyperlink ref="D225" r:id="rId241"/>
    <hyperlink ref="D226" r:id="rId242"/>
    <hyperlink ref="D227" r:id="rId243"/>
    <hyperlink ref="D228" r:id="rId244"/>
    <hyperlink ref="D229" r:id="rId245"/>
    <hyperlink ref="D230" r:id="rId246"/>
    <hyperlink ref="D231" r:id="rId247"/>
    <hyperlink ref="D232" r:id="rId248"/>
    <hyperlink ref="D243" r:id="rId249"/>
    <hyperlink ref="F243" r:id="rId250"/>
    <hyperlink ref="D244" r:id="rId251"/>
    <hyperlink ref="D246" r:id="rId252"/>
    <hyperlink ref="D245" r:id="rId253"/>
    <hyperlink ref="D247" r:id="rId254"/>
    <hyperlink ref="D274" r:id="rId255"/>
    <hyperlink ref="D275" r:id="rId256"/>
    <hyperlink ref="D276" r:id="rId257"/>
    <hyperlink ref="C279" r:id="rId258" display="EM11006891"/>
    <hyperlink ref="C280" r:id="rId259" display="EM11006891"/>
    <hyperlink ref="C281" r:id="rId260" display="EM11006891"/>
    <hyperlink ref="C282" r:id="rId261" display="EM11006891"/>
    <hyperlink ref="C283" r:id="rId262" display="EM11006891"/>
    <hyperlink ref="D279" r:id="rId263"/>
    <hyperlink ref="D280" r:id="rId264"/>
    <hyperlink ref="D281" r:id="rId265"/>
    <hyperlink ref="D282" r:id="rId266"/>
    <hyperlink ref="D283" r:id="rId267"/>
    <hyperlink ref="D284" r:id="rId268"/>
    <hyperlink ref="D285" r:id="rId269"/>
    <hyperlink ref="D286" r:id="rId270"/>
    <hyperlink ref="D287" r:id="rId271"/>
    <hyperlink ref="F286" r:id="rId272"/>
    <hyperlink ref="D288" r:id="rId273"/>
    <hyperlink ref="D289" r:id="rId274"/>
    <hyperlink ref="D290" r:id="rId275"/>
    <hyperlink ref="F290" r:id="rId276"/>
    <hyperlink ref="F288" r:id="rId277"/>
    <hyperlink ref="D292" r:id="rId278"/>
    <hyperlink ref="D291" r:id="rId279"/>
    <hyperlink ref="D294" r:id="rId280"/>
    <hyperlink ref="D295" r:id="rId281"/>
    <hyperlink ref="D296" r:id="rId282" display="EM11008074"/>
    <hyperlink ref="D297" r:id="rId283" display="EM11008074"/>
    <hyperlink ref="D298" r:id="rId284" display="EM11008074"/>
    <hyperlink ref="D338" r:id="rId285"/>
    <hyperlink ref="D340" r:id="rId286"/>
    <hyperlink ref="D339" r:id="rId287"/>
    <hyperlink ref="F340" r:id="rId288"/>
    <hyperlink ref="F338" r:id="rId289" display="https://oadof.esunbank.com.tw/FormView/SystemChange?FormID=SC2021110900098&amp;Token=SYEK7jjGWif7SbYcmJkAHhczJuqntWdn"/>
    <hyperlink ref="F339" r:id="rId290" display="https://oadof.esunbank.com.tw/FormView/SystemChange?FormID=SC2021110900098&amp;Token=SYEK7jjGWif7SbYcmJkAHhczJuqntWdn"/>
    <hyperlink ref="D341" r:id="rId291"/>
    <hyperlink ref="D344" r:id="rId292"/>
    <hyperlink ref="D342" r:id="rId293" display="EM11008629"/>
    <hyperlink ref="D343" r:id="rId294" display="EM11008629"/>
    <hyperlink ref="F342" r:id="rId295"/>
    <hyperlink ref="F343" r:id="rId296"/>
    <hyperlink ref="D299" r:id="rId297"/>
    <hyperlink ref="F299" r:id="rId298"/>
    <hyperlink ref="D293" r:id="rId299"/>
    <hyperlink ref="D345" r:id="rId300"/>
    <hyperlink ref="D346" r:id="rId301"/>
    <hyperlink ref="D347" r:id="rId302"/>
    <hyperlink ref="D348" r:id="rId303"/>
    <hyperlink ref="D351" r:id="rId304"/>
    <hyperlink ref="F350" r:id="rId305"/>
    <hyperlink ref="F349" r:id="rId306"/>
    <hyperlink ref="D361" r:id="rId307" display="https://oadof.esunbank.com.tw/FormView/EventManagement?FormId=EM2022011700027"/>
    <hyperlink ref="F361" r:id="rId308" display="https://oadof.esunbank.com.tw/FormView/SystemChange?FormId=SC2022011800103"/>
    <hyperlink ref="D375" r:id="rId309" display="https://oadof.esunbank.com.tw/FormView/EventManagement?FormID=EM2022011900024&amp;Token="/>
    <hyperlink ref="F375" r:id="rId310" display="https://oadof.esunbank.com.tw/FormView/SystemChange?FormId=SC2022012100028"/>
    <hyperlink ref="D377" r:id="rId311" display="https://oadof.esunbank.com.tw/FormView/EventManagement?FormId=EM2022012800013"/>
    <hyperlink ref="F377" r:id="rId312" display="https://oadof.esunbank.com.tw/FormView/SystemChange?FormId=SC2022012800032"/>
    <hyperlink ref="F378" r:id="rId313" display="https://oadof.esunbank.com.tw/FormView/SystemChange?FormId=SC2022020800050"/>
  </hyperlinks>
  <pageMargins left="0.7" right="0.7" top="0.75" bottom="0.75" header="0.3" footer="0.3"/>
  <pageSetup paperSize="9" orientation="portrait" r:id="rId314"/>
  <drawing r:id="rId315"/>
  <legacyDrawing r:id="rId3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17" name="Button 1">
              <controlPr defaultSize="0" print="0" autoFill="0" autoPict="0" macro="[0]!Mail_Selection_Range_Outlook_Body">
                <anchor moveWithCells="1" siz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0</xdr:col>
                    <xdr:colOff>1952625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18" name="Button 75">
              <controlPr defaultSize="0" print="0" autoFill="0" autoPict="0" macro="[0]!gen_sql_by_row">
                <anchor moveWithCells="1" sizeWithCells="1">
                  <from>
                    <xdr:col>1</xdr:col>
                    <xdr:colOff>295275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19" name="Button 109">
              <controlPr defaultSize="0" print="0" autoFill="0" autoPict="0" macro="[0]!DeleteFile">
                <anchor moveWithCells="1" sizeWithCells="1">
                  <from>
                    <xdr:col>2</xdr:col>
                    <xdr:colOff>9525</xdr:colOff>
                    <xdr:row>0</xdr:row>
                    <xdr:rowOff>85725</xdr:rowOff>
                  </from>
                  <to>
                    <xdr:col>2</xdr:col>
                    <xdr:colOff>1695450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mailMemberList!$A$2:$A$3</xm:f>
          </x14:formula1>
          <xm:sqref>Q5:Q93</xm:sqref>
        </x14:dataValidation>
        <x14:dataValidation type="list" allowBlank="1" showInputMessage="1" showErrorMessage="1">
          <x14:formula1>
            <xm:f>para!$A$4:$A$5</xm:f>
          </x14:formula1>
          <xm:sqref>L5:L195</xm:sqref>
        </x14:dataValidation>
        <x14:dataValidation type="list" allowBlank="1" showInputMessage="1" showErrorMessage="1">
          <x14:formula1>
            <xm:f>para!$A$4:$A$6</xm:f>
          </x14:formula1>
          <xm:sqref>L196:L290 L292:L293 L295:L742</xm:sqref>
        </x14:dataValidation>
        <x14:dataValidation type="list" allowBlank="1" showInputMessage="1" showErrorMessage="1">
          <x14:formula1>
            <xm:f>para!$A$4:$A$7</xm:f>
          </x14:formula1>
          <xm:sqref>L294 L291</xm:sqref>
        </x14:dataValidation>
        <x14:dataValidation type="list" allowBlank="1" showInputMessage="1" showErrorMessage="1">
          <x14:formula1>
            <xm:f>mailMemberList!$A$2:$A$4</xm:f>
          </x14:formula1>
          <xm:sqref>Q94:Q742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B1:C4"/>
  <sheetViews>
    <sheetView showGridLines="0" workbookViewId="0">
      <selection activeCell="B3" sqref="B3"/>
    </sheetView>
  </sheetViews>
  <sheetFormatPr defaultRowHeight="16.5" x14ac:dyDescent="0.25"/>
  <cols>
    <col min="2" max="2" width="15" style="46" bestFit="1" customWidth="1"/>
    <col min="3" max="3" width="9.5" bestFit="1" customWidth="1"/>
  </cols>
  <sheetData>
    <row r="1" spans="2:3" x14ac:dyDescent="0.25">
      <c r="B1" s="59" t="s">
        <v>3600</v>
      </c>
      <c r="C1" s="60"/>
    </row>
    <row r="2" spans="2:3" x14ac:dyDescent="0.25">
      <c r="B2" s="61"/>
      <c r="C2" s="60"/>
    </row>
    <row r="3" spans="2:3" x14ac:dyDescent="0.25">
      <c r="B3" s="62">
        <f ca="1">NOW()</f>
        <v>44610.376349768521</v>
      </c>
      <c r="C3" s="62">
        <f ca="1">B3+3600/86400</f>
        <v>44610.418016435186</v>
      </c>
    </row>
    <row r="4" spans="2:3" x14ac:dyDescent="0.25">
      <c r="B4" s="61"/>
      <c r="C4" s="60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pply_cyb_from">
                <anchor moveWithCells="1" sizeWithCells="1">
                  <from>
                    <xdr:col>1</xdr:col>
                    <xdr:colOff>428625</xdr:colOff>
                    <xdr:row>6</xdr:row>
                    <xdr:rowOff>104775</xdr:rowOff>
                  </from>
                  <to>
                    <xdr:col>3</xdr:col>
                    <xdr:colOff>200025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pply_cyb_end">
                <anchor moveWithCells="1" sizeWithCells="1">
                  <from>
                    <xdr:col>5</xdr:col>
                    <xdr:colOff>133350</xdr:colOff>
                    <xdr:row>6</xdr:row>
                    <xdr:rowOff>142875</xdr:rowOff>
                  </from>
                  <to>
                    <xdr:col>7</xdr:col>
                    <xdr:colOff>390525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218"/>
  <sheetViews>
    <sheetView topLeftCell="A116" workbookViewId="0">
      <selection activeCell="H135" sqref="H135"/>
    </sheetView>
  </sheetViews>
  <sheetFormatPr defaultRowHeight="16.5" x14ac:dyDescent="0.25"/>
  <sheetData>
    <row r="1" spans="1:1" x14ac:dyDescent="0.25">
      <c r="A1" t="e">
        <f>--check issue</f>
        <v>#NAME?</v>
      </c>
    </row>
    <row r="2" spans="1:1" x14ac:dyDescent="0.25">
      <c r="A2" t="s">
        <v>3753</v>
      </c>
    </row>
    <row r="3" spans="1:1" x14ac:dyDescent="0.25">
      <c r="A3" t="s">
        <v>2021</v>
      </c>
    </row>
    <row r="8" spans="1:1" x14ac:dyDescent="0.25">
      <c r="A8" t="e">
        <f>--STG1/STG2</f>
        <v>#DIV/0!</v>
      </c>
    </row>
    <row r="9" spans="1:1" x14ac:dyDescent="0.25">
      <c r="A9" t="s">
        <v>2022</v>
      </c>
    </row>
    <row r="10" spans="1:1" x14ac:dyDescent="0.25">
      <c r="A10" t="s">
        <v>2023</v>
      </c>
    </row>
    <row r="11" spans="1:1" x14ac:dyDescent="0.25">
      <c r="A11" t="s">
        <v>2024</v>
      </c>
    </row>
    <row r="12" spans="1:1" x14ac:dyDescent="0.25">
      <c r="A12" t="s">
        <v>2025</v>
      </c>
    </row>
    <row r="13" spans="1:1" x14ac:dyDescent="0.25">
      <c r="A13" t="s">
        <v>2026</v>
      </c>
    </row>
    <row r="14" spans="1:1" x14ac:dyDescent="0.25">
      <c r="A14" t="s">
        <v>2028</v>
      </c>
    </row>
    <row r="15" spans="1:1" x14ac:dyDescent="0.25">
      <c r="A15" t="s">
        <v>2032</v>
      </c>
    </row>
    <row r="16" spans="1:1" x14ac:dyDescent="0.25">
      <c r="A16" t="s">
        <v>2033</v>
      </c>
    </row>
    <row r="17" spans="1:1" x14ac:dyDescent="0.25">
      <c r="A17" t="s">
        <v>2027</v>
      </c>
    </row>
    <row r="19" spans="1:1" x14ac:dyDescent="0.25">
      <c r="A19" t="s">
        <v>2029</v>
      </c>
    </row>
    <row r="20" spans="1:1" x14ac:dyDescent="0.25">
      <c r="A20" t="s">
        <v>2030</v>
      </c>
    </row>
    <row r="21" spans="1:1" x14ac:dyDescent="0.25">
      <c r="A21" t="s">
        <v>2031</v>
      </c>
    </row>
    <row r="23" spans="1:1" x14ac:dyDescent="0.25">
      <c r="A23" t="s">
        <v>2034</v>
      </c>
    </row>
    <row r="24" spans="1:1" x14ac:dyDescent="0.25">
      <c r="A24" t="s">
        <v>2035</v>
      </c>
    </row>
    <row r="25" spans="1:1" x14ac:dyDescent="0.25">
      <c r="A25" t="s">
        <v>2036</v>
      </c>
    </row>
    <row r="26" spans="1:1" x14ac:dyDescent="0.25">
      <c r="A26" t="s">
        <v>2037</v>
      </c>
    </row>
    <row r="27" spans="1:1" x14ac:dyDescent="0.25">
      <c r="A27" t="s">
        <v>2038</v>
      </c>
    </row>
    <row r="28" spans="1:1" x14ac:dyDescent="0.25">
      <c r="A28" t="s">
        <v>2039</v>
      </c>
    </row>
    <row r="29" spans="1:1" x14ac:dyDescent="0.25">
      <c r="A29" t="s">
        <v>3754</v>
      </c>
    </row>
    <row r="30" spans="1:1" x14ac:dyDescent="0.25">
      <c r="A30" t="s">
        <v>2040</v>
      </c>
    </row>
    <row r="31" spans="1:1" x14ac:dyDescent="0.25">
      <c r="A31" t="s">
        <v>2041</v>
      </c>
    </row>
    <row r="32" spans="1:1" x14ac:dyDescent="0.25">
      <c r="A32" t="s">
        <v>2042</v>
      </c>
    </row>
    <row r="33" spans="1:1" x14ac:dyDescent="0.25">
      <c r="A33" t="s">
        <v>2028</v>
      </c>
    </row>
    <row r="34" spans="1:1" x14ac:dyDescent="0.25">
      <c r="A34" t="s">
        <v>2043</v>
      </c>
    </row>
    <row r="35" spans="1:1" x14ac:dyDescent="0.25">
      <c r="A35" t="s">
        <v>2044</v>
      </c>
    </row>
    <row r="36" spans="1:1" x14ac:dyDescent="0.25">
      <c r="A36" t="s">
        <v>2045</v>
      </c>
    </row>
    <row r="37" spans="1:1" x14ac:dyDescent="0.25">
      <c r="A37" t="s">
        <v>2046</v>
      </c>
    </row>
    <row r="38" spans="1:1" x14ac:dyDescent="0.25">
      <c r="A38" t="s">
        <v>2047</v>
      </c>
    </row>
    <row r="39" spans="1:1" x14ac:dyDescent="0.25">
      <c r="A39" t="s">
        <v>2048</v>
      </c>
    </row>
    <row r="41" spans="1:1" x14ac:dyDescent="0.25">
      <c r="A41" t="s">
        <v>2049</v>
      </c>
    </row>
    <row r="42" spans="1:1" x14ac:dyDescent="0.25">
      <c r="A42" t="s">
        <v>2050</v>
      </c>
    </row>
    <row r="43" spans="1:1" x14ac:dyDescent="0.25">
      <c r="A43" t="e">
        <f>--cli.req_content</f>
        <v>#NAME?</v>
      </c>
    </row>
    <row r="44" spans="1:1" x14ac:dyDescent="0.25">
      <c r="A44" t="s">
        <v>2051</v>
      </c>
    </row>
    <row r="45" spans="1:1" x14ac:dyDescent="0.25">
      <c r="A45" t="s">
        <v>2052</v>
      </c>
    </row>
    <row r="46" spans="1:1" x14ac:dyDescent="0.25">
      <c r="A46" t="s">
        <v>2053</v>
      </c>
    </row>
    <row r="47" spans="1:1" x14ac:dyDescent="0.25">
      <c r="A47" t="s">
        <v>2054</v>
      </c>
    </row>
    <row r="48" spans="1:1" x14ac:dyDescent="0.25">
      <c r="A48" t="s">
        <v>2055</v>
      </c>
    </row>
    <row r="49" spans="1:1" x14ac:dyDescent="0.25">
      <c r="A49" t="s">
        <v>2056</v>
      </c>
    </row>
    <row r="50" spans="1:1" x14ac:dyDescent="0.25">
      <c r="A50" t="s">
        <v>2057</v>
      </c>
    </row>
    <row r="51" spans="1:1" x14ac:dyDescent="0.25">
      <c r="A51" t="s">
        <v>2058</v>
      </c>
    </row>
    <row r="52" spans="1:1" x14ac:dyDescent="0.25">
      <c r="A52" t="s">
        <v>2059</v>
      </c>
    </row>
    <row r="53" spans="1:1" x14ac:dyDescent="0.25">
      <c r="A53" t="s">
        <v>2060</v>
      </c>
    </row>
    <row r="54" spans="1:1" x14ac:dyDescent="0.25">
      <c r="A54" t="s">
        <v>2061</v>
      </c>
    </row>
    <row r="55" spans="1:1" x14ac:dyDescent="0.25">
      <c r="A55" t="s">
        <v>2062</v>
      </c>
    </row>
    <row r="56" spans="1:1" x14ac:dyDescent="0.25">
      <c r="A56" t="e">
        <f>--LEFT JOIN CIFX.TB_PUSH_MQ_NOTICE PMN ON PMN.SERVICE_INTERCHANGE_ID = CLI.from_service_Interchange_id</f>
        <v>#NAME?</v>
      </c>
    </row>
    <row r="57" spans="1:1" x14ac:dyDescent="0.25">
      <c r="A57" t="e">
        <f>--LEFT JOIN CIFX.TB_PUSH_EXECUTION_CONTROL PEC ON PEC.SERVICE_INTERCHANGE_ID = CLI.from_service_Interchange_id</f>
        <v>#NAME?</v>
      </c>
    </row>
    <row r="58" spans="1:1" x14ac:dyDescent="0.25">
      <c r="A58" t="s">
        <v>2063</v>
      </c>
    </row>
    <row r="59" spans="1:1" x14ac:dyDescent="0.25">
      <c r="A59" t="s">
        <v>2064</v>
      </c>
    </row>
    <row r="60" spans="1:1" x14ac:dyDescent="0.25">
      <c r="A60" t="s">
        <v>2065</v>
      </c>
    </row>
    <row r="61" spans="1:1" x14ac:dyDescent="0.25">
      <c r="A61" t="s">
        <v>2066</v>
      </c>
    </row>
    <row r="62" spans="1:1" x14ac:dyDescent="0.25">
      <c r="A62" t="s">
        <v>2067</v>
      </c>
    </row>
    <row r="63" spans="1:1" x14ac:dyDescent="0.25">
      <c r="A63" t="s">
        <v>3755</v>
      </c>
    </row>
    <row r="64" spans="1:1" x14ac:dyDescent="0.25">
      <c r="A64" t="s">
        <v>2068</v>
      </c>
    </row>
    <row r="65" spans="1:1" x14ac:dyDescent="0.25">
      <c r="A65" t="s">
        <v>2069</v>
      </c>
    </row>
    <row r="68" spans="1:1" x14ac:dyDescent="0.25">
      <c r="A68" t="e">
        <f>--檢查該顧客後續同步任務中,是否有改號交易</f>
        <v>#NAME?</v>
      </c>
    </row>
    <row r="69" spans="1:1" x14ac:dyDescent="0.25">
      <c r="A69" t="s">
        <v>3756</v>
      </c>
    </row>
    <row r="70" spans="1:1" x14ac:dyDescent="0.25">
      <c r="A70" t="s">
        <v>3757</v>
      </c>
    </row>
    <row r="71" spans="1:1" x14ac:dyDescent="0.25">
      <c r="A71" t="s">
        <v>3758</v>
      </c>
    </row>
    <row r="72" spans="1:1" x14ac:dyDescent="0.25">
      <c r="A72" t="s">
        <v>2072</v>
      </c>
    </row>
    <row r="73" spans="1:1" x14ac:dyDescent="0.25">
      <c r="A73" t="s">
        <v>2069</v>
      </c>
    </row>
    <row r="76" spans="1:1" x14ac:dyDescent="0.25">
      <c r="A76" t="e">
        <f>--同步任務歷史</f>
        <v>#NAME?</v>
      </c>
    </row>
    <row r="77" spans="1:1" x14ac:dyDescent="0.25">
      <c r="A77" t="s">
        <v>2070</v>
      </c>
    </row>
    <row r="78" spans="1:1" x14ac:dyDescent="0.25">
      <c r="A78" t="s">
        <v>2071</v>
      </c>
    </row>
    <row r="79" spans="1:1" x14ac:dyDescent="0.25">
      <c r="A79" t="s">
        <v>2072</v>
      </c>
    </row>
    <row r="80" spans="1:1" x14ac:dyDescent="0.25">
      <c r="A80" t="s">
        <v>2069</v>
      </c>
    </row>
    <row r="83" spans="1:1" x14ac:dyDescent="0.25">
      <c r="A83" t="s">
        <v>2073</v>
      </c>
    </row>
    <row r="84" spans="1:1" x14ac:dyDescent="0.25">
      <c r="A84" t="s">
        <v>2074</v>
      </c>
    </row>
    <row r="88" spans="1:1" x14ac:dyDescent="0.25">
      <c r="A88" t="e">
        <f>--CLI查看是否重覆送同步</f>
        <v>#NAME?</v>
      </c>
    </row>
    <row r="89" spans="1:1" x14ac:dyDescent="0.25">
      <c r="A89" t="s">
        <v>2075</v>
      </c>
    </row>
    <row r="90" spans="1:1" x14ac:dyDescent="0.25">
      <c r="A90" t="s">
        <v>3759</v>
      </c>
    </row>
    <row r="91" spans="1:1" x14ac:dyDescent="0.25">
      <c r="A91" t="s">
        <v>3760</v>
      </c>
    </row>
    <row r="92" spans="1:1" x14ac:dyDescent="0.25">
      <c r="A92" t="s">
        <v>2069</v>
      </c>
    </row>
    <row r="97" spans="1:1" x14ac:dyDescent="0.25">
      <c r="A97" t="e">
        <f>--同步紀錄前後夾擊</f>
        <v>#NAME?</v>
      </c>
    </row>
    <row r="98" spans="1:1" x14ac:dyDescent="0.25">
      <c r="A98" t="s">
        <v>3761</v>
      </c>
    </row>
    <row r="99" spans="1:1" x14ac:dyDescent="0.25">
      <c r="A99" t="s">
        <v>3762</v>
      </c>
    </row>
    <row r="100" spans="1:1" x14ac:dyDescent="0.25">
      <c r="A100" t="s">
        <v>3763</v>
      </c>
    </row>
    <row r="101" spans="1:1" x14ac:dyDescent="0.25">
      <c r="A101" t="s">
        <v>3764</v>
      </c>
    </row>
    <row r="102" spans="1:1" x14ac:dyDescent="0.25">
      <c r="A102" t="s">
        <v>3765</v>
      </c>
    </row>
    <row r="103" spans="1:1" x14ac:dyDescent="0.25">
      <c r="A103" t="s">
        <v>3766</v>
      </c>
    </row>
    <row r="104" spans="1:1" x14ac:dyDescent="0.25">
      <c r="A104" t="s">
        <v>2077</v>
      </c>
    </row>
    <row r="105" spans="1:1" x14ac:dyDescent="0.25">
      <c r="A105" t="s">
        <v>2069</v>
      </c>
    </row>
    <row r="106" spans="1:1" x14ac:dyDescent="0.25">
      <c r="A106" t="s">
        <v>3767</v>
      </c>
    </row>
    <row r="108" spans="1:1" x14ac:dyDescent="0.25">
      <c r="A108" t="s">
        <v>3768</v>
      </c>
    </row>
    <row r="109" spans="1:1" x14ac:dyDescent="0.25">
      <c r="A109" t="s">
        <v>3769</v>
      </c>
    </row>
    <row r="110" spans="1:1" x14ac:dyDescent="0.25">
      <c r="A110" t="s">
        <v>3770</v>
      </c>
    </row>
    <row r="111" spans="1:1" x14ac:dyDescent="0.25">
      <c r="A111" t="s">
        <v>3771</v>
      </c>
    </row>
    <row r="112" spans="1:1" x14ac:dyDescent="0.25">
      <c r="A112" t="s">
        <v>3772</v>
      </c>
    </row>
    <row r="113" spans="1:1" x14ac:dyDescent="0.25">
      <c r="A113" t="s">
        <v>2076</v>
      </c>
    </row>
    <row r="114" spans="1:1" x14ac:dyDescent="0.25">
      <c r="A114" t="s">
        <v>2077</v>
      </c>
    </row>
    <row r="115" spans="1:1" x14ac:dyDescent="0.25">
      <c r="A115" t="s">
        <v>2069</v>
      </c>
    </row>
    <row r="118" spans="1:1" x14ac:dyDescent="0.25">
      <c r="A118" t="e">
        <f>--是否在新核改過號</f>
        <v>#NAME?</v>
      </c>
    </row>
    <row r="119" spans="1:1" x14ac:dyDescent="0.25">
      <c r="A119" t="s">
        <v>2078</v>
      </c>
    </row>
    <row r="120" spans="1:1" x14ac:dyDescent="0.25">
      <c r="A120" t="s">
        <v>2079</v>
      </c>
    </row>
    <row r="121" spans="1:1" x14ac:dyDescent="0.25">
      <c r="A121" t="s">
        <v>2080</v>
      </c>
    </row>
    <row r="122" spans="1:1" x14ac:dyDescent="0.25">
      <c r="A122" t="s">
        <v>2081</v>
      </c>
    </row>
    <row r="123" spans="1:1" x14ac:dyDescent="0.25">
      <c r="A123" t="s">
        <v>2082</v>
      </c>
    </row>
    <row r="124" spans="1:1" x14ac:dyDescent="0.25">
      <c r="A124" t="s">
        <v>2083</v>
      </c>
    </row>
    <row r="125" spans="1:1" x14ac:dyDescent="0.25">
      <c r="A125" t="s">
        <v>3773</v>
      </c>
    </row>
    <row r="126" spans="1:1" x14ac:dyDescent="0.25">
      <c r="A126" t="s">
        <v>2084</v>
      </c>
    </row>
    <row r="130" spans="1:1" x14ac:dyDescent="0.25">
      <c r="A130" t="e">
        <f>--是否在舊號有改過後</f>
        <v>#NAME?</v>
      </c>
    </row>
    <row r="131" spans="1:1" x14ac:dyDescent="0.25">
      <c r="A131" t="s">
        <v>2078</v>
      </c>
    </row>
    <row r="132" spans="1:1" x14ac:dyDescent="0.25">
      <c r="A132" t="s">
        <v>2079</v>
      </c>
    </row>
    <row r="133" spans="1:1" x14ac:dyDescent="0.25">
      <c r="A133" t="s">
        <v>2080</v>
      </c>
    </row>
    <row r="134" spans="1:1" x14ac:dyDescent="0.25">
      <c r="A134" t="s">
        <v>3774</v>
      </c>
    </row>
    <row r="135" spans="1:1" x14ac:dyDescent="0.25">
      <c r="A135" t="s">
        <v>3775</v>
      </c>
    </row>
    <row r="136" spans="1:1" x14ac:dyDescent="0.25">
      <c r="A136" t="s">
        <v>3776</v>
      </c>
    </row>
    <row r="137" spans="1:1" x14ac:dyDescent="0.25">
      <c r="A137" t="s">
        <v>3773</v>
      </c>
    </row>
    <row r="138" spans="1:1" x14ac:dyDescent="0.25">
      <c r="A138" t="s">
        <v>2084</v>
      </c>
    </row>
    <row r="143" spans="1:1" x14ac:dyDescent="0.25">
      <c r="A143" t="e">
        <f>--顧客主檔</f>
        <v>#NAME?</v>
      </c>
    </row>
    <row r="144" spans="1:1" x14ac:dyDescent="0.25">
      <c r="A144" t="s">
        <v>3777</v>
      </c>
    </row>
    <row r="145" spans="1:2" x14ac:dyDescent="0.25">
      <c r="A145" t="s">
        <v>3778</v>
      </c>
    </row>
    <row r="146" spans="1:2" x14ac:dyDescent="0.25">
      <c r="A146" t="s">
        <v>3767</v>
      </c>
    </row>
    <row r="147" spans="1:2" x14ac:dyDescent="0.25">
      <c r="B147" s="42"/>
    </row>
    <row r="150" spans="1:2" x14ac:dyDescent="0.25">
      <c r="A150" t="e">
        <f>--在新核是否被刪除過</f>
        <v>#NAME?</v>
      </c>
    </row>
    <row r="151" spans="1:2" x14ac:dyDescent="0.25">
      <c r="A151" t="s">
        <v>2085</v>
      </c>
    </row>
    <row r="152" spans="1:2" x14ac:dyDescent="0.25">
      <c r="A152" t="s">
        <v>3778</v>
      </c>
    </row>
    <row r="157" spans="1:2" x14ac:dyDescent="0.25">
      <c r="A157" t="e">
        <f>--改號議題</f>
        <v>#NAME?</v>
      </c>
    </row>
    <row r="158" spans="1:2" x14ac:dyDescent="0.25">
      <c r="A158" t="e">
        <f>--service_interchange_id_before  A改B  A的異動紀錄</f>
        <v>#NAME?</v>
      </c>
    </row>
    <row r="159" spans="1:2" x14ac:dyDescent="0.25">
      <c r="A159" t="e">
        <f>--service_interchange_id_after A改B  B的異動紀錄</f>
        <v>#NAME?</v>
      </c>
    </row>
    <row r="160" spans="1:2" x14ac:dyDescent="0.25">
      <c r="A160" t="e">
        <f>--service_interchange_id_create A改B    B是否存在  (原本B存在則有值,原本B不存在則無值)</f>
        <v>#NAME?</v>
      </c>
    </row>
    <row r="161" spans="1:1" x14ac:dyDescent="0.25">
      <c r="A161" t="s">
        <v>2086</v>
      </c>
    </row>
    <row r="162" spans="1:1" x14ac:dyDescent="0.25">
      <c r="A162" t="s">
        <v>3779</v>
      </c>
    </row>
    <row r="163" spans="1:1" x14ac:dyDescent="0.25">
      <c r="A163" t="s">
        <v>2069</v>
      </c>
    </row>
    <row r="167" spans="1:1" x14ac:dyDescent="0.25">
      <c r="A167" t="e">
        <f>--PRIOR_PERSON_IDENTIFITY_NO 為null表示現在查詢的號是暫時的</f>
        <v>#NAME?</v>
      </c>
    </row>
    <row r="168" spans="1:1" x14ac:dyDescent="0.25">
      <c r="A168" t="s">
        <v>2087</v>
      </c>
    </row>
    <row r="169" spans="1:1" x14ac:dyDescent="0.25">
      <c r="A169" t="s">
        <v>2088</v>
      </c>
    </row>
    <row r="170" spans="1:1" x14ac:dyDescent="0.25">
      <c r="A170" t="s">
        <v>2069</v>
      </c>
    </row>
    <row r="171" spans="1:1" x14ac:dyDescent="0.25">
      <c r="A171" t="e">
        <f>--PRIOR_PERSON_IDENTIFITY_NO 不為null表示現在查詢的號是正在用的</f>
        <v>#NAME?</v>
      </c>
    </row>
    <row r="172" spans="1:1" x14ac:dyDescent="0.25">
      <c r="A172" t="s">
        <v>2087</v>
      </c>
    </row>
    <row r="173" spans="1:1" x14ac:dyDescent="0.25">
      <c r="A173" t="s">
        <v>2089</v>
      </c>
    </row>
    <row r="174" spans="1:1" x14ac:dyDescent="0.25">
      <c r="A174" t="s">
        <v>2069</v>
      </c>
    </row>
    <row r="177" spans="1:1" x14ac:dyDescent="0.25">
      <c r="A177" t="e">
        <f>--確認是否可以重送</f>
        <v>#NAME?</v>
      </c>
    </row>
    <row r="178" spans="1:1" x14ac:dyDescent="0.25">
      <c r="A178" t="s">
        <v>3780</v>
      </c>
    </row>
    <row r="179" spans="1:1" x14ac:dyDescent="0.25">
      <c r="A179" t="s">
        <v>3781</v>
      </c>
    </row>
    <row r="180" spans="1:1" x14ac:dyDescent="0.25">
      <c r="A180" t="s">
        <v>3782</v>
      </c>
    </row>
    <row r="181" spans="1:1" x14ac:dyDescent="0.25">
      <c r="A181" t="s">
        <v>3783</v>
      </c>
    </row>
    <row r="182" spans="1:1" x14ac:dyDescent="0.25">
      <c r="A182" t="s">
        <v>2069</v>
      </c>
    </row>
    <row r="185" spans="1:1" x14ac:dyDescent="0.25">
      <c r="A185" t="e">
        <f>--舊號顧客判斷</f>
        <v>#NAME?</v>
      </c>
    </row>
    <row r="186" spans="1:1" x14ac:dyDescent="0.25">
      <c r="A186" t="s">
        <v>3784</v>
      </c>
    </row>
    <row r="187" spans="1:1" x14ac:dyDescent="0.25">
      <c r="A187" t="s">
        <v>3785</v>
      </c>
    </row>
    <row r="188" spans="1:1" x14ac:dyDescent="0.25">
      <c r="A188" t="s">
        <v>3786</v>
      </c>
    </row>
    <row r="189" spans="1:1" x14ac:dyDescent="0.25">
      <c r="A189" t="s">
        <v>3787</v>
      </c>
    </row>
    <row r="190" spans="1:1" x14ac:dyDescent="0.25">
      <c r="A190" t="s">
        <v>2069</v>
      </c>
    </row>
    <row r="195" spans="1:1" x14ac:dyDescent="0.25">
      <c r="A195" t="e">
        <f>--顧客異動紀錄</f>
        <v>#NAME?</v>
      </c>
    </row>
    <row r="196" spans="1:1" x14ac:dyDescent="0.25">
      <c r="A196" t="s">
        <v>3788</v>
      </c>
    </row>
    <row r="197" spans="1:1" x14ac:dyDescent="0.25">
      <c r="A197" t="s">
        <v>2040</v>
      </c>
    </row>
    <row r="198" spans="1:1" x14ac:dyDescent="0.25">
      <c r="A198" t="s">
        <v>2041</v>
      </c>
    </row>
    <row r="199" spans="1:1" x14ac:dyDescent="0.25">
      <c r="A199" t="s">
        <v>2042</v>
      </c>
    </row>
    <row r="200" spans="1:1" x14ac:dyDescent="0.25">
      <c r="A200" t="s">
        <v>2028</v>
      </c>
    </row>
    <row r="201" spans="1:1" x14ac:dyDescent="0.25">
      <c r="A201" t="s">
        <v>2043</v>
      </c>
    </row>
    <row r="202" spans="1:1" x14ac:dyDescent="0.25">
      <c r="A202" t="s">
        <v>2044</v>
      </c>
    </row>
    <row r="203" spans="1:1" x14ac:dyDescent="0.25">
      <c r="A203" t="s">
        <v>2045</v>
      </c>
    </row>
    <row r="204" spans="1:1" x14ac:dyDescent="0.25">
      <c r="A204" t="s">
        <v>2046</v>
      </c>
    </row>
    <row r="205" spans="1:1" x14ac:dyDescent="0.25">
      <c r="A205" t="s">
        <v>3789</v>
      </c>
    </row>
    <row r="206" spans="1:1" x14ac:dyDescent="0.25">
      <c r="A206" t="s">
        <v>2081</v>
      </c>
    </row>
    <row r="207" spans="1:1" x14ac:dyDescent="0.25">
      <c r="A207" t="s">
        <v>2082</v>
      </c>
    </row>
    <row r="208" spans="1:1" x14ac:dyDescent="0.25">
      <c r="A208" t="s">
        <v>3790</v>
      </c>
    </row>
    <row r="209" spans="1:1" x14ac:dyDescent="0.25">
      <c r="A209" t="s">
        <v>3791</v>
      </c>
    </row>
    <row r="210" spans="1:1" x14ac:dyDescent="0.25">
      <c r="A210" t="s">
        <v>3792</v>
      </c>
    </row>
    <row r="211" spans="1:1" x14ac:dyDescent="0.25">
      <c r="A211" t="s">
        <v>2069</v>
      </c>
    </row>
    <row r="214" spans="1:1" x14ac:dyDescent="0.25">
      <c r="A214" t="e">
        <f>--CIP是否有收到MSG_NO</f>
        <v>#NAME?</v>
      </c>
    </row>
    <row r="215" spans="1:1" x14ac:dyDescent="0.25">
      <c r="A215" t="s">
        <v>3793</v>
      </c>
    </row>
    <row r="217" spans="1:1" x14ac:dyDescent="0.25">
      <c r="A217" t="e">
        <f ca="1">--CIP確認收到之MSG_NO是否失敗(有查到資料就是失敗)</f>
        <v>#NAME?</v>
      </c>
    </row>
    <row r="218" spans="1:1" x14ac:dyDescent="0.25">
      <c r="A218" t="s">
        <v>3794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sqref="A1:B13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M34"/>
  <sheetViews>
    <sheetView workbookViewId="0">
      <selection activeCell="A2" sqref="A2"/>
    </sheetView>
  </sheetViews>
  <sheetFormatPr defaultRowHeight="16.5" x14ac:dyDescent="0.25"/>
  <cols>
    <col min="1" max="1" width="15.125" bestFit="1" customWidth="1"/>
    <col min="2" max="2" width="40.875" bestFit="1" customWidth="1"/>
    <col min="3" max="3" width="37.25" bestFit="1" customWidth="1"/>
    <col min="4" max="4" width="18.375" bestFit="1" customWidth="1"/>
    <col min="10" max="10" width="7.75" bestFit="1" customWidth="1"/>
    <col min="11" max="11" width="8.875" bestFit="1" customWidth="1"/>
    <col min="12" max="12" width="48.75" bestFit="1" customWidth="1"/>
  </cols>
  <sheetData>
    <row r="1" spans="1:13" x14ac:dyDescent="0.25">
      <c r="A1" s="14" t="s">
        <v>128</v>
      </c>
    </row>
    <row r="2" spans="1:13" x14ac:dyDescent="0.25">
      <c r="A2" t="s">
        <v>3333</v>
      </c>
    </row>
    <row r="3" spans="1:13" x14ac:dyDescent="0.25">
      <c r="A3" t="s">
        <v>164</v>
      </c>
    </row>
    <row r="4" spans="1:13" x14ac:dyDescent="0.25">
      <c r="A4" t="s">
        <v>275</v>
      </c>
      <c r="J4" s="8" t="s">
        <v>82</v>
      </c>
      <c r="K4" s="8" t="s">
        <v>122</v>
      </c>
      <c r="L4" s="8" t="s">
        <v>98</v>
      </c>
      <c r="M4" s="8" t="s">
        <v>82</v>
      </c>
    </row>
    <row r="5" spans="1:13" x14ac:dyDescent="0.25">
      <c r="E5" t="s">
        <v>152</v>
      </c>
      <c r="J5" s="8"/>
      <c r="K5" s="8"/>
      <c r="L5" s="8"/>
      <c r="M5" s="8"/>
    </row>
    <row r="6" spans="1:13" x14ac:dyDescent="0.25">
      <c r="B6" s="14" t="s">
        <v>163</v>
      </c>
      <c r="C6" s="14" t="s">
        <v>165</v>
      </c>
      <c r="E6" t="s">
        <v>154</v>
      </c>
      <c r="J6" s="9" t="s">
        <v>99</v>
      </c>
      <c r="K6" s="10" t="s">
        <v>123</v>
      </c>
      <c r="L6" s="12" t="s">
        <v>155</v>
      </c>
      <c r="M6" s="9" t="s">
        <v>99</v>
      </c>
    </row>
    <row r="7" spans="1:13" x14ac:dyDescent="0.25">
      <c r="A7" t="s">
        <v>279</v>
      </c>
      <c r="B7" s="6" t="s">
        <v>893</v>
      </c>
      <c r="C7" s="6" t="s">
        <v>274</v>
      </c>
      <c r="J7" s="9"/>
      <c r="K7" s="10"/>
      <c r="L7" s="12"/>
      <c r="M7" s="9"/>
    </row>
    <row r="8" spans="1:13" x14ac:dyDescent="0.25">
      <c r="A8" t="s">
        <v>147</v>
      </c>
      <c r="B8" t="s">
        <v>103</v>
      </c>
      <c r="C8" t="s">
        <v>152</v>
      </c>
      <c r="E8" s="6" t="s">
        <v>274</v>
      </c>
      <c r="J8" s="9" t="s">
        <v>100</v>
      </c>
      <c r="K8" s="10" t="s">
        <v>123</v>
      </c>
      <c r="L8" s="12" t="s">
        <v>101</v>
      </c>
      <c r="M8" s="9" t="s">
        <v>100</v>
      </c>
    </row>
    <row r="9" spans="1:13" x14ac:dyDescent="0.25">
      <c r="A9" t="s">
        <v>148</v>
      </c>
      <c r="B9" t="s">
        <v>111</v>
      </c>
      <c r="C9" t="s">
        <v>154</v>
      </c>
      <c r="J9" s="9" t="s">
        <v>102</v>
      </c>
      <c r="K9" s="10" t="s">
        <v>125</v>
      </c>
      <c r="L9" s="11" t="s">
        <v>103</v>
      </c>
      <c r="M9" s="9" t="s">
        <v>102</v>
      </c>
    </row>
    <row r="10" spans="1:13" x14ac:dyDescent="0.25">
      <c r="A10" t="s">
        <v>854</v>
      </c>
      <c r="B10" s="6" t="s">
        <v>894</v>
      </c>
      <c r="J10" s="9" t="s">
        <v>104</v>
      </c>
      <c r="K10" s="10" t="s">
        <v>125</v>
      </c>
      <c r="L10" s="12" t="s">
        <v>855</v>
      </c>
      <c r="M10" s="9" t="s">
        <v>104</v>
      </c>
    </row>
    <row r="11" spans="1:13" x14ac:dyDescent="0.25">
      <c r="A11" t="s">
        <v>1767</v>
      </c>
      <c r="B11" s="6" t="s">
        <v>1768</v>
      </c>
      <c r="E11" s="6"/>
      <c r="J11" s="9" t="s">
        <v>105</v>
      </c>
      <c r="K11" s="10" t="s">
        <v>123</v>
      </c>
      <c r="L11" s="12" t="s">
        <v>141</v>
      </c>
      <c r="M11" s="9" t="s">
        <v>105</v>
      </c>
    </row>
    <row r="12" spans="1:13" x14ac:dyDescent="0.25">
      <c r="A12" t="s">
        <v>151</v>
      </c>
      <c r="B12" s="6" t="s">
        <v>1110</v>
      </c>
      <c r="J12" s="9" t="s">
        <v>107</v>
      </c>
      <c r="K12" s="10" t="s">
        <v>124</v>
      </c>
      <c r="L12" s="11" t="s">
        <v>108</v>
      </c>
      <c r="M12" s="9" t="s">
        <v>107</v>
      </c>
    </row>
    <row r="13" spans="1:13" x14ac:dyDescent="0.25">
      <c r="A13" t="s">
        <v>153</v>
      </c>
      <c r="B13" s="6" t="s">
        <v>1111</v>
      </c>
      <c r="C13" t="s">
        <v>150</v>
      </c>
      <c r="J13" s="9"/>
      <c r="K13" s="10"/>
      <c r="L13" s="11"/>
      <c r="M13" s="9"/>
    </row>
    <row r="14" spans="1:13" x14ac:dyDescent="0.25">
      <c r="A14" t="s">
        <v>1955</v>
      </c>
      <c r="B14" s="6" t="s">
        <v>1953</v>
      </c>
      <c r="C14" s="6" t="s">
        <v>1954</v>
      </c>
      <c r="J14" s="9" t="s">
        <v>109</v>
      </c>
      <c r="K14" s="10" t="s">
        <v>123</v>
      </c>
      <c r="L14" s="12" t="s">
        <v>110</v>
      </c>
      <c r="M14" s="9" t="s">
        <v>109</v>
      </c>
    </row>
    <row r="15" spans="1:13" x14ac:dyDescent="0.25">
      <c r="A15" t="s">
        <v>2377</v>
      </c>
      <c r="B15" t="s">
        <v>2378</v>
      </c>
      <c r="J15" s="9" t="s">
        <v>126</v>
      </c>
      <c r="K15" s="10" t="s">
        <v>125</v>
      </c>
      <c r="L15" s="11" t="s">
        <v>111</v>
      </c>
      <c r="M15" s="9" t="s">
        <v>126</v>
      </c>
    </row>
    <row r="16" spans="1:13" x14ac:dyDescent="0.25">
      <c r="B16" s="13"/>
      <c r="J16" s="9" t="s">
        <v>112</v>
      </c>
      <c r="K16" s="10" t="s">
        <v>125</v>
      </c>
      <c r="L16" s="12" t="s">
        <v>114</v>
      </c>
      <c r="M16" s="9" t="s">
        <v>112</v>
      </c>
    </row>
    <row r="17" spans="2:13" x14ac:dyDescent="0.25">
      <c r="B17" s="13"/>
      <c r="J17" s="9" t="s">
        <v>127</v>
      </c>
      <c r="K17" s="10" t="s">
        <v>125</v>
      </c>
      <c r="L17" s="12" t="s">
        <v>116</v>
      </c>
      <c r="M17" s="9" t="s">
        <v>127</v>
      </c>
    </row>
    <row r="18" spans="2:13" x14ac:dyDescent="0.25">
      <c r="B18" s="13"/>
      <c r="J18" s="9" t="s">
        <v>117</v>
      </c>
      <c r="K18" s="10" t="s">
        <v>123</v>
      </c>
      <c r="L18" s="12" t="s">
        <v>118</v>
      </c>
      <c r="M18" s="9" t="s">
        <v>117</v>
      </c>
    </row>
    <row r="19" spans="2:13" x14ac:dyDescent="0.25">
      <c r="B19" s="13"/>
      <c r="J19" s="9" t="s">
        <v>119</v>
      </c>
      <c r="K19" s="10" t="s">
        <v>123</v>
      </c>
      <c r="L19" s="12" t="s">
        <v>1952</v>
      </c>
      <c r="M19" s="9" t="s">
        <v>119</v>
      </c>
    </row>
    <row r="20" spans="2:13" x14ac:dyDescent="0.25">
      <c r="B20" s="13"/>
      <c r="J20" s="9" t="s">
        <v>120</v>
      </c>
      <c r="K20" s="10" t="s">
        <v>124</v>
      </c>
      <c r="L20" s="12" t="s">
        <v>121</v>
      </c>
      <c r="M20" s="9" t="s">
        <v>120</v>
      </c>
    </row>
    <row r="21" spans="2:13" x14ac:dyDescent="0.25">
      <c r="B21" s="13"/>
      <c r="G21" t="s">
        <v>145</v>
      </c>
      <c r="H21" t="s">
        <v>146</v>
      </c>
    </row>
    <row r="22" spans="2:13" x14ac:dyDescent="0.25">
      <c r="G22" t="s">
        <v>147</v>
      </c>
      <c r="H22" t="s">
        <v>103</v>
      </c>
    </row>
    <row r="23" spans="2:13" x14ac:dyDescent="0.25">
      <c r="G23" t="s">
        <v>148</v>
      </c>
      <c r="H23" t="s">
        <v>111</v>
      </c>
    </row>
    <row r="24" spans="2:13" x14ac:dyDescent="0.25">
      <c r="G24" t="s">
        <v>149</v>
      </c>
      <c r="H24" t="s">
        <v>150</v>
      </c>
    </row>
    <row r="25" spans="2:13" x14ac:dyDescent="0.25">
      <c r="G25" t="s">
        <v>151</v>
      </c>
      <c r="H25" t="s">
        <v>152</v>
      </c>
    </row>
    <row r="26" spans="2:13" x14ac:dyDescent="0.25">
      <c r="G26" t="s">
        <v>153</v>
      </c>
      <c r="H26" t="s">
        <v>154</v>
      </c>
      <c r="J26" t="s">
        <v>140</v>
      </c>
      <c r="K26" t="s">
        <v>142</v>
      </c>
    </row>
    <row r="27" spans="2:13" x14ac:dyDescent="0.25">
      <c r="G27" t="s">
        <v>139</v>
      </c>
      <c r="H27" t="s">
        <v>106</v>
      </c>
      <c r="J27" t="str">
        <f t="shared" ref="J27:J32" si="0">VLOOKUP(K27,L:M,2,0)</f>
        <v>林楷翰</v>
      </c>
      <c r="K27" t="s">
        <v>115</v>
      </c>
      <c r="L27" t="s">
        <v>137</v>
      </c>
    </row>
    <row r="28" spans="2:13" x14ac:dyDescent="0.25">
      <c r="G28" t="s">
        <v>177</v>
      </c>
      <c r="H28" s="6" t="s">
        <v>176</v>
      </c>
      <c r="J28" t="str">
        <f t="shared" si="0"/>
        <v>盧婉芳</v>
      </c>
      <c r="K28" t="s">
        <v>103</v>
      </c>
      <c r="L28" t="s">
        <v>138</v>
      </c>
    </row>
    <row r="29" spans="2:13" x14ac:dyDescent="0.25">
      <c r="H29" s="6" t="s">
        <v>156</v>
      </c>
      <c r="J29" t="str">
        <f t="shared" si="0"/>
        <v>程亮維</v>
      </c>
      <c r="K29" t="s">
        <v>111</v>
      </c>
    </row>
    <row r="30" spans="2:13" x14ac:dyDescent="0.25">
      <c r="J30" t="str">
        <f t="shared" si="0"/>
        <v>許庭瑋</v>
      </c>
      <c r="K30" t="s">
        <v>113</v>
      </c>
    </row>
    <row r="31" spans="2:13" x14ac:dyDescent="0.25">
      <c r="J31" t="str">
        <f t="shared" si="0"/>
        <v>彭春娥</v>
      </c>
      <c r="K31" t="s">
        <v>137</v>
      </c>
    </row>
    <row r="32" spans="2:13" x14ac:dyDescent="0.25">
      <c r="J32" t="str">
        <f t="shared" si="0"/>
        <v>劉季函</v>
      </c>
      <c r="K32" t="s">
        <v>138</v>
      </c>
    </row>
    <row r="33" spans="10:11" x14ac:dyDescent="0.25">
      <c r="J33" t="s">
        <v>140</v>
      </c>
      <c r="K33" t="s">
        <v>142</v>
      </c>
    </row>
    <row r="34" spans="10:11" x14ac:dyDescent="0.25">
      <c r="K34" s="13"/>
    </row>
  </sheetData>
  <phoneticPr fontId="1" type="noConversion"/>
  <conditionalFormatting sqref="J14:L20">
    <cfRule type="expression" dxfId="13" priority="21">
      <formula>IF(#REF!="gone",1,0)</formula>
    </cfRule>
  </conditionalFormatting>
  <conditionalFormatting sqref="J6:L8">
    <cfRule type="expression" dxfId="12" priority="40">
      <formula>IF(#REF!="gone",1,0)</formula>
    </cfRule>
  </conditionalFormatting>
  <conditionalFormatting sqref="J9:L13">
    <cfRule type="expression" dxfId="11" priority="42">
      <formula>IF(#REF!="gone",1,0)</formula>
    </cfRule>
  </conditionalFormatting>
  <conditionalFormatting sqref="K27">
    <cfRule type="expression" dxfId="10" priority="17">
      <formula>IF($E11="gone",1,0)</formula>
    </cfRule>
  </conditionalFormatting>
  <conditionalFormatting sqref="K30">
    <cfRule type="expression" dxfId="9" priority="16">
      <formula>IF($E12="gone",1,0)</formula>
    </cfRule>
  </conditionalFormatting>
  <conditionalFormatting sqref="M14:M20">
    <cfRule type="expression" dxfId="8" priority="11">
      <formula>IF(#REF!="gone",1,0)</formula>
    </cfRule>
  </conditionalFormatting>
  <conditionalFormatting sqref="M6:M8">
    <cfRule type="expression" dxfId="7" priority="12">
      <formula>IF(#REF!="gone",1,0)</formula>
    </cfRule>
  </conditionalFormatting>
  <conditionalFormatting sqref="M9:M13">
    <cfRule type="expression" dxfId="6" priority="13">
      <formula>IF(#REF!="gone",1,0)</formula>
    </cfRule>
  </conditionalFormatting>
  <conditionalFormatting sqref="K26">
    <cfRule type="expression" dxfId="5" priority="9">
      <formula>IF($E1="gone",1,0)</formula>
    </cfRule>
  </conditionalFormatting>
  <conditionalFormatting sqref="K29 K28:L28">
    <cfRule type="expression" dxfId="4" priority="43">
      <formula>IF(#REF!="gone",1,0)</formula>
    </cfRule>
  </conditionalFormatting>
  <conditionalFormatting sqref="K33">
    <cfRule type="expression" dxfId="3" priority="47">
      <formula>IF(#REF!="gone",1,0)</formula>
    </cfRule>
  </conditionalFormatting>
  <conditionalFormatting sqref="K32">
    <cfRule type="expression" dxfId="2" priority="53">
      <formula>IF(#REF!="gone",1,0)</formula>
    </cfRule>
  </conditionalFormatting>
  <conditionalFormatting sqref="L27">
    <cfRule type="expression" dxfId="1" priority="54">
      <formula>IF(#REF!="gone",1,0)</formula>
    </cfRule>
  </conditionalFormatting>
  <hyperlinks>
    <hyperlink ref="L8" r:id="rId1"/>
    <hyperlink ref="L14" r:id="rId2"/>
    <hyperlink ref="L16" r:id="rId3"/>
    <hyperlink ref="L17" r:id="rId4"/>
    <hyperlink ref="L18" r:id="rId5"/>
    <hyperlink ref="L19" r:id="rId6"/>
    <hyperlink ref="L20" r:id="rId7"/>
    <hyperlink ref="K31" r:id="rId8"/>
    <hyperlink ref="K32" r:id="rId9"/>
    <hyperlink ref="K27" r:id="rId10"/>
    <hyperlink ref="K30" r:id="rId11"/>
    <hyperlink ref="L27" r:id="rId12"/>
    <hyperlink ref="L28" r:id="rId13"/>
    <hyperlink ref="L11" r:id="rId14"/>
    <hyperlink ref="K33" r:id="rId15"/>
    <hyperlink ref="K26" r:id="rId16"/>
    <hyperlink ref="H22" r:id="rId17" display="tram-18693@email.esunbank.com.tw"/>
    <hyperlink ref="H23" r:id="rId18" display="e31217-19598@email.esunbank.com.tw"/>
    <hyperlink ref="L6" r:id="rId19"/>
    <hyperlink ref="H29" r:id="rId20"/>
    <hyperlink ref="E8" r:id="rId21"/>
    <hyperlink ref="H28" r:id="rId22"/>
    <hyperlink ref="C7" r:id="rId23"/>
    <hyperlink ref="L10" r:id="rId24"/>
    <hyperlink ref="B8" r:id="rId25" display="tram-18693@email.esunbank.com.tw"/>
    <hyperlink ref="B9" r:id="rId26" display="e31217-19598@email.esunbank.com.tw"/>
    <hyperlink ref="B7" r:id="rId27"/>
    <hyperlink ref="B10" r:id="rId28"/>
    <hyperlink ref="B12" r:id="rId29"/>
    <hyperlink ref="B13" r:id="rId30"/>
    <hyperlink ref="B11" r:id="rId31"/>
    <hyperlink ref="B14" r:id="rId32"/>
    <hyperlink ref="C14" r:id="rId33"/>
  </hyperlinks>
  <pageMargins left="0.7" right="0.7" top="0.75" bottom="0.75" header="0.3" footer="0.3"/>
  <pageSetup paperSize="9" orientation="portrait" r:id="rId3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5:G1829"/>
  <sheetViews>
    <sheetView zoomScale="85" zoomScaleNormal="85" workbookViewId="0">
      <selection activeCell="C28" sqref="C28"/>
    </sheetView>
  </sheetViews>
  <sheetFormatPr defaultRowHeight="16.5" x14ac:dyDescent="0.25"/>
  <cols>
    <col min="1" max="1" width="10.625" bestFit="1" customWidth="1"/>
    <col min="2" max="2" width="32.625" bestFit="1" customWidth="1"/>
    <col min="3" max="3" width="23.25" bestFit="1" customWidth="1"/>
    <col min="4" max="4" width="189" customWidth="1"/>
    <col min="5" max="5" width="37.75" customWidth="1"/>
  </cols>
  <sheetData>
    <row r="5" spans="1:7" x14ac:dyDescent="0.25">
      <c r="A5" s="3" t="s">
        <v>38</v>
      </c>
      <c r="B5" s="3" t="s">
        <v>23</v>
      </c>
      <c r="C5" s="3" t="s">
        <v>36</v>
      </c>
      <c r="D5" s="3" t="s">
        <v>37</v>
      </c>
      <c r="E5" s="3" t="s">
        <v>2311</v>
      </c>
    </row>
    <row r="6" spans="1:7" x14ac:dyDescent="0.25">
      <c r="A6" s="2" t="str">
        <f>IF(B6&lt;&gt;"",IF(_xlfn.IFNA(VLOOKUP(B6,OmsControlTable!T:T,1,0),"尚未處理")&lt;&gt;"尚未處理","已處理","尚未處理"),"")</f>
        <v>已處理</v>
      </c>
      <c r="B6" s="2" t="s">
        <v>3843</v>
      </c>
      <c r="C6" s="2" t="s">
        <v>17</v>
      </c>
      <c r="D6" s="2" t="s">
        <v>900</v>
      </c>
      <c r="E6" s="2" t="s">
        <v>3844</v>
      </c>
      <c r="F6" t="s">
        <v>3264</v>
      </c>
      <c r="G6" t="s">
        <v>3651</v>
      </c>
    </row>
    <row r="7" spans="1:7" x14ac:dyDescent="0.25">
      <c r="A7" s="2" t="str">
        <f>IF(B7&lt;&gt;"",IF(_xlfn.IFNA(VLOOKUP(B7,OmsControlTable!T:T,1,0),"尚未處理")&lt;&gt;"尚未處理","已處理","尚未處理"),"")</f>
        <v>已處理</v>
      </c>
      <c r="B7" s="2" t="s">
        <v>3831</v>
      </c>
      <c r="C7" s="2" t="s">
        <v>17</v>
      </c>
      <c r="D7" s="2" t="s">
        <v>3832</v>
      </c>
      <c r="E7" s="2" t="s">
        <v>3833</v>
      </c>
      <c r="F7" t="s">
        <v>3264</v>
      </c>
      <c r="G7" t="s">
        <v>3633</v>
      </c>
    </row>
    <row r="8" spans="1:7" x14ac:dyDescent="0.25">
      <c r="A8" s="2" t="str">
        <f>IF(B8&lt;&gt;"",IF(_xlfn.IFNA(VLOOKUP(B8,OmsControlTable!T:T,1,0),"尚未處理")&lt;&gt;"尚未處理","已處理","尚未處理"),"")</f>
        <v>已處理</v>
      </c>
      <c r="B8" s="2" t="s">
        <v>3819</v>
      </c>
      <c r="C8" s="2" t="s">
        <v>17</v>
      </c>
      <c r="D8" s="2" t="s">
        <v>3820</v>
      </c>
      <c r="E8" s="2" t="s">
        <v>3821</v>
      </c>
      <c r="F8" t="s">
        <v>3652</v>
      </c>
      <c r="G8" t="s">
        <v>3599</v>
      </c>
    </row>
    <row r="9" spans="1:7" x14ac:dyDescent="0.25">
      <c r="A9" s="2" t="str">
        <f>IF(B9&lt;&gt;"",IF(_xlfn.IFNA(VLOOKUP(B9,OmsControlTable!T:T,1,0),"尚未處理")&lt;&gt;"尚未處理","已處理","尚未處理"),"")</f>
        <v>已處理</v>
      </c>
      <c r="B9" s="2" t="s">
        <v>3795</v>
      </c>
      <c r="C9" s="2" t="s">
        <v>17</v>
      </c>
      <c r="D9" s="2" t="s">
        <v>900</v>
      </c>
      <c r="E9" s="2" t="s">
        <v>3796</v>
      </c>
      <c r="F9" t="s">
        <v>3653</v>
      </c>
      <c r="G9" t="s">
        <v>3522</v>
      </c>
    </row>
    <row r="10" spans="1:7" x14ac:dyDescent="0.25">
      <c r="A10" s="2" t="str">
        <f>IF(B10&lt;&gt;"",IF(_xlfn.IFNA(VLOOKUP(B10,OmsControlTable!T:T,1,0),"尚未處理")&lt;&gt;"尚未處理","已處理","尚未處理"),"")</f>
        <v>已處理</v>
      </c>
      <c r="B10" s="2" t="s">
        <v>3743</v>
      </c>
      <c r="C10" s="2" t="s">
        <v>17</v>
      </c>
      <c r="D10" s="2" t="s">
        <v>67</v>
      </c>
      <c r="E10" s="2" t="s">
        <v>3744</v>
      </c>
      <c r="F10" t="s">
        <v>3653</v>
      </c>
      <c r="G10" t="s">
        <v>3523</v>
      </c>
    </row>
    <row r="11" spans="1:7" x14ac:dyDescent="0.25">
      <c r="A11" s="2" t="str">
        <f>IF(B11&lt;&gt;"",IF(_xlfn.IFNA(VLOOKUP(B11,OmsControlTable!T:T,1,0),"尚未處理")&lt;&gt;"尚未處理","已處理","尚未處理"),"")</f>
        <v>已處理</v>
      </c>
      <c r="B11" s="2" t="s">
        <v>3662</v>
      </c>
      <c r="C11" s="2" t="s">
        <v>17</v>
      </c>
      <c r="D11" s="2" t="s">
        <v>3663</v>
      </c>
      <c r="E11" s="2" t="s">
        <v>3679</v>
      </c>
    </row>
    <row r="12" spans="1:7" x14ac:dyDescent="0.25">
      <c r="A12" s="2" t="str">
        <f>IF(B12&lt;&gt;"",IF(_xlfn.IFNA(VLOOKUP(B12,OmsControlTable!T:T,1,0),"尚未處理")&lt;&gt;"尚未處理","已處理","尚未處理"),"")</f>
        <v>已處理</v>
      </c>
      <c r="B12" s="2" t="s">
        <v>3650</v>
      </c>
      <c r="C12" s="2" t="s">
        <v>17</v>
      </c>
      <c r="D12" s="2" t="s">
        <v>900</v>
      </c>
      <c r="E12" s="2" t="s">
        <v>3651</v>
      </c>
    </row>
    <row r="13" spans="1:7" x14ac:dyDescent="0.25">
      <c r="A13" s="2" t="str">
        <f>IF(B13&lt;&gt;"",IF(_xlfn.IFNA(VLOOKUP(B13,OmsControlTable!T:T,1,0),"尚未處理")&lt;&gt;"尚未處理","已處理","尚未處理"),"")</f>
        <v>已處理</v>
      </c>
      <c r="B13" s="2" t="s">
        <v>3529</v>
      </c>
      <c r="C13" s="2" t="s">
        <v>17</v>
      </c>
      <c r="D13" s="2" t="s">
        <v>67</v>
      </c>
      <c r="E13" s="2" t="s">
        <v>3530</v>
      </c>
    </row>
    <row r="14" spans="1:7" x14ac:dyDescent="0.25">
      <c r="A14" s="2" t="str">
        <f>IF(B14&lt;&gt;"",IF(_xlfn.IFNA(VLOOKUP(B14,OmsControlTable!T:T,1,0),"尚未處理")&lt;&gt;"尚未處理","已處理","尚未處理"),"")</f>
        <v>已處理</v>
      </c>
      <c r="B14" s="2" t="s">
        <v>3515</v>
      </c>
      <c r="C14" s="2" t="s">
        <v>17</v>
      </c>
      <c r="D14" s="2" t="s">
        <v>67</v>
      </c>
      <c r="E14" s="2" t="s">
        <v>3516</v>
      </c>
    </row>
    <row r="15" spans="1:7" x14ac:dyDescent="0.25">
      <c r="A15" s="2" t="str">
        <f>IF(B15&lt;&gt;"",IF(_xlfn.IFNA(VLOOKUP(B15,OmsControlTable!T:T,1,0),"尚未處理")&lt;&gt;"尚未處理","已處理","尚未處理"),"")</f>
        <v>已處理</v>
      </c>
      <c r="B15" s="2" t="s">
        <v>3506</v>
      </c>
      <c r="C15" s="2" t="s">
        <v>17</v>
      </c>
      <c r="D15" s="2" t="s">
        <v>67</v>
      </c>
      <c r="E15" s="2" t="s">
        <v>3507</v>
      </c>
    </row>
    <row r="16" spans="1:7" x14ac:dyDescent="0.25">
      <c r="A16" s="2" t="str">
        <f>IF(B16&lt;&gt;"",IF(_xlfn.IFNA(VLOOKUP(B16,OmsControlTable!T:T,1,0),"尚未處理")&lt;&gt;"尚未處理","已處理","尚未處理"),"")</f>
        <v>已處理</v>
      </c>
      <c r="B16" s="2" t="s">
        <v>3489</v>
      </c>
      <c r="C16" s="2" t="s">
        <v>17</v>
      </c>
      <c r="D16" s="2" t="s">
        <v>67</v>
      </c>
      <c r="E16" s="2" t="s">
        <v>3490</v>
      </c>
    </row>
    <row r="17" spans="1:5" x14ac:dyDescent="0.25">
      <c r="A17" s="2" t="str">
        <f>IF(B17&lt;&gt;"",IF(_xlfn.IFNA(VLOOKUP(B17,OmsControlTable!T:T,1,0),"尚未處理")&lt;&gt;"尚未處理","已處理","尚未處理"),"")</f>
        <v>已處理</v>
      </c>
      <c r="B17" s="2" t="s">
        <v>3491</v>
      </c>
      <c r="C17" s="2" t="s">
        <v>17</v>
      </c>
      <c r="D17" s="2" t="s">
        <v>67</v>
      </c>
      <c r="E17" s="2" t="s">
        <v>3492</v>
      </c>
    </row>
    <row r="18" spans="1:5" x14ac:dyDescent="0.25">
      <c r="A18" s="2" t="str">
        <f>IF(B18&lt;&gt;"",IF(_xlfn.IFNA(VLOOKUP(B18,OmsControlTable!T:T,1,0),"尚未處理")&lt;&gt;"尚未處理","已處理","尚未處理"),"")</f>
        <v>已處理</v>
      </c>
      <c r="B18" s="2" t="s">
        <v>3476</v>
      </c>
      <c r="C18" s="2" t="s">
        <v>17</v>
      </c>
      <c r="D18" s="2" t="s">
        <v>3477</v>
      </c>
      <c r="E18" s="2" t="s">
        <v>3478</v>
      </c>
    </row>
    <row r="19" spans="1:5" x14ac:dyDescent="0.25">
      <c r="A19" s="2" t="str">
        <f>IF(B19&lt;&gt;"",IF(_xlfn.IFNA(VLOOKUP(B19,OmsControlTable!T:T,1,0),"尚未處理")&lt;&gt;"尚未處理","已處理","尚未處理"),"")</f>
        <v>已處理</v>
      </c>
      <c r="B19" s="2" t="s">
        <v>3493</v>
      </c>
      <c r="C19" s="2" t="s">
        <v>17</v>
      </c>
      <c r="D19" s="2" t="s">
        <v>3456</v>
      </c>
      <c r="E19" s="2" t="s">
        <v>3457</v>
      </c>
    </row>
    <row r="20" spans="1:5" x14ac:dyDescent="0.25">
      <c r="A20" s="2" t="str">
        <f>IF(B20&lt;&gt;"",IF(_xlfn.IFNA(VLOOKUP(B20,OmsControlTable!T:T,1,0),"尚未處理")&lt;&gt;"尚未處理","已處理","尚未處理"),"")</f>
        <v>已處理</v>
      </c>
      <c r="B20" s="2" t="s">
        <v>3458</v>
      </c>
      <c r="C20" s="2" t="s">
        <v>17</v>
      </c>
      <c r="D20" s="2" t="s">
        <v>3459</v>
      </c>
      <c r="E20" s="2" t="s">
        <v>3460</v>
      </c>
    </row>
    <row r="21" spans="1:5" x14ac:dyDescent="0.25">
      <c r="A21" s="2" t="str">
        <f>IF(B21&lt;&gt;"",IF(_xlfn.IFNA(VLOOKUP(B21,OmsControlTable!T:T,1,0),"尚未處理")&lt;&gt;"尚未處理","已處理","尚未處理"),"")</f>
        <v>已處理</v>
      </c>
      <c r="B21" s="2" t="s">
        <v>3436</v>
      </c>
      <c r="C21" s="2" t="s">
        <v>17</v>
      </c>
      <c r="D21" s="2" t="s">
        <v>18</v>
      </c>
      <c r="E21" s="2" t="s">
        <v>3437</v>
      </c>
    </row>
    <row r="22" spans="1:5" x14ac:dyDescent="0.25">
      <c r="A22" s="2" t="str">
        <f>IF(B22&lt;&gt;"",IF(_xlfn.IFNA(VLOOKUP(B22,OmsControlTable!T:T,1,0),"尚未處理")&lt;&gt;"尚未處理","已處理","尚未處理"),"")</f>
        <v>已處理</v>
      </c>
      <c r="B22" s="2" t="s">
        <v>3531</v>
      </c>
      <c r="C22" s="2" t="s">
        <v>17</v>
      </c>
      <c r="D22" s="2" t="s">
        <v>900</v>
      </c>
      <c r="E22" s="2" t="s">
        <v>3422</v>
      </c>
    </row>
    <row r="23" spans="1:5" x14ac:dyDescent="0.25">
      <c r="A23" s="2" t="str">
        <f>IF(B23&lt;&gt;"",IF(_xlfn.IFNA(VLOOKUP(B23,OmsControlTable!T:T,1,0),"尚未處理")&lt;&gt;"尚未處理","已處理","尚未處理"),"")</f>
        <v>已處理</v>
      </c>
      <c r="B23" s="2" t="s">
        <v>3532</v>
      </c>
      <c r="C23" s="2" t="s">
        <v>17</v>
      </c>
      <c r="D23" s="2" t="s">
        <v>67</v>
      </c>
      <c r="E23" s="2" t="s">
        <v>3416</v>
      </c>
    </row>
    <row r="24" spans="1:5" x14ac:dyDescent="0.25">
      <c r="A24" s="2" t="str">
        <f>IF(B24&lt;&gt;"",IF(_xlfn.IFNA(VLOOKUP(B24,OmsControlTable!T:T,1,0),"尚未處理")&lt;&gt;"尚未處理","已處理","尚未處理"),"")</f>
        <v>已處理</v>
      </c>
      <c r="B24" s="2" t="s">
        <v>3383</v>
      </c>
      <c r="C24" s="2" t="s">
        <v>17</v>
      </c>
      <c r="D24" s="2" t="s">
        <v>18</v>
      </c>
      <c r="E24" s="2" t="s">
        <v>3386</v>
      </c>
    </row>
    <row r="25" spans="1:5" x14ac:dyDescent="0.25">
      <c r="A25" s="2" t="str">
        <f>IF(B25&lt;&gt;"",IF(_xlfn.IFNA(VLOOKUP(B25,OmsControlTable!T:T,1,0),"尚未處理")&lt;&gt;"尚未處理","已處理","尚未處理"),"")</f>
        <v>已處理</v>
      </c>
      <c r="B25" s="2" t="s">
        <v>3438</v>
      </c>
      <c r="C25" s="2" t="s">
        <v>17</v>
      </c>
      <c r="D25" s="2" t="s">
        <v>18</v>
      </c>
      <c r="E25" s="2" t="s">
        <v>3387</v>
      </c>
    </row>
    <row r="26" spans="1:5" x14ac:dyDescent="0.25">
      <c r="A26" s="2" t="str">
        <f>IF(B26&lt;&gt;"",IF(_xlfn.IFNA(VLOOKUP(B26,OmsControlTable!T:T,1,0),"尚未處理")&lt;&gt;"尚未處理","已處理","尚未處理"),"")</f>
        <v>已處理</v>
      </c>
      <c r="B26" s="2" t="s">
        <v>3533</v>
      </c>
      <c r="C26" s="2" t="s">
        <v>17</v>
      </c>
      <c r="D26" s="2" t="s">
        <v>18</v>
      </c>
      <c r="E26" s="2" t="s">
        <v>3388</v>
      </c>
    </row>
    <row r="27" spans="1:5" x14ac:dyDescent="0.25">
      <c r="A27" s="2" t="str">
        <f>IF(B27&lt;&gt;"",IF(_xlfn.IFNA(VLOOKUP(B27,OmsControlTable!T:T,1,0),"尚未處理")&lt;&gt;"尚未處理","已處理","尚未處理"),"")</f>
        <v>已處理</v>
      </c>
      <c r="B27" s="2" t="s">
        <v>3534</v>
      </c>
      <c r="C27" s="2" t="s">
        <v>17</v>
      </c>
      <c r="D27" s="2" t="s">
        <v>900</v>
      </c>
      <c r="E27" s="2" t="s">
        <v>3374</v>
      </c>
    </row>
    <row r="28" spans="1:5" x14ac:dyDescent="0.25">
      <c r="A28" s="2" t="str">
        <f>IF(B28&lt;&gt;"",IF(_xlfn.IFNA(VLOOKUP(B28,OmsControlTable!T:T,1,0),"尚未處理")&lt;&gt;"尚未處理","已處理","尚未處理"),"")</f>
        <v>已處理</v>
      </c>
      <c r="B28" s="2" t="s">
        <v>3535</v>
      </c>
      <c r="C28" s="2" t="s">
        <v>17</v>
      </c>
      <c r="D28" s="2" t="s">
        <v>3366</v>
      </c>
      <c r="E28" s="2" t="s">
        <v>3367</v>
      </c>
    </row>
    <row r="29" spans="1:5" x14ac:dyDescent="0.25">
      <c r="A29" s="2" t="str">
        <f>IF(B29&lt;&gt;"",IF(_xlfn.IFNA(VLOOKUP(B29,OmsControlTable!T:T,1,0),"尚未處理")&lt;&gt;"尚未處理","已處理","尚未處理"),"")</f>
        <v>已處理</v>
      </c>
      <c r="B29" s="2" t="s">
        <v>3536</v>
      </c>
      <c r="C29" s="2" t="s">
        <v>17</v>
      </c>
      <c r="D29" s="2" t="s">
        <v>3348</v>
      </c>
      <c r="E29" s="2" t="s">
        <v>3349</v>
      </c>
    </row>
    <row r="30" spans="1:5" x14ac:dyDescent="0.25">
      <c r="A30" s="2" t="str">
        <f>IF(B30&lt;&gt;"",IF(_xlfn.IFNA(VLOOKUP(B30,OmsControlTable!T:T,1,0),"尚未處理")&lt;&gt;"尚未處理","已處理","尚未處理"),"")</f>
        <v>已處理</v>
      </c>
      <c r="B30" s="2" t="s">
        <v>3338</v>
      </c>
      <c r="C30" s="2" t="s">
        <v>17</v>
      </c>
      <c r="D30" s="2" t="s">
        <v>3339</v>
      </c>
      <c r="E30" s="2" t="s">
        <v>3340</v>
      </c>
    </row>
    <row r="31" spans="1:5" x14ac:dyDescent="0.25">
      <c r="A31" s="2" t="str">
        <f>IF(B31&lt;&gt;"",IF(_xlfn.IFNA(VLOOKUP(B31,OmsControlTable!T:T,1,0),"尚未處理")&lt;&gt;"尚未處理","已處理","尚未處理"),"")</f>
        <v>已處理</v>
      </c>
      <c r="B31" s="2" t="s">
        <v>3334</v>
      </c>
      <c r="C31" s="2" t="s">
        <v>17</v>
      </c>
      <c r="D31" s="2" t="s">
        <v>3335</v>
      </c>
      <c r="E31" s="2" t="s">
        <v>3336</v>
      </c>
    </row>
    <row r="32" spans="1:5" x14ac:dyDescent="0.25">
      <c r="A32" s="2" t="str">
        <f>IF(B32&lt;&gt;"",IF(_xlfn.IFNA(VLOOKUP(B32,OmsControlTable!T:T,1,0),"尚未處理")&lt;&gt;"尚未處理","已處理","尚未處理"),"")</f>
        <v>已處理</v>
      </c>
      <c r="B32" s="2" t="s">
        <v>3537</v>
      </c>
      <c r="C32" s="2" t="s">
        <v>17</v>
      </c>
      <c r="D32" s="2" t="s">
        <v>1</v>
      </c>
      <c r="E32" s="2" t="s">
        <v>3301</v>
      </c>
    </row>
    <row r="33" spans="1:5" x14ac:dyDescent="0.25">
      <c r="A33" s="2" t="str">
        <f>IF(B33&lt;&gt;"",IF(_xlfn.IFNA(VLOOKUP(B33,OmsControlTable!T:T,1,0),"尚未處理")&lt;&gt;"尚未處理","已處理","尚未處理"),"")</f>
        <v>已處理</v>
      </c>
      <c r="B33" s="2" t="s">
        <v>3538</v>
      </c>
      <c r="C33" s="2" t="s">
        <v>17</v>
      </c>
      <c r="D33" s="2" t="s">
        <v>3294</v>
      </c>
      <c r="E33" s="2" t="s">
        <v>3295</v>
      </c>
    </row>
    <row r="34" spans="1:5" x14ac:dyDescent="0.25">
      <c r="A34" s="2" t="str">
        <f>IF(B34&lt;&gt;"",IF(_xlfn.IFNA(VLOOKUP(B34,OmsControlTable!T:T,1,0),"尚未處理")&lt;&gt;"尚未處理","已處理","尚未處理"),"")</f>
        <v>已處理</v>
      </c>
      <c r="B34" s="2" t="s">
        <v>3539</v>
      </c>
      <c r="C34" s="2" t="s">
        <v>17</v>
      </c>
      <c r="D34" s="2" t="s">
        <v>1</v>
      </c>
      <c r="E34" s="2" t="s">
        <v>3275</v>
      </c>
    </row>
    <row r="35" spans="1:5" x14ac:dyDescent="0.25">
      <c r="A35" s="2" t="str">
        <f>IF(B35&lt;&gt;"",IF(_xlfn.IFNA(VLOOKUP(B35,OmsControlTable!T:T,1,0),"尚未處理")&lt;&gt;"尚未處理","已處理","尚未處理"),"")</f>
        <v>已處理</v>
      </c>
      <c r="B35" s="2" t="s">
        <v>3263</v>
      </c>
      <c r="C35" s="2" t="s">
        <v>17</v>
      </c>
      <c r="D35" s="2" t="s">
        <v>1</v>
      </c>
      <c r="E35" s="2" t="s">
        <v>3540</v>
      </c>
    </row>
    <row r="36" spans="1:5" x14ac:dyDescent="0.25">
      <c r="A36" s="2" t="str">
        <f>IF(B36&lt;&gt;"",IF(_xlfn.IFNA(VLOOKUP(B36,OmsControlTable!T:T,1,0),"尚未處理")&lt;&gt;"尚未處理","已處理","尚未處理"),"")</f>
        <v>已處理</v>
      </c>
      <c r="B36" s="2" t="s">
        <v>3541</v>
      </c>
      <c r="C36" s="2" t="s">
        <v>17</v>
      </c>
      <c r="D36" s="2" t="s">
        <v>900</v>
      </c>
      <c r="E36" s="2" t="s">
        <v>3214</v>
      </c>
    </row>
    <row r="37" spans="1:5" x14ac:dyDescent="0.25">
      <c r="A37" s="2" t="str">
        <f>IF(B37&lt;&gt;"",IF(_xlfn.IFNA(VLOOKUP(B37,OmsControlTable!T:T,1,0),"尚未處理")&lt;&gt;"尚未處理","已處理","尚未處理"),"")</f>
        <v>已處理</v>
      </c>
      <c r="B37" s="2" t="s">
        <v>3030</v>
      </c>
      <c r="C37" s="2" t="s">
        <v>17</v>
      </c>
      <c r="D37" s="2" t="s">
        <v>1</v>
      </c>
      <c r="E37" s="2" t="s">
        <v>2322</v>
      </c>
    </row>
    <row r="38" spans="1:5" x14ac:dyDescent="0.25">
      <c r="A38" s="2" t="str">
        <f>IF(B38&lt;&gt;"",IF(_xlfn.IFNA(VLOOKUP(B38,OmsControlTable!T:T,1,0),"尚未處理")&lt;&gt;"尚未處理","已處理","尚未處理"),"")</f>
        <v>已處理</v>
      </c>
      <c r="B38" s="2" t="s">
        <v>3031</v>
      </c>
      <c r="C38" s="2" t="s">
        <v>17</v>
      </c>
      <c r="D38" s="2" t="s">
        <v>2149</v>
      </c>
      <c r="E38" s="2" t="s">
        <v>3032</v>
      </c>
    </row>
    <row r="39" spans="1:5" x14ac:dyDescent="0.25">
      <c r="A39" s="2" t="str">
        <f>IF(B39&lt;&gt;"",IF(_xlfn.IFNA(VLOOKUP(B39,OmsControlTable!T:T,1,0),"尚未處理")&lt;&gt;"尚未處理","已處理","尚未處理"),"")</f>
        <v>已處理</v>
      </c>
      <c r="B39" s="2" t="s">
        <v>3033</v>
      </c>
      <c r="C39" s="2" t="s">
        <v>17</v>
      </c>
      <c r="D39" s="2" t="s">
        <v>2149</v>
      </c>
      <c r="E39" s="2" t="s">
        <v>3034</v>
      </c>
    </row>
    <row r="40" spans="1:5" x14ac:dyDescent="0.25">
      <c r="A40" s="2" t="str">
        <f>IF(B40&lt;&gt;"",IF(_xlfn.IFNA(VLOOKUP(B40,OmsControlTable!T:T,1,0),"尚未處理")&lt;&gt;"尚未處理","已處理","尚未處理"),"")</f>
        <v>已處理</v>
      </c>
      <c r="B40" s="2" t="s">
        <v>3035</v>
      </c>
      <c r="C40" s="2" t="s">
        <v>17</v>
      </c>
      <c r="D40" s="2" t="s">
        <v>2149</v>
      </c>
      <c r="E40" s="2" t="s">
        <v>3036</v>
      </c>
    </row>
    <row r="41" spans="1:5" x14ac:dyDescent="0.25">
      <c r="A41" s="2" t="str">
        <f>IF(B41&lt;&gt;"",IF(_xlfn.IFNA(VLOOKUP(B41,OmsControlTable!T:T,1,0),"尚未處理")&lt;&gt;"尚未處理","已處理","尚未處理"),"")</f>
        <v>已處理</v>
      </c>
      <c r="B41" s="2" t="s">
        <v>3166</v>
      </c>
      <c r="C41" s="2" t="s">
        <v>17</v>
      </c>
      <c r="D41" s="2" t="s">
        <v>900</v>
      </c>
      <c r="E41" s="2" t="s">
        <v>3167</v>
      </c>
    </row>
    <row r="42" spans="1:5" x14ac:dyDescent="0.25">
      <c r="A42" s="2" t="str">
        <f>IF(B42&lt;&gt;"",IF(_xlfn.IFNA(VLOOKUP(B42,OmsControlTable!T:T,1,0),"尚未處理")&lt;&gt;"尚未處理","已處理","尚未處理"),"")</f>
        <v>已處理</v>
      </c>
      <c r="B42" s="2" t="s">
        <v>3168</v>
      </c>
      <c r="C42" s="2" t="s">
        <v>17</v>
      </c>
      <c r="D42" s="2" t="s">
        <v>18</v>
      </c>
      <c r="E42" s="2" t="s">
        <v>3169</v>
      </c>
    </row>
    <row r="43" spans="1:5" x14ac:dyDescent="0.25">
      <c r="A43" s="2" t="str">
        <f>IF(B43&lt;&gt;"",IF(_xlfn.IFNA(VLOOKUP(B43,OmsControlTable!T:T,1,0),"尚未處理")&lt;&gt;"尚未處理","已處理","尚未處理"),"")</f>
        <v/>
      </c>
      <c r="B43" s="2"/>
      <c r="C43" s="2"/>
      <c r="D43" s="2"/>
      <c r="E43" s="2"/>
    </row>
    <row r="44" spans="1:5" x14ac:dyDescent="0.25">
      <c r="A44" s="2" t="str">
        <f>IF(B44&lt;&gt;"",IF(_xlfn.IFNA(VLOOKUP(B44,OmsControlTable!T:T,1,0),"尚未處理")&lt;&gt;"尚未處理","已處理","尚未處理"),"")</f>
        <v/>
      </c>
      <c r="B44" s="2"/>
      <c r="C44" s="2"/>
      <c r="D44" s="2"/>
      <c r="E44" s="2"/>
    </row>
    <row r="45" spans="1:5" x14ac:dyDescent="0.25">
      <c r="A45" s="2" t="str">
        <f>IF(B45&lt;&gt;"",IF(_xlfn.IFNA(VLOOKUP(B45,OmsControlTable!T:T,1,0),"尚未處理")&lt;&gt;"尚未處理","已處理","尚未處理"),"")</f>
        <v/>
      </c>
      <c r="B45" s="2"/>
      <c r="C45" s="2"/>
      <c r="D45" s="2"/>
      <c r="E45" s="2"/>
    </row>
    <row r="46" spans="1:5" x14ac:dyDescent="0.25">
      <c r="A46" s="2" t="str">
        <f>IF(B46&lt;&gt;"",IF(_xlfn.IFNA(VLOOKUP(B46,OmsControlTable!T:T,1,0),"尚未處理")&lt;&gt;"尚未處理","已處理","尚未處理"),"")</f>
        <v/>
      </c>
      <c r="B46" s="2"/>
      <c r="C46" s="2"/>
      <c r="D46" s="2"/>
      <c r="E46" s="2"/>
    </row>
    <row r="47" spans="1:5" x14ac:dyDescent="0.25">
      <c r="A47" s="2" t="str">
        <f>IF(B47&lt;&gt;"",IF(_xlfn.IFNA(VLOOKUP(B47,OmsControlTable!T:T,1,0),"尚未處理")&lt;&gt;"尚未處理","已處理","尚未處理"),"")</f>
        <v/>
      </c>
      <c r="B47" s="2"/>
      <c r="C47" s="2"/>
      <c r="D47" s="2"/>
      <c r="E47" s="2"/>
    </row>
    <row r="48" spans="1:5" x14ac:dyDescent="0.25">
      <c r="A48" s="2" t="str">
        <f>IF(B48&lt;&gt;"",IF(_xlfn.IFNA(VLOOKUP(B48,OmsControlTable!T:T,1,0),"尚未處理")&lt;&gt;"尚未處理","已處理","尚未處理"),"")</f>
        <v/>
      </c>
      <c r="B48" s="2"/>
      <c r="C48" s="2"/>
      <c r="D48" s="2"/>
      <c r="E48" s="2"/>
    </row>
    <row r="49" spans="1:5" x14ac:dyDescent="0.25">
      <c r="A49" s="2" t="str">
        <f>IF(B49&lt;&gt;"",IF(_xlfn.IFNA(VLOOKUP(B49,OmsControlTable!T:T,1,0),"尚未處理")&lt;&gt;"尚未處理","已處理","尚未處理"),"")</f>
        <v/>
      </c>
      <c r="B49" s="2"/>
      <c r="C49" s="2"/>
      <c r="D49" s="2"/>
      <c r="E49" s="2"/>
    </row>
    <row r="50" spans="1:5" x14ac:dyDescent="0.25">
      <c r="A50" s="2" t="str">
        <f>IF(B50&lt;&gt;"",IF(_xlfn.IFNA(VLOOKUP(B50,OmsControlTable!T:T,1,0),"尚未處理")&lt;&gt;"尚未處理","已處理","尚未處理"),"")</f>
        <v/>
      </c>
      <c r="B50" s="2"/>
      <c r="C50" s="2"/>
      <c r="D50" s="2"/>
      <c r="E50" s="2"/>
    </row>
    <row r="51" spans="1:5" x14ac:dyDescent="0.25">
      <c r="A51" s="2" t="str">
        <f>IF(B51&lt;&gt;"",IF(_xlfn.IFNA(VLOOKUP(B51,OmsControlTable!T:T,1,0),"尚未處理")&lt;&gt;"尚未處理","已處理","尚未處理"),"")</f>
        <v/>
      </c>
      <c r="B51" s="2"/>
      <c r="C51" s="2"/>
      <c r="D51" s="2"/>
      <c r="E51" s="2"/>
    </row>
    <row r="52" spans="1:5" x14ac:dyDescent="0.25">
      <c r="A52" s="2" t="str">
        <f>IF(B52&lt;&gt;"",IF(_xlfn.IFNA(VLOOKUP(B52,OmsControlTable!T:T,1,0),"尚未處理")&lt;&gt;"尚未處理","已處理","尚未處理"),"")</f>
        <v/>
      </c>
      <c r="B52" s="2"/>
      <c r="C52" s="2"/>
      <c r="D52" s="2"/>
      <c r="E52" s="2"/>
    </row>
    <row r="53" spans="1:5" x14ac:dyDescent="0.25">
      <c r="A53" s="2" t="str">
        <f>IF(B53&lt;&gt;"",IF(_xlfn.IFNA(VLOOKUP(B53,OmsControlTable!T:T,1,0),"尚未處理")&lt;&gt;"尚未處理","已處理","尚未處理"),"")</f>
        <v/>
      </c>
      <c r="B53" s="2"/>
      <c r="C53" s="2"/>
      <c r="D53" s="2"/>
      <c r="E53" s="2"/>
    </row>
    <row r="54" spans="1:5" x14ac:dyDescent="0.25">
      <c r="A54" s="2" t="str">
        <f>IF(B54&lt;&gt;"",IF(_xlfn.IFNA(VLOOKUP(B54,OmsControlTable!T:T,1,0),"尚未處理")&lt;&gt;"尚未處理","已處理","尚未處理"),"")</f>
        <v/>
      </c>
      <c r="B54" s="2"/>
      <c r="C54" s="2"/>
      <c r="D54" s="2"/>
      <c r="E54" s="2"/>
    </row>
    <row r="55" spans="1:5" x14ac:dyDescent="0.25">
      <c r="A55" s="2" t="str">
        <f>IF(B55&lt;&gt;"",IF(_xlfn.IFNA(VLOOKUP(B55,OmsControlTable!T:T,1,0),"尚未處理")&lt;&gt;"尚未處理","已處理","尚未處理"),"")</f>
        <v/>
      </c>
      <c r="B55" s="2"/>
      <c r="C55" s="2"/>
      <c r="D55" s="2"/>
      <c r="E55" s="2"/>
    </row>
    <row r="56" spans="1:5" x14ac:dyDescent="0.25">
      <c r="A56" s="2" t="str">
        <f>IF(B56&lt;&gt;"",IF(_xlfn.IFNA(VLOOKUP(B56,OmsControlTable!T:T,1,0),"尚未處理")&lt;&gt;"尚未處理","已處理","尚未處理"),"")</f>
        <v/>
      </c>
      <c r="B56" s="2"/>
      <c r="C56" s="2"/>
      <c r="D56" s="2"/>
      <c r="E56" s="2"/>
    </row>
    <row r="57" spans="1:5" x14ac:dyDescent="0.25">
      <c r="A57" s="2" t="str">
        <f>IF(B57&lt;&gt;"",IF(_xlfn.IFNA(VLOOKUP(B57,OmsControlTable!T:T,1,0),"尚未處理")&lt;&gt;"尚未處理","已處理","尚未處理"),"")</f>
        <v/>
      </c>
      <c r="B57" s="2"/>
      <c r="C57" s="2"/>
      <c r="D57" s="2"/>
      <c r="E57" s="2"/>
    </row>
    <row r="58" spans="1:5" x14ac:dyDescent="0.25">
      <c r="A58" s="2" t="str">
        <f>IF(B58&lt;&gt;"",IF(_xlfn.IFNA(VLOOKUP(B58,OmsControlTable!T:T,1,0),"尚未處理")&lt;&gt;"尚未處理","已處理","尚未處理"),"")</f>
        <v/>
      </c>
      <c r="B58" s="2"/>
      <c r="C58" s="2"/>
      <c r="D58" s="2"/>
      <c r="E58" s="2"/>
    </row>
    <row r="59" spans="1:5" x14ac:dyDescent="0.25">
      <c r="A59" s="2" t="str">
        <f>IF(B59&lt;&gt;"",IF(_xlfn.IFNA(VLOOKUP(B59,OmsControlTable!T:T,1,0),"尚未處理")&lt;&gt;"尚未處理","已處理","尚未處理"),"")</f>
        <v/>
      </c>
      <c r="B59" s="2"/>
      <c r="C59" s="2"/>
      <c r="D59" s="2"/>
      <c r="E59" s="2"/>
    </row>
    <row r="60" spans="1:5" x14ac:dyDescent="0.25">
      <c r="A60" s="2" t="str">
        <f>IF(B60&lt;&gt;"",IF(_xlfn.IFNA(VLOOKUP(B60,OmsControlTable!T:T,1,0),"尚未處理")&lt;&gt;"尚未處理","已處理","尚未處理"),"")</f>
        <v/>
      </c>
      <c r="B60" s="2"/>
      <c r="C60" s="2"/>
      <c r="D60" s="2"/>
      <c r="E60" s="2"/>
    </row>
    <row r="61" spans="1:5" x14ac:dyDescent="0.25">
      <c r="A61" s="2" t="str">
        <f>IF(B61&lt;&gt;"",IF(_xlfn.IFNA(VLOOKUP(B61,OmsControlTable!T:T,1,0),"尚未處理")&lt;&gt;"尚未處理","已處理","尚未處理"),"")</f>
        <v/>
      </c>
      <c r="B61" s="2"/>
      <c r="C61" s="2"/>
      <c r="D61" s="2"/>
      <c r="E61" s="2"/>
    </row>
    <row r="62" spans="1:5" x14ac:dyDescent="0.25">
      <c r="A62" s="2" t="str">
        <f>IF(B62&lt;&gt;"",IF(_xlfn.IFNA(VLOOKUP(B62,OmsControlTable!T:T,1,0),"尚未處理")&lt;&gt;"尚未處理","已處理","尚未處理"),"")</f>
        <v/>
      </c>
      <c r="B62" s="2"/>
      <c r="C62" s="2"/>
      <c r="D62" s="2"/>
      <c r="E62" s="2"/>
    </row>
    <row r="63" spans="1:5" x14ac:dyDescent="0.25">
      <c r="A63" s="2" t="str">
        <f>IF(B63&lt;&gt;"",IF(_xlfn.IFNA(VLOOKUP(B63,OmsControlTable!T:T,1,0),"尚未處理")&lt;&gt;"尚未處理","已處理","尚未處理"),"")</f>
        <v/>
      </c>
      <c r="B63" s="2"/>
      <c r="C63" s="2"/>
      <c r="D63" s="2"/>
      <c r="E63" s="2"/>
    </row>
    <row r="64" spans="1:5" x14ac:dyDescent="0.25">
      <c r="A64" s="2" t="str">
        <f>IF(B64&lt;&gt;"",IF(_xlfn.IFNA(VLOOKUP(B64,OmsControlTable!T:T,1,0),"尚未處理")&lt;&gt;"尚未處理","已處理","尚未處理"),"")</f>
        <v/>
      </c>
      <c r="B64" s="2"/>
      <c r="C64" s="2"/>
      <c r="D64" s="2"/>
      <c r="E64" s="2"/>
    </row>
    <row r="65" spans="1:5" x14ac:dyDescent="0.25">
      <c r="A65" s="2" t="str">
        <f>IF(B65&lt;&gt;"",IF(_xlfn.IFNA(VLOOKUP(B65,OmsControlTable!T:T,1,0),"尚未處理")&lt;&gt;"尚未處理","已處理","尚未處理"),"")</f>
        <v/>
      </c>
      <c r="B65" s="2"/>
      <c r="C65" s="2"/>
      <c r="D65" s="2"/>
      <c r="E65" s="2"/>
    </row>
    <row r="66" spans="1:5" x14ac:dyDescent="0.25">
      <c r="A66" s="2" t="str">
        <f>IF(B66&lt;&gt;"",IF(_xlfn.IFNA(VLOOKUP(B66,OmsControlTable!T:T,1,0),"尚未處理")&lt;&gt;"尚未處理","已處理","尚未處理"),"")</f>
        <v/>
      </c>
      <c r="B66" s="2"/>
      <c r="C66" s="2"/>
      <c r="D66" s="2"/>
      <c r="E66" s="2"/>
    </row>
    <row r="67" spans="1:5" x14ac:dyDescent="0.25">
      <c r="A67" s="2" t="str">
        <f>IF(B67&lt;&gt;"",IF(_xlfn.IFNA(VLOOKUP(B67,OmsControlTable!T:T,1,0),"尚未處理")&lt;&gt;"尚未處理","已處理","尚未處理"),"")</f>
        <v/>
      </c>
      <c r="B67" s="2"/>
      <c r="C67" s="2"/>
      <c r="D67" s="2"/>
      <c r="E67" s="2"/>
    </row>
    <row r="68" spans="1:5" x14ac:dyDescent="0.25">
      <c r="A68" s="2" t="str">
        <f>IF(B68&lt;&gt;"",IF(_xlfn.IFNA(VLOOKUP(B68,OmsControlTable!T:T,1,0),"尚未處理")&lt;&gt;"尚未處理","已處理","尚未處理"),"")</f>
        <v/>
      </c>
      <c r="B68" s="2"/>
      <c r="C68" s="2"/>
      <c r="D68" s="2"/>
      <c r="E68" s="2"/>
    </row>
    <row r="69" spans="1:5" x14ac:dyDescent="0.25">
      <c r="A69" s="2" t="str">
        <f>IF(B69&lt;&gt;"",IF(_xlfn.IFNA(VLOOKUP(B69,OmsControlTable!T:T,1,0),"尚未處理")&lt;&gt;"尚未處理","已處理","尚未處理"),"")</f>
        <v/>
      </c>
      <c r="B69" s="2"/>
      <c r="C69" s="2"/>
      <c r="D69" s="2"/>
      <c r="E69" s="2"/>
    </row>
    <row r="70" spans="1:5" x14ac:dyDescent="0.25">
      <c r="A70" s="2" t="str">
        <f>IF(B70&lt;&gt;"",IF(_xlfn.IFNA(VLOOKUP(B70,OmsControlTable!T:T,1,0),"尚未處理")&lt;&gt;"尚未處理","已處理","尚未處理"),"")</f>
        <v/>
      </c>
      <c r="B70" s="2"/>
      <c r="C70" s="2"/>
      <c r="D70" s="2"/>
      <c r="E70" s="2"/>
    </row>
    <row r="71" spans="1:5" x14ac:dyDescent="0.25">
      <c r="A71" s="2" t="str">
        <f>IF(B71&lt;&gt;"",IF(_xlfn.IFNA(VLOOKUP(B71,OmsControlTable!T:T,1,0),"尚未處理")&lt;&gt;"尚未處理","已處理","尚未處理"),"")</f>
        <v/>
      </c>
      <c r="B71" s="2"/>
      <c r="C71" s="2"/>
      <c r="D71" s="2"/>
      <c r="E71" s="2"/>
    </row>
    <row r="72" spans="1:5" x14ac:dyDescent="0.25">
      <c r="A72" s="2" t="str">
        <f>IF(B72&lt;&gt;"",IF(_xlfn.IFNA(VLOOKUP(B72,OmsControlTable!T:T,1,0),"尚未處理")&lt;&gt;"尚未處理","已處理","尚未處理"),"")</f>
        <v/>
      </c>
      <c r="B72" s="2"/>
      <c r="C72" s="2"/>
      <c r="D72" s="2"/>
      <c r="E72" s="2"/>
    </row>
    <row r="73" spans="1:5" x14ac:dyDescent="0.25">
      <c r="A73" s="2" t="str">
        <f>IF(B73&lt;&gt;"",IF(_xlfn.IFNA(VLOOKUP(B73,OmsControlTable!T:T,1,0),"尚未處理")&lt;&gt;"尚未處理","已處理","尚未處理"),"")</f>
        <v/>
      </c>
      <c r="B73" s="2"/>
      <c r="C73" s="2"/>
      <c r="D73" s="2"/>
      <c r="E73" s="2"/>
    </row>
    <row r="74" spans="1:5" x14ac:dyDescent="0.25">
      <c r="A74" s="2" t="str">
        <f>IF(B74&lt;&gt;"",IF(_xlfn.IFNA(VLOOKUP(B74,OmsControlTable!T:T,1,0),"尚未處理")&lt;&gt;"尚未處理","已處理","尚未處理"),"")</f>
        <v/>
      </c>
      <c r="B74" s="2"/>
      <c r="C74" s="2"/>
      <c r="D74" s="2"/>
      <c r="E74" s="2"/>
    </row>
    <row r="75" spans="1:5" x14ac:dyDescent="0.25">
      <c r="A75" s="2" t="str">
        <f>IF(B75&lt;&gt;"",IF(_xlfn.IFNA(VLOOKUP(B75,OmsControlTable!T:T,1,0),"尚未處理")&lt;&gt;"尚未處理","已處理","尚未處理"),"")</f>
        <v/>
      </c>
      <c r="B75" s="2"/>
      <c r="C75" s="2"/>
      <c r="D75" s="2"/>
      <c r="E75" s="2"/>
    </row>
    <row r="76" spans="1:5" x14ac:dyDescent="0.25">
      <c r="A76" s="2" t="str">
        <f>IF(B76&lt;&gt;"",IF(_xlfn.IFNA(VLOOKUP(B76,OmsControlTable!T:T,1,0),"尚未處理")&lt;&gt;"尚未處理","已處理","尚未處理"),"")</f>
        <v/>
      </c>
      <c r="B76" s="2"/>
      <c r="C76" s="2"/>
      <c r="D76" s="2"/>
      <c r="E76" s="2"/>
    </row>
    <row r="77" spans="1:5" x14ac:dyDescent="0.25">
      <c r="A77" s="2" t="str">
        <f>IF(B77&lt;&gt;"",IF(_xlfn.IFNA(VLOOKUP(B77,OmsControlTable!T:T,1,0),"尚未處理")&lt;&gt;"尚未處理","已處理","尚未處理"),"")</f>
        <v/>
      </c>
      <c r="B77" s="2"/>
      <c r="C77" s="2"/>
      <c r="D77" s="2"/>
      <c r="E77" s="2"/>
    </row>
    <row r="78" spans="1:5" x14ac:dyDescent="0.25">
      <c r="A78" s="2" t="str">
        <f>IF(B78&lt;&gt;"",IF(_xlfn.IFNA(VLOOKUP(B78,OmsControlTable!T:T,1,0),"尚未處理")&lt;&gt;"尚未處理","已處理","尚未處理"),"")</f>
        <v/>
      </c>
      <c r="B78" s="2"/>
      <c r="C78" s="2"/>
      <c r="D78" s="2"/>
      <c r="E78" s="2"/>
    </row>
    <row r="79" spans="1:5" x14ac:dyDescent="0.25">
      <c r="A79" s="2" t="str">
        <f>IF(B79&lt;&gt;"",IF(_xlfn.IFNA(VLOOKUP(B79,OmsControlTable!T:T,1,0),"尚未處理")&lt;&gt;"尚未處理","已處理","尚未處理"),"")</f>
        <v/>
      </c>
      <c r="B79" s="2"/>
      <c r="C79" s="2"/>
      <c r="D79" s="2"/>
      <c r="E79" s="2"/>
    </row>
    <row r="80" spans="1:5" x14ac:dyDescent="0.25">
      <c r="A80" s="2" t="str">
        <f>IF(B80&lt;&gt;"",IF(_xlfn.IFNA(VLOOKUP(B80,OmsControlTable!T:T,1,0),"尚未處理")&lt;&gt;"尚未處理","已處理","尚未處理"),"")</f>
        <v/>
      </c>
      <c r="B80" s="2"/>
      <c r="C80" s="2"/>
      <c r="D80" s="2"/>
      <c r="E80" s="2"/>
    </row>
    <row r="81" spans="1:5" x14ac:dyDescent="0.25">
      <c r="A81" s="2" t="str">
        <f>IF(B81&lt;&gt;"",IF(_xlfn.IFNA(VLOOKUP(B81,OmsControlTable!T:T,1,0),"尚未處理")&lt;&gt;"尚未處理","已處理","尚未處理"),"")</f>
        <v/>
      </c>
      <c r="B81" s="2"/>
      <c r="C81" s="2"/>
      <c r="D81" s="2"/>
      <c r="E81" s="2"/>
    </row>
    <row r="82" spans="1:5" x14ac:dyDescent="0.25">
      <c r="A82" s="2" t="str">
        <f>IF(B82&lt;&gt;"",IF(_xlfn.IFNA(VLOOKUP(B82,OmsControlTable!T:T,1,0),"尚未處理")&lt;&gt;"尚未處理","已處理","尚未處理"),"")</f>
        <v/>
      </c>
      <c r="B82" s="2"/>
      <c r="C82" s="2"/>
      <c r="D82" s="2"/>
      <c r="E82" s="2"/>
    </row>
    <row r="83" spans="1:5" x14ac:dyDescent="0.25">
      <c r="A83" s="2" t="str">
        <f>IF(B83&lt;&gt;"",IF(_xlfn.IFNA(VLOOKUP(B83,OmsControlTable!T:T,1,0),"尚未處理")&lt;&gt;"尚未處理","已處理","尚未處理"),"")</f>
        <v/>
      </c>
      <c r="B83" s="2"/>
      <c r="C83" s="2"/>
      <c r="D83" s="2"/>
      <c r="E83" s="2"/>
    </row>
    <row r="84" spans="1:5" x14ac:dyDescent="0.25">
      <c r="A84" s="2" t="str">
        <f>IF(B84&lt;&gt;"",IF(_xlfn.IFNA(VLOOKUP(B84,OmsControlTable!T:T,1,0),"尚未處理")&lt;&gt;"尚未處理","已處理","尚未處理"),"")</f>
        <v/>
      </c>
      <c r="B84" s="2"/>
      <c r="C84" s="2"/>
      <c r="D84" s="2"/>
      <c r="E84" s="2"/>
    </row>
    <row r="85" spans="1:5" x14ac:dyDescent="0.25">
      <c r="A85" s="2" t="str">
        <f>IF(B85&lt;&gt;"",IF(_xlfn.IFNA(VLOOKUP(B85,OmsControlTable!T:T,1,0),"尚未處理")&lt;&gt;"尚未處理","已處理","尚未處理"),"")</f>
        <v/>
      </c>
      <c r="B85" s="2"/>
      <c r="C85" s="2"/>
      <c r="D85" s="2"/>
      <c r="E85" s="2"/>
    </row>
    <row r="86" spans="1:5" x14ac:dyDescent="0.25">
      <c r="A86" s="2" t="str">
        <f>IF(B86&lt;&gt;"",IF(_xlfn.IFNA(VLOOKUP(B86,OmsControlTable!T:T,1,0),"尚未處理")&lt;&gt;"尚未處理","已處理","尚未處理"),"")</f>
        <v/>
      </c>
      <c r="B86" s="2"/>
      <c r="C86" s="2"/>
      <c r="D86" s="2"/>
      <c r="E86" s="2"/>
    </row>
    <row r="87" spans="1:5" x14ac:dyDescent="0.25">
      <c r="A87" s="2" t="str">
        <f>IF(B87&lt;&gt;"",IF(_xlfn.IFNA(VLOOKUP(B87,OmsControlTable!T:T,1,0),"尚未處理")&lt;&gt;"尚未處理","已處理","尚未處理"),"")</f>
        <v/>
      </c>
      <c r="B87" s="2"/>
      <c r="C87" s="2"/>
      <c r="D87" s="2"/>
      <c r="E87" s="2"/>
    </row>
    <row r="88" spans="1:5" x14ac:dyDescent="0.25">
      <c r="A88" s="2" t="str">
        <f>IF(B88&lt;&gt;"",IF(_xlfn.IFNA(VLOOKUP(B88,OmsControlTable!T:T,1,0),"尚未處理")&lt;&gt;"尚未處理","已處理","尚未處理"),"")</f>
        <v/>
      </c>
      <c r="B88" s="2"/>
      <c r="C88" s="2"/>
      <c r="D88" s="2"/>
      <c r="E88" s="2"/>
    </row>
    <row r="89" spans="1:5" x14ac:dyDescent="0.25">
      <c r="A89" s="2" t="str">
        <f>IF(B89&lt;&gt;"",IF(_xlfn.IFNA(VLOOKUP(B89,OmsControlTable!T:T,1,0),"尚未處理")&lt;&gt;"尚未處理","已處理","尚未處理"),"")</f>
        <v/>
      </c>
      <c r="B89" s="2"/>
      <c r="C89" s="2"/>
      <c r="D89" s="2"/>
      <c r="E89" s="2"/>
    </row>
    <row r="90" spans="1:5" x14ac:dyDescent="0.25">
      <c r="A90" s="2" t="str">
        <f>IF(B90&lt;&gt;"",IF(_xlfn.IFNA(VLOOKUP(B90,OmsControlTable!T:T,1,0),"尚未處理")&lt;&gt;"尚未處理","已處理","尚未處理"),"")</f>
        <v/>
      </c>
      <c r="B90" s="2"/>
      <c r="C90" s="2"/>
      <c r="D90" s="2"/>
      <c r="E90" s="2"/>
    </row>
    <row r="91" spans="1:5" x14ac:dyDescent="0.25">
      <c r="A91" s="2" t="str">
        <f>IF(B91&lt;&gt;"",IF(_xlfn.IFNA(VLOOKUP(B91,OmsControlTable!T:T,1,0),"尚未處理")&lt;&gt;"尚未處理","已處理","尚未處理"),"")</f>
        <v/>
      </c>
      <c r="B91" s="2"/>
      <c r="C91" s="2"/>
      <c r="D91" s="2"/>
      <c r="E91" s="2"/>
    </row>
    <row r="92" spans="1:5" x14ac:dyDescent="0.25">
      <c r="A92" s="2" t="str">
        <f>IF(B92&lt;&gt;"",IF(_xlfn.IFNA(VLOOKUP(B92,OmsControlTable!T:T,1,0),"尚未處理")&lt;&gt;"尚未處理","已處理","尚未處理"),"")</f>
        <v/>
      </c>
      <c r="B92" s="2"/>
      <c r="C92" s="2"/>
      <c r="D92" s="2"/>
      <c r="E92" s="2"/>
    </row>
    <row r="93" spans="1:5" x14ac:dyDescent="0.25">
      <c r="A93" s="2" t="str">
        <f>IF(B93&lt;&gt;"",IF(_xlfn.IFNA(VLOOKUP(B93,OmsControlTable!T:T,1,0),"尚未處理")&lt;&gt;"尚未處理","已處理","尚未處理"),"")</f>
        <v/>
      </c>
      <c r="B93" s="2"/>
      <c r="C93" s="2"/>
      <c r="D93" s="2"/>
      <c r="E93" s="2"/>
    </row>
    <row r="94" spans="1:5" x14ac:dyDescent="0.25">
      <c r="A94" s="2" t="str">
        <f>IF(B94&lt;&gt;"",IF(_xlfn.IFNA(VLOOKUP(B94,OmsControlTable!T:T,1,0),"尚未處理")&lt;&gt;"尚未處理","已處理","尚未處理"),"")</f>
        <v/>
      </c>
      <c r="B94" s="2"/>
      <c r="C94" s="2"/>
      <c r="D94" s="2"/>
      <c r="E94" s="2"/>
    </row>
    <row r="95" spans="1:5" x14ac:dyDescent="0.25">
      <c r="A95" s="2" t="str">
        <f>IF(B95&lt;&gt;"",IF(_xlfn.IFNA(VLOOKUP(B95,OmsControlTable!T:T,1,0),"尚未處理")&lt;&gt;"尚未處理","已處理","尚未處理"),"")</f>
        <v/>
      </c>
      <c r="B95" s="2"/>
      <c r="C95" s="2"/>
      <c r="D95" s="2"/>
      <c r="E95" s="2"/>
    </row>
    <row r="96" spans="1:5" x14ac:dyDescent="0.25">
      <c r="A96" s="2" t="str">
        <f>IF(B96&lt;&gt;"",IF(_xlfn.IFNA(VLOOKUP(B96,OmsControlTable!T:T,1,0),"尚未處理")&lt;&gt;"尚未處理","已處理","尚未處理"),"")</f>
        <v/>
      </c>
      <c r="B96" s="2"/>
      <c r="C96" s="2"/>
      <c r="D96" s="2"/>
      <c r="E96" s="2"/>
    </row>
    <row r="97" spans="1:5" x14ac:dyDescent="0.25">
      <c r="A97" s="2" t="str">
        <f>IF(B97&lt;&gt;"",IF(_xlfn.IFNA(VLOOKUP(B97,OmsControlTable!T:T,1,0),"尚未處理")&lt;&gt;"尚未處理","已處理","尚未處理"),"")</f>
        <v/>
      </c>
      <c r="B97" s="2"/>
      <c r="C97" s="2"/>
      <c r="D97" s="2"/>
      <c r="E97" s="2"/>
    </row>
    <row r="98" spans="1:5" x14ac:dyDescent="0.25">
      <c r="A98" s="2" t="str">
        <f>IF(B98&lt;&gt;"",IF(_xlfn.IFNA(VLOOKUP(B98,OmsControlTable!T:T,1,0),"尚未處理")&lt;&gt;"尚未處理","已處理","尚未處理"),"")</f>
        <v/>
      </c>
      <c r="B98" s="2"/>
      <c r="C98" s="2"/>
      <c r="D98" s="2"/>
      <c r="E98" s="2"/>
    </row>
    <row r="99" spans="1:5" x14ac:dyDescent="0.25">
      <c r="A99" s="2" t="str">
        <f>IF(B99&lt;&gt;"",IF(_xlfn.IFNA(VLOOKUP(B99,OmsControlTable!T:T,1,0),"尚未處理")&lt;&gt;"尚未處理","已處理","尚未處理"),"")</f>
        <v/>
      </c>
      <c r="B99" s="2"/>
      <c r="C99" s="2"/>
      <c r="D99" s="2"/>
      <c r="E99" s="2"/>
    </row>
    <row r="100" spans="1:5" x14ac:dyDescent="0.25">
      <c r="A100" s="2" t="str">
        <f>IF(B100&lt;&gt;"",IF(_xlfn.IFNA(VLOOKUP(B100,OmsControlTable!T:T,1,0),"尚未處理")&lt;&gt;"尚未處理","已處理","尚未處理"),"")</f>
        <v/>
      </c>
      <c r="B100" s="2"/>
      <c r="C100" s="2"/>
      <c r="D100" s="2"/>
      <c r="E100" s="2"/>
    </row>
    <row r="101" spans="1:5" x14ac:dyDescent="0.25">
      <c r="A101" s="2" t="str">
        <f>IF(B101&lt;&gt;"",IF(_xlfn.IFNA(VLOOKUP(B101,OmsControlTable!T:T,1,0),"尚未處理")&lt;&gt;"尚未處理","已處理","尚未處理"),"")</f>
        <v/>
      </c>
      <c r="B101" s="2"/>
      <c r="C101" s="2"/>
      <c r="D101" s="2"/>
      <c r="E101" s="2"/>
    </row>
    <row r="102" spans="1:5" x14ac:dyDescent="0.25">
      <c r="A102" s="2" t="str">
        <f>IF(B102&lt;&gt;"",IF(_xlfn.IFNA(VLOOKUP(B102,OmsControlTable!T:T,1,0),"尚未處理")&lt;&gt;"尚未處理","已處理","尚未處理"),"")</f>
        <v/>
      </c>
      <c r="B102" s="2"/>
      <c r="C102" s="2"/>
      <c r="D102" s="2"/>
      <c r="E102" s="2"/>
    </row>
    <row r="103" spans="1:5" x14ac:dyDescent="0.25">
      <c r="A103" s="2" t="str">
        <f>IF(B103&lt;&gt;"",IF(_xlfn.IFNA(VLOOKUP(B103,OmsControlTable!T:T,1,0),"尚未處理")&lt;&gt;"尚未處理","已處理","尚未處理"),"")</f>
        <v/>
      </c>
      <c r="B103" s="2"/>
      <c r="C103" s="2"/>
      <c r="D103" s="2"/>
      <c r="E103" s="2"/>
    </row>
    <row r="104" spans="1:5" x14ac:dyDescent="0.25">
      <c r="A104" s="2" t="str">
        <f>IF(B104&lt;&gt;"",IF(_xlfn.IFNA(VLOOKUP(B104,OmsControlTable!T:T,1,0),"尚未處理")&lt;&gt;"尚未處理","已處理","尚未處理"),"")</f>
        <v/>
      </c>
      <c r="B104" s="2"/>
      <c r="C104" s="2"/>
      <c r="D104" s="2"/>
      <c r="E104" s="2"/>
    </row>
    <row r="105" spans="1:5" x14ac:dyDescent="0.25">
      <c r="A105" s="2" t="str">
        <f>IF(B105&lt;&gt;"",IF(_xlfn.IFNA(VLOOKUP(B105,OmsControlTable!T:T,1,0),"尚未處理")&lt;&gt;"尚未處理","已處理","尚未處理"),"")</f>
        <v/>
      </c>
      <c r="B105" s="2"/>
      <c r="C105" s="2"/>
      <c r="D105" s="2"/>
      <c r="E105" s="2"/>
    </row>
    <row r="106" spans="1:5" x14ac:dyDescent="0.25">
      <c r="A106" s="2" t="str">
        <f>IF(B106&lt;&gt;"",IF(_xlfn.IFNA(VLOOKUP(B106,OmsControlTable!T:T,1,0),"尚未處理")&lt;&gt;"尚未處理","已處理","尚未處理"),"")</f>
        <v/>
      </c>
      <c r="B106" s="2"/>
      <c r="C106" s="2"/>
      <c r="D106" s="2"/>
      <c r="E106" s="2"/>
    </row>
    <row r="107" spans="1:5" x14ac:dyDescent="0.25">
      <c r="A107" s="2" t="str">
        <f>IF(B107&lt;&gt;"",IF(_xlfn.IFNA(VLOOKUP(B107,OmsControlTable!T:T,1,0),"尚未處理")&lt;&gt;"尚未處理","已處理","尚未處理"),"")</f>
        <v/>
      </c>
      <c r="B107" s="2"/>
      <c r="C107" s="2"/>
      <c r="D107" s="2"/>
      <c r="E107" s="2"/>
    </row>
    <row r="108" spans="1:5" x14ac:dyDescent="0.25">
      <c r="A108" s="2" t="str">
        <f>IF(B108&lt;&gt;"",IF(_xlfn.IFNA(VLOOKUP(B108,OmsControlTable!T:T,1,0),"尚未處理")&lt;&gt;"尚未處理","已處理","尚未處理"),"")</f>
        <v/>
      </c>
      <c r="B108" s="2"/>
      <c r="C108" s="2"/>
      <c r="D108" s="2"/>
      <c r="E108" s="2"/>
    </row>
    <row r="109" spans="1:5" x14ac:dyDescent="0.25">
      <c r="A109" s="2" t="str">
        <f>IF(B109&lt;&gt;"",IF(_xlfn.IFNA(VLOOKUP(B109,OmsControlTable!T:T,1,0),"尚未處理")&lt;&gt;"尚未處理","已處理","尚未處理"),"")</f>
        <v/>
      </c>
      <c r="B109" s="2"/>
      <c r="C109" s="2"/>
      <c r="D109" s="2"/>
      <c r="E109" s="2"/>
    </row>
    <row r="110" spans="1:5" x14ac:dyDescent="0.25">
      <c r="A110" s="2" t="str">
        <f>IF(B110&lt;&gt;"",IF(_xlfn.IFNA(VLOOKUP(B110,OmsControlTable!T:T,1,0),"尚未處理")&lt;&gt;"尚未處理","已處理","尚未處理"),"")</f>
        <v/>
      </c>
      <c r="B110" s="2"/>
      <c r="C110" s="2"/>
      <c r="D110" s="2"/>
      <c r="E110" s="2"/>
    </row>
    <row r="111" spans="1:5" x14ac:dyDescent="0.25">
      <c r="A111" s="2" t="str">
        <f>IF(B111&lt;&gt;"",IF(_xlfn.IFNA(VLOOKUP(B111,OmsControlTable!T:T,1,0),"尚未處理")&lt;&gt;"尚未處理","已處理","尚未處理"),"")</f>
        <v/>
      </c>
      <c r="B111" s="2"/>
      <c r="C111" s="2"/>
      <c r="D111" s="2"/>
      <c r="E111" s="2"/>
    </row>
    <row r="112" spans="1:5" x14ac:dyDescent="0.25">
      <c r="A112" s="2" t="str">
        <f>IF(B112&lt;&gt;"",IF(_xlfn.IFNA(VLOOKUP(B112,OmsControlTable!T:T,1,0),"尚未處理")&lt;&gt;"尚未處理","已處理","尚未處理"),"")</f>
        <v/>
      </c>
      <c r="B112" s="2"/>
      <c r="C112" s="2"/>
      <c r="D112" s="2"/>
      <c r="E112" s="2"/>
    </row>
    <row r="113" spans="1:5" x14ac:dyDescent="0.25">
      <c r="A113" s="2" t="str">
        <f>IF(B113&lt;&gt;"",IF(_xlfn.IFNA(VLOOKUP(B113,OmsControlTable!T:T,1,0),"尚未處理")&lt;&gt;"尚未處理","已處理","尚未處理"),"")</f>
        <v/>
      </c>
      <c r="B113" s="2"/>
      <c r="C113" s="2"/>
      <c r="D113" s="2"/>
      <c r="E113" s="2"/>
    </row>
    <row r="114" spans="1:5" x14ac:dyDescent="0.25">
      <c r="A114" s="2" t="str">
        <f>IF(B114&lt;&gt;"",IF(_xlfn.IFNA(VLOOKUP(B114,OmsControlTable!T:T,1,0),"尚未處理")&lt;&gt;"尚未處理","已處理","尚未處理"),"")</f>
        <v/>
      </c>
      <c r="B114" s="2"/>
      <c r="C114" s="2"/>
      <c r="D114" s="2"/>
      <c r="E114" s="2"/>
    </row>
    <row r="115" spans="1:5" x14ac:dyDescent="0.25">
      <c r="A115" s="2" t="str">
        <f>IF(B115&lt;&gt;"",IF(_xlfn.IFNA(VLOOKUP(B115,OmsControlTable!T:T,1,0),"尚未處理")&lt;&gt;"尚未處理","已處理","尚未處理"),"")</f>
        <v/>
      </c>
      <c r="B115" s="2"/>
      <c r="C115" s="2"/>
      <c r="D115" s="2"/>
      <c r="E115" s="2"/>
    </row>
    <row r="116" spans="1:5" x14ac:dyDescent="0.25">
      <c r="A116" s="2" t="str">
        <f>IF(B116&lt;&gt;"",IF(_xlfn.IFNA(VLOOKUP(B116,OmsControlTable!T:T,1,0),"尚未處理")&lt;&gt;"尚未處理","已處理","尚未處理"),"")</f>
        <v/>
      </c>
      <c r="B116" s="2"/>
      <c r="C116" s="2"/>
      <c r="D116" s="2"/>
      <c r="E116" s="2"/>
    </row>
    <row r="117" spans="1:5" x14ac:dyDescent="0.25">
      <c r="A117" s="2" t="str">
        <f>IF(B117&lt;&gt;"",IF(_xlfn.IFNA(VLOOKUP(B117,OmsControlTable!T:T,1,0),"尚未處理")&lt;&gt;"尚未處理","已處理","尚未處理"),"")</f>
        <v/>
      </c>
      <c r="B117" s="2"/>
      <c r="C117" s="2"/>
      <c r="D117" s="2"/>
      <c r="E117" s="2"/>
    </row>
    <row r="118" spans="1:5" x14ac:dyDescent="0.25">
      <c r="A118" s="2" t="str">
        <f>IF(B118&lt;&gt;"",IF(_xlfn.IFNA(VLOOKUP(B118,OmsControlTable!T:T,1,0),"尚未處理")&lt;&gt;"尚未處理","已處理","尚未處理"),"")</f>
        <v/>
      </c>
      <c r="B118" s="2"/>
      <c r="C118" s="2"/>
      <c r="D118" s="2"/>
      <c r="E118" s="2"/>
    </row>
    <row r="119" spans="1:5" x14ac:dyDescent="0.25">
      <c r="A119" s="2" t="str">
        <f>IF(B119&lt;&gt;"",IF(_xlfn.IFNA(VLOOKUP(B119,OmsControlTable!T:T,1,0),"尚未處理")&lt;&gt;"尚未處理","已處理","尚未處理"),"")</f>
        <v/>
      </c>
      <c r="B119" s="2"/>
      <c r="C119" s="2"/>
      <c r="D119" s="2"/>
      <c r="E119" s="2"/>
    </row>
    <row r="120" spans="1:5" x14ac:dyDescent="0.25">
      <c r="A120" s="2" t="str">
        <f>IF(B120&lt;&gt;"",IF(_xlfn.IFNA(VLOOKUP(B120,OmsControlTable!T:T,1,0),"尚未處理")&lt;&gt;"尚未處理","已處理","尚未處理"),"")</f>
        <v/>
      </c>
      <c r="B120" s="2"/>
      <c r="C120" s="2"/>
      <c r="D120" s="2"/>
      <c r="E120" s="2"/>
    </row>
    <row r="121" spans="1:5" x14ac:dyDescent="0.25">
      <c r="A121" s="2" t="str">
        <f>IF(B121&lt;&gt;"",IF(_xlfn.IFNA(VLOOKUP(B121,OmsControlTable!T:T,1,0),"尚未處理")&lt;&gt;"尚未處理","已處理","尚未處理"),"")</f>
        <v/>
      </c>
      <c r="B121" s="2"/>
      <c r="C121" s="2"/>
      <c r="D121" s="2"/>
      <c r="E121" s="2"/>
    </row>
    <row r="122" spans="1:5" x14ac:dyDescent="0.25">
      <c r="A122" s="2" t="str">
        <f>IF(B122&lt;&gt;"",IF(_xlfn.IFNA(VLOOKUP(B122,OmsControlTable!T:T,1,0),"尚未處理")&lt;&gt;"尚未處理","已處理","尚未處理"),"")</f>
        <v/>
      </c>
      <c r="B122" s="2"/>
      <c r="C122" s="2"/>
      <c r="D122" s="2"/>
      <c r="E122" s="2"/>
    </row>
    <row r="123" spans="1:5" x14ac:dyDescent="0.25">
      <c r="A123" s="2" t="str">
        <f>IF(B123&lt;&gt;"",IF(_xlfn.IFNA(VLOOKUP(B123,OmsControlTable!T:T,1,0),"尚未處理")&lt;&gt;"尚未處理","已處理","尚未處理"),"")</f>
        <v/>
      </c>
      <c r="B123" s="2"/>
      <c r="C123" s="2"/>
      <c r="D123" s="2"/>
      <c r="E123" s="2"/>
    </row>
    <row r="124" spans="1:5" x14ac:dyDescent="0.25">
      <c r="A124" s="2" t="str">
        <f>IF(B124&lt;&gt;"",IF(_xlfn.IFNA(VLOOKUP(B124,OmsControlTable!T:T,1,0),"尚未處理")&lt;&gt;"尚未處理","已處理","尚未處理"),"")</f>
        <v/>
      </c>
      <c r="B124" s="2"/>
      <c r="C124" s="2"/>
      <c r="D124" s="2"/>
      <c r="E124" s="2"/>
    </row>
    <row r="125" spans="1:5" x14ac:dyDescent="0.25">
      <c r="A125" s="2" t="str">
        <f>IF(B125&lt;&gt;"",IF(_xlfn.IFNA(VLOOKUP(B125,OmsControlTable!T:T,1,0),"尚未處理")&lt;&gt;"尚未處理","已處理","尚未處理"),"")</f>
        <v/>
      </c>
      <c r="B125" s="2"/>
      <c r="C125" s="2"/>
      <c r="D125" s="2"/>
      <c r="E125" s="2"/>
    </row>
    <row r="126" spans="1:5" x14ac:dyDescent="0.25">
      <c r="A126" s="2" t="str">
        <f>IF(B126&lt;&gt;"",IF(_xlfn.IFNA(VLOOKUP(B126,OmsControlTable!T:T,1,0),"尚未處理")&lt;&gt;"尚未處理","已處理","尚未處理"),"")</f>
        <v/>
      </c>
      <c r="B126" s="2"/>
      <c r="C126" s="2"/>
      <c r="D126" s="2"/>
      <c r="E126" s="2"/>
    </row>
    <row r="127" spans="1:5" x14ac:dyDescent="0.25">
      <c r="A127" s="2" t="str">
        <f>IF(B127&lt;&gt;"",IF(_xlfn.IFNA(VLOOKUP(B127,OmsControlTable!T:T,1,0),"尚未處理")&lt;&gt;"尚未處理","已處理","尚未處理"),"")</f>
        <v/>
      </c>
      <c r="B127" s="2"/>
      <c r="C127" s="2"/>
      <c r="D127" s="2"/>
      <c r="E127" s="2"/>
    </row>
    <row r="128" spans="1:5" x14ac:dyDescent="0.25">
      <c r="A128" s="2" t="str">
        <f>IF(B128&lt;&gt;"",IF(_xlfn.IFNA(VLOOKUP(B128,OmsControlTable!T:T,1,0),"尚未處理")&lt;&gt;"尚未處理","已處理","尚未處理"),"")</f>
        <v/>
      </c>
      <c r="B128" s="2"/>
      <c r="C128" s="2"/>
      <c r="D128" s="2"/>
      <c r="E128" s="2"/>
    </row>
    <row r="129" spans="1:5" x14ac:dyDescent="0.25">
      <c r="A129" s="2" t="str">
        <f>IF(B129&lt;&gt;"",IF(_xlfn.IFNA(VLOOKUP(B129,OmsControlTable!T:T,1,0),"尚未處理")&lt;&gt;"尚未處理","已處理","尚未處理"),"")</f>
        <v/>
      </c>
      <c r="B129" s="2"/>
      <c r="C129" s="2"/>
      <c r="D129" s="2"/>
      <c r="E129" s="2"/>
    </row>
    <row r="130" spans="1:5" x14ac:dyDescent="0.25">
      <c r="A130" s="2" t="str">
        <f>IF(B130&lt;&gt;"",IF(_xlfn.IFNA(VLOOKUP(B130,OmsControlTable!T:T,1,0),"尚未處理")&lt;&gt;"尚未處理","已處理","尚未處理"),"")</f>
        <v/>
      </c>
      <c r="B130" s="2"/>
      <c r="C130" s="2"/>
      <c r="D130" s="2"/>
      <c r="E130" s="2"/>
    </row>
    <row r="131" spans="1:5" x14ac:dyDescent="0.25">
      <c r="A131" s="2" t="str">
        <f>IF(B131&lt;&gt;"",IF(_xlfn.IFNA(VLOOKUP(B131,OmsControlTable!T:T,1,0),"尚未處理")&lt;&gt;"尚未處理","已處理","尚未處理"),"")</f>
        <v/>
      </c>
      <c r="B131" s="2"/>
      <c r="C131" s="2"/>
      <c r="D131" s="2"/>
      <c r="E131" s="2"/>
    </row>
    <row r="132" spans="1:5" x14ac:dyDescent="0.25">
      <c r="A132" s="2" t="str">
        <f>IF(B132&lt;&gt;"",IF(_xlfn.IFNA(VLOOKUP(B132,OmsControlTable!T:T,1,0),"尚未處理")&lt;&gt;"尚未處理","已處理","尚未處理"),"")</f>
        <v/>
      </c>
      <c r="B132" s="2"/>
      <c r="C132" s="2"/>
      <c r="D132" s="2"/>
      <c r="E132" s="2"/>
    </row>
    <row r="133" spans="1:5" x14ac:dyDescent="0.25">
      <c r="A133" s="2" t="str">
        <f>IF(B133&lt;&gt;"",IF(_xlfn.IFNA(VLOOKUP(B133,OmsControlTable!T:T,1,0),"尚未處理")&lt;&gt;"尚未處理","已處理","尚未處理"),"")</f>
        <v/>
      </c>
      <c r="B133" s="2"/>
      <c r="C133" s="2"/>
      <c r="D133" s="2"/>
      <c r="E133" s="2"/>
    </row>
    <row r="134" spans="1:5" x14ac:dyDescent="0.25">
      <c r="A134" s="2" t="str">
        <f>IF(B134&lt;&gt;"",IF(_xlfn.IFNA(VLOOKUP(B134,OmsControlTable!T:T,1,0),"尚未處理")&lt;&gt;"尚未處理","已處理","尚未處理"),"")</f>
        <v/>
      </c>
      <c r="B134" s="2"/>
      <c r="C134" s="2"/>
      <c r="D134" s="2"/>
      <c r="E134" s="2"/>
    </row>
    <row r="135" spans="1:5" x14ac:dyDescent="0.25">
      <c r="A135" s="2" t="str">
        <f>IF(B135&lt;&gt;"",IF(_xlfn.IFNA(VLOOKUP(B135,OmsControlTable!T:T,1,0),"尚未處理")&lt;&gt;"尚未處理","已處理","尚未處理"),"")</f>
        <v/>
      </c>
      <c r="B135" s="2"/>
      <c r="C135" s="2"/>
      <c r="D135" s="2"/>
      <c r="E135" s="2"/>
    </row>
    <row r="136" spans="1:5" x14ac:dyDescent="0.25">
      <c r="A136" s="2" t="str">
        <f>IF(B136&lt;&gt;"",IF(_xlfn.IFNA(VLOOKUP(B136,OmsControlTable!T:T,1,0),"尚未處理")&lt;&gt;"尚未處理","已處理","尚未處理"),"")</f>
        <v/>
      </c>
      <c r="B136" s="2"/>
      <c r="C136" s="2"/>
      <c r="D136" s="2"/>
      <c r="E136" s="2"/>
    </row>
    <row r="137" spans="1:5" x14ac:dyDescent="0.25">
      <c r="A137" s="2" t="str">
        <f>IF(B137&lt;&gt;"",IF(_xlfn.IFNA(VLOOKUP(B137,OmsControlTable!T:T,1,0),"尚未處理")&lt;&gt;"尚未處理","已處理","尚未處理"),"")</f>
        <v/>
      </c>
      <c r="B137" s="2"/>
      <c r="C137" s="2"/>
      <c r="D137" s="2"/>
      <c r="E137" s="2"/>
    </row>
    <row r="138" spans="1:5" x14ac:dyDescent="0.25">
      <c r="A138" s="2" t="str">
        <f>IF(B138&lt;&gt;"",IF(_xlfn.IFNA(VLOOKUP(B138,OmsControlTable!T:T,1,0),"尚未處理")&lt;&gt;"尚未處理","已處理","尚未處理"),"")</f>
        <v/>
      </c>
      <c r="B138" s="2"/>
      <c r="C138" s="2"/>
      <c r="D138" s="2"/>
      <c r="E138" s="2"/>
    </row>
    <row r="139" spans="1:5" x14ac:dyDescent="0.25">
      <c r="A139" s="2" t="str">
        <f>IF(B139&lt;&gt;"",IF(_xlfn.IFNA(VLOOKUP(B139,OmsControlTable!T:T,1,0),"尚未處理")&lt;&gt;"尚未處理","已處理","尚未處理"),"")</f>
        <v/>
      </c>
      <c r="B139" s="2"/>
      <c r="C139" s="2"/>
      <c r="D139" s="2"/>
      <c r="E139" s="2"/>
    </row>
    <row r="140" spans="1:5" x14ac:dyDescent="0.25">
      <c r="A140" s="2" t="str">
        <f>IF(B140&lt;&gt;"",IF(_xlfn.IFNA(VLOOKUP(B140,OmsControlTable!T:T,1,0),"尚未處理")&lt;&gt;"尚未處理","已處理","尚未處理"),"")</f>
        <v/>
      </c>
      <c r="B140" s="2"/>
      <c r="C140" s="2"/>
      <c r="D140" s="2"/>
      <c r="E140" s="2"/>
    </row>
    <row r="141" spans="1:5" x14ac:dyDescent="0.25">
      <c r="A141" s="2" t="str">
        <f>IF(B141&lt;&gt;"",IF(_xlfn.IFNA(VLOOKUP(B141,OmsControlTable!T:T,1,0),"尚未處理")&lt;&gt;"尚未處理","已處理","尚未處理"),"")</f>
        <v/>
      </c>
      <c r="B141" s="2"/>
      <c r="C141" s="2"/>
      <c r="D141" s="2"/>
      <c r="E141" s="2"/>
    </row>
    <row r="142" spans="1:5" x14ac:dyDescent="0.25">
      <c r="A142" s="2" t="str">
        <f>IF(B142&lt;&gt;"",IF(_xlfn.IFNA(VLOOKUP(B142,OmsControlTable!T:T,1,0),"尚未處理")&lt;&gt;"尚未處理","已處理","尚未處理"),"")</f>
        <v/>
      </c>
      <c r="B142" s="2"/>
      <c r="C142" s="2"/>
      <c r="D142" s="2"/>
      <c r="E142" s="2"/>
    </row>
    <row r="143" spans="1:5" x14ac:dyDescent="0.25">
      <c r="A143" s="2" t="str">
        <f>IF(B143&lt;&gt;"",IF(_xlfn.IFNA(VLOOKUP(B143,OmsControlTable!T:T,1,0),"尚未處理")&lt;&gt;"尚未處理","已處理","尚未處理"),"")</f>
        <v/>
      </c>
      <c r="B143" s="2"/>
      <c r="C143" s="2"/>
      <c r="D143" s="2"/>
      <c r="E143" s="2"/>
    </row>
    <row r="144" spans="1:5" x14ac:dyDescent="0.25">
      <c r="A144" s="2" t="str">
        <f>IF(B144&lt;&gt;"",IF(_xlfn.IFNA(VLOOKUP(B144,OmsControlTable!T:T,1,0),"尚未處理")&lt;&gt;"尚未處理","已處理","尚未處理"),"")</f>
        <v/>
      </c>
      <c r="B144" s="2"/>
      <c r="C144" s="2"/>
      <c r="D144" s="2"/>
      <c r="E144" s="2"/>
    </row>
    <row r="145" spans="1:5" x14ac:dyDescent="0.25">
      <c r="A145" s="2" t="str">
        <f>IF(B145&lt;&gt;"",IF(_xlfn.IFNA(VLOOKUP(B145,OmsControlTable!T:T,1,0),"尚未處理")&lt;&gt;"尚未處理","已處理","尚未處理"),"")</f>
        <v/>
      </c>
      <c r="B145" s="2"/>
      <c r="C145" s="2"/>
      <c r="D145" s="2"/>
      <c r="E145" s="2"/>
    </row>
    <row r="146" spans="1:5" x14ac:dyDescent="0.25">
      <c r="A146" s="2" t="str">
        <f>IF(B146&lt;&gt;"",IF(_xlfn.IFNA(VLOOKUP(B146,OmsControlTable!T:T,1,0),"尚未處理")&lt;&gt;"尚未處理","已處理","尚未處理"),"")</f>
        <v/>
      </c>
      <c r="B146" s="2"/>
      <c r="C146" s="2"/>
      <c r="D146" s="2"/>
      <c r="E146" s="2"/>
    </row>
    <row r="147" spans="1:5" x14ac:dyDescent="0.25">
      <c r="A147" s="2" t="str">
        <f>IF(B147&lt;&gt;"",IF(_xlfn.IFNA(VLOOKUP(B147,OmsControlTable!T:T,1,0),"尚未處理")&lt;&gt;"尚未處理","已處理","尚未處理"),"")</f>
        <v/>
      </c>
      <c r="B147" s="2"/>
      <c r="C147" s="2"/>
      <c r="D147" s="2"/>
      <c r="E147" s="2"/>
    </row>
    <row r="148" spans="1:5" x14ac:dyDescent="0.25">
      <c r="A148" s="2" t="str">
        <f>IF(B148&lt;&gt;"",IF(_xlfn.IFNA(VLOOKUP(B148,OmsControlTable!T:T,1,0),"尚未處理")&lt;&gt;"尚未處理","已處理","尚未處理"),"")</f>
        <v/>
      </c>
      <c r="B148" s="2"/>
      <c r="C148" s="2"/>
      <c r="D148" s="2"/>
      <c r="E148" s="2"/>
    </row>
    <row r="149" spans="1:5" x14ac:dyDescent="0.25">
      <c r="A149" s="2" t="str">
        <f>IF(B149&lt;&gt;"",IF(_xlfn.IFNA(VLOOKUP(B149,OmsControlTable!T:T,1,0),"尚未處理")&lt;&gt;"尚未處理","已處理","尚未處理"),"")</f>
        <v/>
      </c>
      <c r="B149" s="2"/>
      <c r="C149" s="2"/>
      <c r="D149" s="2"/>
      <c r="E149" s="2"/>
    </row>
    <row r="150" spans="1:5" x14ac:dyDescent="0.25">
      <c r="A150" s="2" t="str">
        <f>IF(B150&lt;&gt;"",IF(_xlfn.IFNA(VLOOKUP(B150,OmsControlTable!T:T,1,0),"尚未處理")&lt;&gt;"尚未處理","已處理","尚未處理"),"")</f>
        <v/>
      </c>
      <c r="B150" s="2"/>
      <c r="C150" s="2"/>
      <c r="D150" s="2"/>
      <c r="E150" s="2"/>
    </row>
    <row r="151" spans="1:5" x14ac:dyDescent="0.25">
      <c r="A151" s="2" t="str">
        <f>IF(B151&lt;&gt;"",IF(_xlfn.IFNA(VLOOKUP(B151,OmsControlTable!T:T,1,0),"尚未處理")&lt;&gt;"尚未處理","已處理","尚未處理"),"")</f>
        <v/>
      </c>
      <c r="B151" s="2"/>
      <c r="C151" s="2"/>
      <c r="D151" s="2"/>
      <c r="E151" s="2"/>
    </row>
    <row r="152" spans="1:5" x14ac:dyDescent="0.25">
      <c r="A152" s="2" t="str">
        <f>IF(B152&lt;&gt;"",IF(_xlfn.IFNA(VLOOKUP(B152,OmsControlTable!T:T,1,0),"尚未處理")&lt;&gt;"尚未處理","已處理","尚未處理"),"")</f>
        <v/>
      </c>
      <c r="B152" s="2"/>
      <c r="C152" s="2"/>
      <c r="D152" s="2"/>
      <c r="E152" s="2"/>
    </row>
    <row r="153" spans="1:5" x14ac:dyDescent="0.25">
      <c r="A153" s="2" t="str">
        <f>IF(B153&lt;&gt;"",IF(_xlfn.IFNA(VLOOKUP(B153,OmsControlTable!T:T,1,0),"尚未處理")&lt;&gt;"尚未處理","已處理","尚未處理"),"")</f>
        <v/>
      </c>
      <c r="B153" s="2"/>
      <c r="C153" s="2"/>
      <c r="D153" s="2"/>
      <c r="E153" s="2"/>
    </row>
    <row r="154" spans="1:5" x14ac:dyDescent="0.25">
      <c r="A154" s="2" t="str">
        <f>IF(B154&lt;&gt;"",IF(_xlfn.IFNA(VLOOKUP(B154,OmsControlTable!T:T,1,0),"尚未處理")&lt;&gt;"尚未處理","已處理","尚未處理"),"")</f>
        <v/>
      </c>
      <c r="B154" s="2"/>
      <c r="C154" s="2"/>
      <c r="D154" s="2"/>
      <c r="E154" s="2"/>
    </row>
    <row r="155" spans="1:5" x14ac:dyDescent="0.25">
      <c r="A155" s="2" t="str">
        <f>IF(B155&lt;&gt;"",IF(_xlfn.IFNA(VLOOKUP(B155,OmsControlTable!T:T,1,0),"尚未處理")&lt;&gt;"尚未處理","已處理","尚未處理"),"")</f>
        <v/>
      </c>
      <c r="B155" s="2"/>
      <c r="C155" s="2"/>
      <c r="D155" s="2"/>
      <c r="E155" s="2"/>
    </row>
    <row r="156" spans="1:5" x14ac:dyDescent="0.25">
      <c r="A156" s="2" t="str">
        <f>IF(B156&lt;&gt;"",IF(_xlfn.IFNA(VLOOKUP(B156,OmsControlTable!T:T,1,0),"尚未處理")&lt;&gt;"尚未處理","已處理","尚未處理"),"")</f>
        <v/>
      </c>
      <c r="B156" s="2"/>
      <c r="C156" s="2"/>
      <c r="D156" s="2"/>
      <c r="E156" s="2"/>
    </row>
    <row r="157" spans="1:5" x14ac:dyDescent="0.25">
      <c r="A157" s="2" t="str">
        <f>IF(B157&lt;&gt;"",IF(_xlfn.IFNA(VLOOKUP(B157,OmsControlTable!T:T,1,0),"尚未處理")&lt;&gt;"尚未處理","已處理","尚未處理"),"")</f>
        <v/>
      </c>
      <c r="B157" s="2"/>
      <c r="C157" s="2"/>
      <c r="D157" s="2"/>
      <c r="E157" s="2"/>
    </row>
    <row r="158" spans="1:5" x14ac:dyDescent="0.25">
      <c r="A158" s="2" t="str">
        <f>IF(B158&lt;&gt;"",IF(_xlfn.IFNA(VLOOKUP(B158,OmsControlTable!T:T,1,0),"尚未處理")&lt;&gt;"尚未處理","已處理","尚未處理"),"")</f>
        <v/>
      </c>
      <c r="B158" s="2"/>
      <c r="C158" s="2"/>
      <c r="D158" s="2"/>
      <c r="E158" s="2"/>
    </row>
    <row r="159" spans="1:5" x14ac:dyDescent="0.25">
      <c r="A159" s="2" t="str">
        <f>IF(B159&lt;&gt;"",IF(_xlfn.IFNA(VLOOKUP(B159,OmsControlTable!T:T,1,0),"尚未處理")&lt;&gt;"尚未處理","已處理","尚未處理"),"")</f>
        <v/>
      </c>
      <c r="B159" s="2"/>
      <c r="C159" s="2"/>
      <c r="D159" s="2"/>
      <c r="E159" s="2"/>
    </row>
    <row r="160" spans="1:5" x14ac:dyDescent="0.25">
      <c r="A160" s="2" t="str">
        <f>IF(B160&lt;&gt;"",IF(_xlfn.IFNA(VLOOKUP(B160,OmsControlTable!T:T,1,0),"尚未處理")&lt;&gt;"尚未處理","已處理","尚未處理"),"")</f>
        <v/>
      </c>
      <c r="B160" s="2"/>
      <c r="C160" s="2"/>
      <c r="D160" s="2"/>
      <c r="E160" s="2"/>
    </row>
    <row r="161" spans="1:5" x14ac:dyDescent="0.25">
      <c r="A161" s="2" t="str">
        <f>IF(B161&lt;&gt;"",IF(_xlfn.IFNA(VLOOKUP(B161,OmsControlTable!T:T,1,0),"尚未處理")&lt;&gt;"尚未處理","已處理","尚未處理"),"")</f>
        <v/>
      </c>
      <c r="B161" s="2"/>
      <c r="C161" s="2"/>
      <c r="D161" s="2"/>
      <c r="E161" s="2"/>
    </row>
    <row r="162" spans="1:5" x14ac:dyDescent="0.25">
      <c r="A162" s="2" t="str">
        <f>IF(B162&lt;&gt;"",IF(_xlfn.IFNA(VLOOKUP(B162,OmsControlTable!T:T,1,0),"尚未處理")&lt;&gt;"尚未處理","已處理","尚未處理"),"")</f>
        <v/>
      </c>
      <c r="B162" s="2"/>
      <c r="C162" s="2"/>
      <c r="D162" s="2"/>
      <c r="E162" s="2"/>
    </row>
    <row r="163" spans="1:5" x14ac:dyDescent="0.25">
      <c r="A163" s="2" t="str">
        <f>IF(B163&lt;&gt;"",IF(_xlfn.IFNA(VLOOKUP(B163,OmsControlTable!T:T,1,0),"尚未處理")&lt;&gt;"尚未處理","已處理","尚未處理"),"")</f>
        <v/>
      </c>
      <c r="B163" s="2"/>
      <c r="C163" s="2"/>
      <c r="D163" s="2"/>
      <c r="E163" s="2"/>
    </row>
    <row r="164" spans="1:5" x14ac:dyDescent="0.25">
      <c r="A164" s="2" t="str">
        <f>IF(B164&lt;&gt;"",IF(_xlfn.IFNA(VLOOKUP(B164,OmsControlTable!T:T,1,0),"尚未處理")&lt;&gt;"尚未處理","已處理","尚未處理"),"")</f>
        <v/>
      </c>
      <c r="B164" s="2"/>
      <c r="C164" s="2"/>
      <c r="D164" s="2"/>
      <c r="E164" s="2"/>
    </row>
    <row r="165" spans="1:5" x14ac:dyDescent="0.25">
      <c r="A165" s="2" t="str">
        <f>IF(B165&lt;&gt;"",IF(_xlfn.IFNA(VLOOKUP(B165,OmsControlTable!T:T,1,0),"尚未處理")&lt;&gt;"尚未處理","已處理","尚未處理"),"")</f>
        <v/>
      </c>
      <c r="B165" s="2"/>
      <c r="C165" s="2"/>
      <c r="D165" s="2"/>
      <c r="E165" s="2"/>
    </row>
    <row r="166" spans="1:5" x14ac:dyDescent="0.25">
      <c r="A166" s="2" t="str">
        <f>IF(B166&lt;&gt;"",IF(_xlfn.IFNA(VLOOKUP(B166,OmsControlTable!T:T,1,0),"尚未處理")&lt;&gt;"尚未處理","已處理","尚未處理"),"")</f>
        <v/>
      </c>
      <c r="B166" s="2"/>
      <c r="C166" s="2"/>
      <c r="D166" s="2"/>
      <c r="E166" s="2"/>
    </row>
    <row r="167" spans="1:5" x14ac:dyDescent="0.25">
      <c r="A167" s="2" t="str">
        <f>IF(B167&lt;&gt;"",IF(_xlfn.IFNA(VLOOKUP(B167,OmsControlTable!T:T,1,0),"尚未處理")&lt;&gt;"尚未處理","已處理","尚未處理"),"")</f>
        <v/>
      </c>
      <c r="B167" s="2"/>
      <c r="C167" s="2"/>
      <c r="D167" s="2"/>
      <c r="E167" s="2"/>
    </row>
    <row r="168" spans="1:5" x14ac:dyDescent="0.25">
      <c r="A168" s="2" t="str">
        <f>IF(B168&lt;&gt;"",IF(_xlfn.IFNA(VLOOKUP(B168,OmsControlTable!T:T,1,0),"尚未處理")&lt;&gt;"尚未處理","已處理","尚未處理"),"")</f>
        <v/>
      </c>
      <c r="B168" s="2"/>
      <c r="C168" s="2"/>
      <c r="D168" s="2"/>
      <c r="E168" s="2"/>
    </row>
    <row r="169" spans="1:5" x14ac:dyDescent="0.25">
      <c r="A169" s="2" t="str">
        <f>IF(B169&lt;&gt;"",IF(_xlfn.IFNA(VLOOKUP(B169,OmsControlTable!T:T,1,0),"尚未處理")&lt;&gt;"尚未處理","已處理","尚未處理"),"")</f>
        <v/>
      </c>
      <c r="B169" s="2"/>
      <c r="C169" s="2"/>
      <c r="D169" s="2"/>
      <c r="E169" s="2"/>
    </row>
    <row r="170" spans="1:5" x14ac:dyDescent="0.25">
      <c r="A170" s="2" t="str">
        <f>IF(B170&lt;&gt;"",IF(_xlfn.IFNA(VLOOKUP(B170,OmsControlTable!T:T,1,0),"尚未處理")&lt;&gt;"尚未處理","已處理","尚未處理"),"")</f>
        <v/>
      </c>
      <c r="B170" s="2"/>
      <c r="C170" s="2"/>
      <c r="D170" s="2"/>
      <c r="E170" s="2"/>
    </row>
    <row r="171" spans="1:5" x14ac:dyDescent="0.25">
      <c r="A171" s="2" t="str">
        <f>IF(B171&lt;&gt;"",IF(_xlfn.IFNA(VLOOKUP(B171,OmsControlTable!T:T,1,0),"尚未處理")&lt;&gt;"尚未處理","已處理","尚未處理"),"")</f>
        <v/>
      </c>
      <c r="B171" s="2"/>
      <c r="C171" s="2"/>
      <c r="D171" s="2"/>
      <c r="E171" s="2"/>
    </row>
    <row r="172" spans="1:5" x14ac:dyDescent="0.25">
      <c r="A172" s="2" t="str">
        <f>IF(B172&lt;&gt;"",IF(_xlfn.IFNA(VLOOKUP(B172,OmsControlTable!T:T,1,0),"尚未處理")&lt;&gt;"尚未處理","已處理","尚未處理"),"")</f>
        <v/>
      </c>
      <c r="B172" s="2"/>
      <c r="C172" s="2"/>
      <c r="D172" s="2"/>
      <c r="E172" s="2"/>
    </row>
    <row r="173" spans="1:5" x14ac:dyDescent="0.25">
      <c r="A173" s="2" t="str">
        <f>IF(B173&lt;&gt;"",IF(_xlfn.IFNA(VLOOKUP(B173,OmsControlTable!T:T,1,0),"尚未處理")&lt;&gt;"尚未處理","已處理","尚未處理"),"")</f>
        <v/>
      </c>
      <c r="B173" s="2"/>
      <c r="C173" s="2"/>
      <c r="D173" s="2"/>
      <c r="E173" s="2"/>
    </row>
    <row r="174" spans="1:5" x14ac:dyDescent="0.25">
      <c r="A174" s="2" t="str">
        <f>IF(B174&lt;&gt;"",IF(_xlfn.IFNA(VLOOKUP(B174,OmsControlTable!T:T,1,0),"尚未處理")&lt;&gt;"尚未處理","已處理","尚未處理"),"")</f>
        <v/>
      </c>
      <c r="B174" s="2"/>
      <c r="C174" s="2"/>
      <c r="D174" s="2"/>
      <c r="E174" s="2"/>
    </row>
    <row r="175" spans="1:5" x14ac:dyDescent="0.25">
      <c r="A175" s="2" t="str">
        <f>IF(B175&lt;&gt;"",IF(_xlfn.IFNA(VLOOKUP(B175,OmsControlTable!T:T,1,0),"尚未處理")&lt;&gt;"尚未處理","已處理","尚未處理"),"")</f>
        <v/>
      </c>
      <c r="B175" s="2"/>
      <c r="C175" s="2"/>
      <c r="D175" s="2"/>
      <c r="E175" s="2"/>
    </row>
    <row r="176" spans="1:5" x14ac:dyDescent="0.25">
      <c r="A176" s="2" t="str">
        <f>IF(B176&lt;&gt;"",IF(_xlfn.IFNA(VLOOKUP(B176,OmsControlTable!T:T,1,0),"尚未處理")&lt;&gt;"尚未處理","已處理","尚未處理"),"")</f>
        <v/>
      </c>
      <c r="B176" s="2"/>
      <c r="C176" s="2"/>
      <c r="D176" s="2"/>
      <c r="E176" s="2"/>
    </row>
    <row r="177" spans="1:5" x14ac:dyDescent="0.25">
      <c r="A177" s="2" t="str">
        <f>IF(B177&lt;&gt;"",IF(_xlfn.IFNA(VLOOKUP(B177,OmsControlTable!T:T,1,0),"尚未處理")&lt;&gt;"尚未處理","已處理","尚未處理"),"")</f>
        <v/>
      </c>
      <c r="B177" s="2"/>
      <c r="C177" s="2"/>
      <c r="D177" s="2"/>
      <c r="E177" s="2"/>
    </row>
    <row r="178" spans="1:5" x14ac:dyDescent="0.25">
      <c r="A178" s="2" t="str">
        <f>IF(B178&lt;&gt;"",IF(_xlfn.IFNA(VLOOKUP(B178,OmsControlTable!T:T,1,0),"尚未處理")&lt;&gt;"尚未處理","已處理","尚未處理"),"")</f>
        <v/>
      </c>
      <c r="B178" s="2"/>
      <c r="C178" s="2"/>
      <c r="D178" s="2"/>
      <c r="E178" s="2"/>
    </row>
    <row r="179" spans="1:5" x14ac:dyDescent="0.25">
      <c r="A179" s="2" t="str">
        <f>IF(B179&lt;&gt;"",IF(_xlfn.IFNA(VLOOKUP(B179,OmsControlTable!T:T,1,0),"尚未處理")&lt;&gt;"尚未處理","已處理","尚未處理"),"")</f>
        <v/>
      </c>
      <c r="B179" s="2"/>
      <c r="C179" s="2"/>
      <c r="D179" s="2"/>
      <c r="E179" s="2"/>
    </row>
    <row r="180" spans="1:5" x14ac:dyDescent="0.25">
      <c r="A180" s="2" t="str">
        <f>IF(B180&lt;&gt;"",IF(_xlfn.IFNA(VLOOKUP(B180,OmsControlTable!T:T,1,0),"尚未處理")&lt;&gt;"尚未處理","已處理","尚未處理"),"")</f>
        <v/>
      </c>
      <c r="B180" s="2"/>
      <c r="C180" s="2"/>
      <c r="D180" s="2"/>
      <c r="E180" s="2"/>
    </row>
    <row r="181" spans="1:5" x14ac:dyDescent="0.25">
      <c r="A181" s="2" t="str">
        <f>IF(B181&lt;&gt;"",IF(_xlfn.IFNA(VLOOKUP(B181,OmsControlTable!T:T,1,0),"尚未處理")&lt;&gt;"尚未處理","已處理","尚未處理"),"")</f>
        <v/>
      </c>
      <c r="B181" s="2"/>
      <c r="C181" s="2"/>
      <c r="D181" s="2"/>
      <c r="E181" s="2"/>
    </row>
    <row r="182" spans="1:5" x14ac:dyDescent="0.25">
      <c r="A182" s="2" t="str">
        <f>IF(B182&lt;&gt;"",IF(_xlfn.IFNA(VLOOKUP(B182,OmsControlTable!T:T,1,0),"尚未處理")&lt;&gt;"尚未處理","已處理","尚未處理"),"")</f>
        <v/>
      </c>
      <c r="B182" s="2"/>
      <c r="C182" s="2"/>
      <c r="D182" s="2"/>
      <c r="E182" s="2"/>
    </row>
    <row r="183" spans="1:5" x14ac:dyDescent="0.25">
      <c r="A183" s="2" t="str">
        <f>IF(B183&lt;&gt;"",IF(_xlfn.IFNA(VLOOKUP(B183,OmsControlTable!T:T,1,0),"尚未處理")&lt;&gt;"尚未處理","已處理","尚未處理"),"")</f>
        <v/>
      </c>
      <c r="B183" s="2"/>
      <c r="C183" s="2"/>
      <c r="D183" s="2"/>
      <c r="E183" s="2"/>
    </row>
    <row r="184" spans="1:5" x14ac:dyDescent="0.25">
      <c r="A184" s="2" t="str">
        <f>IF(B184&lt;&gt;"",IF(_xlfn.IFNA(VLOOKUP(B184,OmsControlTable!T:T,1,0),"尚未處理")&lt;&gt;"尚未處理","已處理","尚未處理"),"")</f>
        <v/>
      </c>
      <c r="B184" s="2"/>
      <c r="C184" s="2"/>
      <c r="D184" s="2"/>
      <c r="E184" s="2"/>
    </row>
    <row r="185" spans="1:5" x14ac:dyDescent="0.25">
      <c r="A185" s="2" t="str">
        <f>IF(B185&lt;&gt;"",IF(_xlfn.IFNA(VLOOKUP(B185,OmsControlTable!T:T,1,0),"尚未處理")&lt;&gt;"尚未處理","已處理","尚未處理"),"")</f>
        <v/>
      </c>
      <c r="B185" s="2"/>
      <c r="C185" s="2"/>
      <c r="D185" s="2"/>
      <c r="E185" s="2"/>
    </row>
    <row r="186" spans="1:5" x14ac:dyDescent="0.25">
      <c r="A186" s="2" t="str">
        <f>IF(B186&lt;&gt;"",IF(_xlfn.IFNA(VLOOKUP(B186,OmsControlTable!T:T,1,0),"尚未處理")&lt;&gt;"尚未處理","已處理","尚未處理"),"")</f>
        <v/>
      </c>
      <c r="B186" s="2"/>
      <c r="C186" s="2"/>
      <c r="D186" s="2"/>
      <c r="E186" s="2"/>
    </row>
    <row r="187" spans="1:5" x14ac:dyDescent="0.25">
      <c r="A187" s="2" t="str">
        <f>IF(B187&lt;&gt;"",IF(_xlfn.IFNA(VLOOKUP(B187,OmsControlTable!T:T,1,0),"尚未處理")&lt;&gt;"尚未處理","已處理","尚未處理"),"")</f>
        <v/>
      </c>
      <c r="B187" s="2"/>
      <c r="C187" s="2"/>
      <c r="D187" s="2"/>
      <c r="E187" s="2"/>
    </row>
    <row r="188" spans="1:5" x14ac:dyDescent="0.25">
      <c r="A188" s="2" t="str">
        <f>IF(B188&lt;&gt;"",IF(_xlfn.IFNA(VLOOKUP(B188,OmsControlTable!T:T,1,0),"尚未處理")&lt;&gt;"尚未處理","已處理","尚未處理"),"")</f>
        <v/>
      </c>
      <c r="B188" s="2"/>
      <c r="C188" s="2"/>
      <c r="D188" s="2"/>
      <c r="E188" s="2"/>
    </row>
    <row r="189" spans="1:5" x14ac:dyDescent="0.25">
      <c r="A189" s="2" t="str">
        <f>IF(B189&lt;&gt;"",IF(_xlfn.IFNA(VLOOKUP(B189,OmsControlTable!T:T,1,0),"尚未處理")&lt;&gt;"尚未處理","已處理","尚未處理"),"")</f>
        <v/>
      </c>
      <c r="B189" s="2"/>
      <c r="C189" s="2"/>
      <c r="D189" s="2"/>
      <c r="E189" s="2"/>
    </row>
    <row r="190" spans="1:5" x14ac:dyDescent="0.25">
      <c r="A190" s="2" t="str">
        <f>IF(B190&lt;&gt;"",IF(_xlfn.IFNA(VLOOKUP(B190,OmsControlTable!T:T,1,0),"尚未處理")&lt;&gt;"尚未處理","已處理","尚未處理"),"")</f>
        <v/>
      </c>
      <c r="B190" s="2"/>
      <c r="C190" s="2"/>
      <c r="D190" s="2"/>
      <c r="E190" s="2"/>
    </row>
    <row r="191" spans="1:5" x14ac:dyDescent="0.25">
      <c r="A191" s="2" t="str">
        <f>IF(B191&lt;&gt;"",IF(_xlfn.IFNA(VLOOKUP(B191,OmsControlTable!T:T,1,0),"尚未處理")&lt;&gt;"尚未處理","已處理","尚未處理"),"")</f>
        <v/>
      </c>
      <c r="B191" s="2"/>
      <c r="C191" s="2"/>
      <c r="D191" s="2"/>
      <c r="E191" s="2"/>
    </row>
    <row r="192" spans="1:5" x14ac:dyDescent="0.25">
      <c r="A192" s="2" t="str">
        <f>IF(B192&lt;&gt;"",IF(_xlfn.IFNA(VLOOKUP(B192,OmsControlTable!T:T,1,0),"尚未處理")&lt;&gt;"尚未處理","已處理","尚未處理"),"")</f>
        <v/>
      </c>
      <c r="B192" s="2"/>
      <c r="C192" s="2"/>
      <c r="D192" s="2"/>
      <c r="E192" s="2"/>
    </row>
    <row r="193" spans="1:5" x14ac:dyDescent="0.25">
      <c r="A193" s="2" t="str">
        <f>IF(B193&lt;&gt;"",IF(_xlfn.IFNA(VLOOKUP(B193,OmsControlTable!T:T,1,0),"尚未處理")&lt;&gt;"尚未處理","已處理","尚未處理"),"")</f>
        <v/>
      </c>
      <c r="B193" s="2"/>
      <c r="C193" s="2"/>
      <c r="D193" s="2"/>
      <c r="E193" s="2"/>
    </row>
    <row r="194" spans="1:5" x14ac:dyDescent="0.25">
      <c r="A194" s="2" t="str">
        <f>IF(B194&lt;&gt;"",IF(_xlfn.IFNA(VLOOKUP(B194,OmsControlTable!T:T,1,0),"尚未處理")&lt;&gt;"尚未處理","已處理","尚未處理"),"")</f>
        <v/>
      </c>
      <c r="B194" s="2"/>
      <c r="C194" s="2"/>
      <c r="D194" s="2"/>
      <c r="E194" s="2"/>
    </row>
    <row r="195" spans="1:5" x14ac:dyDescent="0.25">
      <c r="A195" s="2" t="str">
        <f>IF(B195&lt;&gt;"",IF(_xlfn.IFNA(VLOOKUP(B195,OmsControlTable!T:T,1,0),"尚未處理")&lt;&gt;"尚未處理","已處理","尚未處理"),"")</f>
        <v/>
      </c>
      <c r="B195" s="2"/>
      <c r="C195" s="2"/>
      <c r="D195" s="2"/>
      <c r="E195" s="2"/>
    </row>
    <row r="196" spans="1:5" x14ac:dyDescent="0.25">
      <c r="A196" s="2" t="str">
        <f>IF(B196&lt;&gt;"",IF(_xlfn.IFNA(VLOOKUP(B196,OmsControlTable!T:T,1,0),"尚未處理")&lt;&gt;"尚未處理","已處理","尚未處理"),"")</f>
        <v/>
      </c>
      <c r="B196" s="2"/>
      <c r="C196" s="2"/>
      <c r="D196" s="2"/>
      <c r="E196" s="2"/>
    </row>
    <row r="197" spans="1:5" x14ac:dyDescent="0.25">
      <c r="A197" s="2" t="str">
        <f>IF(B197&lt;&gt;"",IF(_xlfn.IFNA(VLOOKUP(B197,OmsControlTable!T:T,1,0),"尚未處理")&lt;&gt;"尚未處理","已處理","尚未處理"),"")</f>
        <v/>
      </c>
      <c r="B197" s="2"/>
      <c r="C197" s="2"/>
      <c r="D197" s="2"/>
      <c r="E197" s="2"/>
    </row>
    <row r="198" spans="1:5" x14ac:dyDescent="0.25">
      <c r="A198" s="2" t="str">
        <f>IF(B198&lt;&gt;"",IF(_xlfn.IFNA(VLOOKUP(B198,OmsControlTable!T:T,1,0),"尚未處理")&lt;&gt;"尚未處理","已處理","尚未處理"),"")</f>
        <v/>
      </c>
      <c r="B198" s="2"/>
      <c r="C198" s="2"/>
      <c r="D198" s="2"/>
      <c r="E198" s="2"/>
    </row>
    <row r="199" spans="1:5" x14ac:dyDescent="0.25">
      <c r="A199" s="2" t="str">
        <f>IF(B199&lt;&gt;"",IF(_xlfn.IFNA(VLOOKUP(B199,OmsControlTable!T:T,1,0),"尚未處理")&lt;&gt;"尚未處理","已處理","尚未處理"),"")</f>
        <v/>
      </c>
      <c r="B199" s="2"/>
      <c r="C199" s="2"/>
      <c r="D199" s="2"/>
      <c r="E199" s="2"/>
    </row>
    <row r="200" spans="1:5" x14ac:dyDescent="0.25">
      <c r="A200" s="2" t="str">
        <f>IF(B200&lt;&gt;"",IF(_xlfn.IFNA(VLOOKUP(B200,OmsControlTable!T:T,1,0),"尚未處理")&lt;&gt;"尚未處理","已處理","尚未處理"),"")</f>
        <v/>
      </c>
      <c r="B200" s="2"/>
      <c r="C200" s="2"/>
      <c r="D200" s="2"/>
      <c r="E200" s="2"/>
    </row>
    <row r="201" spans="1:5" x14ac:dyDescent="0.25">
      <c r="A201" s="2" t="str">
        <f>IF(B201&lt;&gt;"",IF(_xlfn.IFNA(VLOOKUP(B201,OmsControlTable!T:T,1,0),"尚未處理")&lt;&gt;"尚未處理","已處理","尚未處理"),"")</f>
        <v/>
      </c>
      <c r="B201" s="2"/>
      <c r="C201" s="2"/>
      <c r="D201" s="2"/>
      <c r="E201" s="2"/>
    </row>
    <row r="202" spans="1:5" x14ac:dyDescent="0.25">
      <c r="A202" s="2" t="str">
        <f>IF(B202&lt;&gt;"",IF(_xlfn.IFNA(VLOOKUP(B202,OmsControlTable!T:T,1,0),"尚未處理")&lt;&gt;"尚未處理","已處理","尚未處理"),"")</f>
        <v/>
      </c>
      <c r="B202" s="2"/>
      <c r="C202" s="2"/>
      <c r="D202" s="2"/>
      <c r="E202" s="2"/>
    </row>
    <row r="203" spans="1:5" x14ac:dyDescent="0.25">
      <c r="A203" s="2" t="str">
        <f>IF(B203&lt;&gt;"",IF(_xlfn.IFNA(VLOOKUP(B203,OmsControlTable!T:T,1,0),"尚未處理")&lt;&gt;"尚未處理","已處理","尚未處理"),"")</f>
        <v/>
      </c>
      <c r="B203" s="2"/>
      <c r="C203" s="2"/>
      <c r="D203" s="2"/>
      <c r="E203" s="2"/>
    </row>
    <row r="204" spans="1:5" x14ac:dyDescent="0.25">
      <c r="A204" s="2" t="str">
        <f>IF(B204&lt;&gt;"",IF(_xlfn.IFNA(VLOOKUP(B204,OmsControlTable!T:T,1,0),"尚未處理")&lt;&gt;"尚未處理","已處理","尚未處理"),"")</f>
        <v/>
      </c>
      <c r="B204" s="2"/>
      <c r="C204" s="2"/>
      <c r="D204" s="2"/>
      <c r="E204" s="2"/>
    </row>
    <row r="205" spans="1:5" x14ac:dyDescent="0.25">
      <c r="A205" s="2" t="str">
        <f>IF(B205&lt;&gt;"",IF(_xlfn.IFNA(VLOOKUP(B205,OmsControlTable!T:T,1,0),"尚未處理")&lt;&gt;"尚未處理","已處理","尚未處理"),"")</f>
        <v/>
      </c>
      <c r="B205" s="2"/>
      <c r="C205" s="2"/>
      <c r="D205" s="2"/>
      <c r="E205" s="2"/>
    </row>
    <row r="206" spans="1:5" x14ac:dyDescent="0.25">
      <c r="A206" s="2" t="str">
        <f>IF(B206&lt;&gt;"",IF(_xlfn.IFNA(VLOOKUP(B206,OmsControlTable!T:T,1,0),"尚未處理")&lt;&gt;"尚未處理","已處理","尚未處理"),"")</f>
        <v/>
      </c>
      <c r="B206" s="2"/>
      <c r="C206" s="2"/>
      <c r="D206" s="2"/>
      <c r="E206" s="2"/>
    </row>
    <row r="207" spans="1:5" x14ac:dyDescent="0.25">
      <c r="A207" s="2" t="str">
        <f>IF(B207&lt;&gt;"",IF(_xlfn.IFNA(VLOOKUP(B207,OmsControlTable!T:T,1,0),"尚未處理")&lt;&gt;"尚未處理","已處理","尚未處理"),"")</f>
        <v/>
      </c>
      <c r="B207" s="2"/>
      <c r="C207" s="2"/>
      <c r="D207" s="2"/>
      <c r="E207" s="2"/>
    </row>
    <row r="208" spans="1:5" x14ac:dyDescent="0.25">
      <c r="A208" s="2" t="str">
        <f>IF(B208&lt;&gt;"",IF(_xlfn.IFNA(VLOOKUP(B208,OmsControlTable!T:T,1,0),"尚未處理")&lt;&gt;"尚未處理","已處理","尚未處理"),"")</f>
        <v/>
      </c>
      <c r="B208" s="2"/>
      <c r="C208" s="2"/>
      <c r="D208" s="2"/>
      <c r="E208" s="2"/>
    </row>
    <row r="209" spans="1:5" x14ac:dyDescent="0.25">
      <c r="A209" s="2" t="str">
        <f>IF(B209&lt;&gt;"",IF(_xlfn.IFNA(VLOOKUP(B209,OmsControlTable!T:T,1,0),"尚未處理")&lt;&gt;"尚未處理","已處理","尚未處理"),"")</f>
        <v/>
      </c>
      <c r="B209" s="2"/>
      <c r="C209" s="2"/>
      <c r="D209" s="2"/>
      <c r="E209" s="2"/>
    </row>
    <row r="210" spans="1:5" x14ac:dyDescent="0.25">
      <c r="A210" s="2" t="str">
        <f>IF(B210&lt;&gt;"",IF(_xlfn.IFNA(VLOOKUP(B210,OmsControlTable!T:T,1,0),"尚未處理")&lt;&gt;"尚未處理","已處理","尚未處理"),"")</f>
        <v/>
      </c>
      <c r="B210" s="2"/>
      <c r="C210" s="2"/>
      <c r="D210" s="2"/>
      <c r="E210" s="2"/>
    </row>
    <row r="211" spans="1:5" x14ac:dyDescent="0.25">
      <c r="A211" s="2" t="str">
        <f>IF(B211&lt;&gt;"",IF(_xlfn.IFNA(VLOOKUP(B211,OmsControlTable!T:T,1,0),"尚未處理")&lt;&gt;"尚未處理","已處理","尚未處理"),"")</f>
        <v/>
      </c>
      <c r="B211" s="2"/>
      <c r="C211" s="2"/>
      <c r="D211" s="2"/>
      <c r="E211" s="2"/>
    </row>
    <row r="212" spans="1:5" x14ac:dyDescent="0.25">
      <c r="A212" s="2" t="str">
        <f>IF(B212&lt;&gt;"",IF(_xlfn.IFNA(VLOOKUP(B212,OmsControlTable!T:T,1,0),"尚未處理")&lt;&gt;"尚未處理","已處理","尚未處理"),"")</f>
        <v/>
      </c>
      <c r="B212" s="2"/>
      <c r="C212" s="2"/>
      <c r="D212" s="2"/>
      <c r="E212" s="2"/>
    </row>
    <row r="213" spans="1:5" x14ac:dyDescent="0.25">
      <c r="A213" s="2" t="str">
        <f>IF(B213&lt;&gt;"",IF(_xlfn.IFNA(VLOOKUP(B213,OmsControlTable!T:T,1,0),"尚未處理")&lt;&gt;"尚未處理","已處理","尚未處理"),"")</f>
        <v/>
      </c>
      <c r="B213" s="2"/>
      <c r="C213" s="2"/>
      <c r="D213" s="2"/>
      <c r="E213" s="2"/>
    </row>
    <row r="214" spans="1:5" x14ac:dyDescent="0.25">
      <c r="A214" s="2" t="str">
        <f>IF(B214&lt;&gt;"",IF(_xlfn.IFNA(VLOOKUP(B214,OmsControlTable!T:T,1,0),"尚未處理")&lt;&gt;"尚未處理","已處理","尚未處理"),"")</f>
        <v/>
      </c>
      <c r="B214" s="2"/>
      <c r="C214" s="2"/>
      <c r="D214" s="2"/>
      <c r="E214" s="2"/>
    </row>
    <row r="215" spans="1:5" x14ac:dyDescent="0.25">
      <c r="A215" s="2" t="str">
        <f>IF(B215&lt;&gt;"",IF(_xlfn.IFNA(VLOOKUP(B215,OmsControlTable!T:T,1,0),"尚未處理")&lt;&gt;"尚未處理","已處理","尚未處理"),"")</f>
        <v/>
      </c>
      <c r="B215" s="2"/>
      <c r="C215" s="2"/>
      <c r="D215" s="2"/>
      <c r="E215" s="2"/>
    </row>
    <row r="216" spans="1:5" x14ac:dyDescent="0.25">
      <c r="A216" s="2" t="str">
        <f>IF(B216&lt;&gt;"",IF(_xlfn.IFNA(VLOOKUP(B216,OmsControlTable!T:T,1,0),"尚未處理")&lt;&gt;"尚未處理","已處理","尚未處理"),"")</f>
        <v/>
      </c>
      <c r="B216" s="2"/>
      <c r="C216" s="2"/>
      <c r="D216" s="2"/>
      <c r="E216" s="2"/>
    </row>
    <row r="217" spans="1:5" x14ac:dyDescent="0.25">
      <c r="A217" s="2" t="str">
        <f>IF(B217&lt;&gt;"",IF(_xlfn.IFNA(VLOOKUP(B217,OmsControlTable!T:T,1,0),"尚未處理")&lt;&gt;"尚未處理","已處理","尚未處理"),"")</f>
        <v/>
      </c>
      <c r="B217" s="2"/>
      <c r="C217" s="2"/>
      <c r="D217" s="2"/>
      <c r="E217" s="2"/>
    </row>
    <row r="218" spans="1:5" x14ac:dyDescent="0.25">
      <c r="A218" s="2" t="str">
        <f>IF(B218&lt;&gt;"",IF(_xlfn.IFNA(VLOOKUP(B218,OmsControlTable!T:T,1,0),"尚未處理")&lt;&gt;"尚未處理","已處理","尚未處理"),"")</f>
        <v/>
      </c>
      <c r="B218" s="2"/>
      <c r="C218" s="2"/>
      <c r="D218" s="2"/>
      <c r="E218" s="2"/>
    </row>
    <row r="219" spans="1:5" x14ac:dyDescent="0.25">
      <c r="A219" s="2" t="str">
        <f>IF(B219&lt;&gt;"",IF(_xlfn.IFNA(VLOOKUP(B219,OmsControlTable!T:T,1,0),"尚未處理")&lt;&gt;"尚未處理","已處理","尚未處理"),"")</f>
        <v/>
      </c>
      <c r="B219" s="2"/>
      <c r="C219" s="2"/>
      <c r="D219" s="2"/>
      <c r="E219" s="2"/>
    </row>
    <row r="220" spans="1:5" x14ac:dyDescent="0.25">
      <c r="A220" s="2" t="str">
        <f>IF(B220&lt;&gt;"",IF(_xlfn.IFNA(VLOOKUP(B220,OmsControlTable!T:T,1,0),"尚未處理")&lt;&gt;"尚未處理","已處理","尚未處理"),"")</f>
        <v/>
      </c>
      <c r="B220" s="2"/>
      <c r="C220" s="2"/>
      <c r="D220" s="2"/>
      <c r="E220" s="2"/>
    </row>
    <row r="221" spans="1:5" x14ac:dyDescent="0.25">
      <c r="A221" s="2" t="str">
        <f>IF(B221&lt;&gt;"",IF(_xlfn.IFNA(VLOOKUP(B221,OmsControlTable!T:T,1,0),"尚未處理")&lt;&gt;"尚未處理","已處理","尚未處理"),"")</f>
        <v/>
      </c>
      <c r="B221" s="2"/>
      <c r="C221" s="2"/>
      <c r="D221" s="2"/>
      <c r="E221" s="2"/>
    </row>
    <row r="222" spans="1:5" x14ac:dyDescent="0.25">
      <c r="A222" s="2" t="str">
        <f>IF(B222&lt;&gt;"",IF(_xlfn.IFNA(VLOOKUP(B222,OmsControlTable!T:T,1,0),"尚未處理")&lt;&gt;"尚未處理","已處理","尚未處理"),"")</f>
        <v/>
      </c>
      <c r="B222" s="2"/>
      <c r="C222" s="2"/>
      <c r="D222" s="2"/>
      <c r="E222" s="2"/>
    </row>
    <row r="223" spans="1:5" x14ac:dyDescent="0.25">
      <c r="A223" s="2" t="str">
        <f>IF(B223&lt;&gt;"",IF(_xlfn.IFNA(VLOOKUP(B223,OmsControlTable!T:T,1,0),"尚未處理")&lt;&gt;"尚未處理","已處理","尚未處理"),"")</f>
        <v/>
      </c>
      <c r="B223" s="2"/>
      <c r="C223" s="2"/>
      <c r="D223" s="2"/>
      <c r="E223" s="2"/>
    </row>
    <row r="224" spans="1:5" x14ac:dyDescent="0.25">
      <c r="A224" s="2" t="str">
        <f>IF(B224&lt;&gt;"",IF(_xlfn.IFNA(VLOOKUP(B224,OmsControlTable!T:T,1,0),"尚未處理")&lt;&gt;"尚未處理","已處理","尚未處理"),"")</f>
        <v/>
      </c>
      <c r="B224" s="2"/>
      <c r="C224" s="2"/>
      <c r="D224" s="2"/>
      <c r="E224" s="2"/>
    </row>
    <row r="225" spans="1:5" x14ac:dyDescent="0.25">
      <c r="A225" s="2" t="str">
        <f>IF(B225&lt;&gt;"",IF(_xlfn.IFNA(VLOOKUP(B225,OmsControlTable!T:T,1,0),"尚未處理")&lt;&gt;"尚未處理","已處理","尚未處理"),"")</f>
        <v/>
      </c>
      <c r="B225" s="2"/>
      <c r="C225" s="2"/>
      <c r="D225" s="2"/>
      <c r="E225" s="2"/>
    </row>
    <row r="226" spans="1:5" x14ac:dyDescent="0.25">
      <c r="A226" s="2" t="str">
        <f>IF(B226&lt;&gt;"",IF(_xlfn.IFNA(VLOOKUP(B226,OmsControlTable!T:T,1,0),"尚未處理")&lt;&gt;"尚未處理","已處理","尚未處理"),"")</f>
        <v/>
      </c>
      <c r="B226" s="2"/>
      <c r="C226" s="2"/>
      <c r="D226" s="2"/>
      <c r="E226" s="2"/>
    </row>
    <row r="227" spans="1:5" x14ac:dyDescent="0.25">
      <c r="A227" s="2" t="str">
        <f>IF(B227&lt;&gt;"",IF(_xlfn.IFNA(VLOOKUP(B227,OmsControlTable!T:T,1,0),"尚未處理")&lt;&gt;"尚未處理","已處理","尚未處理"),"")</f>
        <v/>
      </c>
      <c r="B227" s="2"/>
      <c r="C227" s="2"/>
      <c r="D227" s="2"/>
      <c r="E227" s="2"/>
    </row>
    <row r="228" spans="1:5" x14ac:dyDescent="0.25">
      <c r="A228" s="2" t="str">
        <f>IF(B228&lt;&gt;"",IF(_xlfn.IFNA(VLOOKUP(B228,OmsControlTable!T:T,1,0),"尚未處理")&lt;&gt;"尚未處理","已處理","尚未處理"),"")</f>
        <v/>
      </c>
      <c r="B228" s="2"/>
      <c r="C228" s="2"/>
      <c r="D228" s="2"/>
      <c r="E228" s="2"/>
    </row>
    <row r="229" spans="1:5" x14ac:dyDescent="0.25">
      <c r="A229" s="2" t="str">
        <f>IF(B229&lt;&gt;"",IF(_xlfn.IFNA(VLOOKUP(B229,OmsControlTable!T:T,1,0),"尚未處理")&lt;&gt;"尚未處理","已處理","尚未處理"),"")</f>
        <v/>
      </c>
      <c r="B229" s="2"/>
      <c r="C229" s="2"/>
      <c r="D229" s="2"/>
      <c r="E229" s="2"/>
    </row>
    <row r="230" spans="1:5" x14ac:dyDescent="0.25">
      <c r="A230" s="2" t="str">
        <f>IF(B230&lt;&gt;"",IF(_xlfn.IFNA(VLOOKUP(B230,OmsControlTable!T:T,1,0),"尚未處理")&lt;&gt;"尚未處理","已處理","尚未處理"),"")</f>
        <v/>
      </c>
      <c r="B230" s="2"/>
      <c r="C230" s="2"/>
      <c r="D230" s="2"/>
      <c r="E230" s="2"/>
    </row>
    <row r="231" spans="1:5" x14ac:dyDescent="0.25">
      <c r="A231" s="2" t="str">
        <f>IF(B231&lt;&gt;"",IF(_xlfn.IFNA(VLOOKUP(B231,OmsControlTable!T:T,1,0),"尚未處理")&lt;&gt;"尚未處理","已處理","尚未處理"),"")</f>
        <v/>
      </c>
      <c r="B231" s="2"/>
      <c r="C231" s="2"/>
      <c r="D231" s="2"/>
      <c r="E231" s="2"/>
    </row>
    <row r="232" spans="1:5" x14ac:dyDescent="0.25">
      <c r="A232" s="2" t="str">
        <f>IF(B232&lt;&gt;"",IF(_xlfn.IFNA(VLOOKUP(B232,OmsControlTable!T:T,1,0),"尚未處理")&lt;&gt;"尚未處理","已處理","尚未處理"),"")</f>
        <v/>
      </c>
      <c r="B232" s="2"/>
      <c r="C232" s="2"/>
      <c r="D232" s="2"/>
      <c r="E232" s="2"/>
    </row>
    <row r="233" spans="1:5" x14ac:dyDescent="0.25">
      <c r="A233" s="2" t="str">
        <f>IF(B233&lt;&gt;"",IF(_xlfn.IFNA(VLOOKUP(B233,OmsControlTable!T:T,1,0),"尚未處理")&lt;&gt;"尚未處理","已處理","尚未處理"),"")</f>
        <v/>
      </c>
      <c r="B233" s="2"/>
      <c r="C233" s="2"/>
      <c r="D233" s="2"/>
      <c r="E233" s="2"/>
    </row>
    <row r="234" spans="1:5" x14ac:dyDescent="0.25">
      <c r="A234" s="2" t="str">
        <f>IF(B234&lt;&gt;"",IF(_xlfn.IFNA(VLOOKUP(B234,OmsControlTable!T:T,1,0),"尚未處理")&lt;&gt;"尚未處理","已處理","尚未處理"),"")</f>
        <v/>
      </c>
      <c r="B234" s="2"/>
      <c r="C234" s="2"/>
      <c r="D234" s="2"/>
      <c r="E234" s="2"/>
    </row>
    <row r="235" spans="1:5" x14ac:dyDescent="0.25">
      <c r="A235" s="2" t="str">
        <f>IF(B235&lt;&gt;"",IF(_xlfn.IFNA(VLOOKUP(B235,OmsControlTable!T:T,1,0),"尚未處理")&lt;&gt;"尚未處理","已處理","尚未處理"),"")</f>
        <v/>
      </c>
      <c r="B235" s="2"/>
      <c r="C235" s="2"/>
      <c r="D235" s="2"/>
      <c r="E235" s="2"/>
    </row>
    <row r="236" spans="1:5" x14ac:dyDescent="0.25">
      <c r="A236" s="2" t="str">
        <f>IF(B236&lt;&gt;"",IF(_xlfn.IFNA(VLOOKUP(B236,OmsControlTable!T:T,1,0),"尚未處理")&lt;&gt;"尚未處理","已處理","尚未處理"),"")</f>
        <v/>
      </c>
      <c r="B236" s="2"/>
      <c r="C236" s="2"/>
      <c r="D236" s="2"/>
      <c r="E236" s="2"/>
    </row>
    <row r="237" spans="1:5" x14ac:dyDescent="0.25">
      <c r="A237" s="2" t="str">
        <f>IF(B237&lt;&gt;"",IF(_xlfn.IFNA(VLOOKUP(B237,OmsControlTable!T:T,1,0),"尚未處理")&lt;&gt;"尚未處理","已處理","尚未處理"),"")</f>
        <v/>
      </c>
      <c r="B237" s="2"/>
      <c r="C237" s="2"/>
      <c r="D237" s="2"/>
      <c r="E237" s="2"/>
    </row>
    <row r="238" spans="1:5" x14ac:dyDescent="0.25">
      <c r="A238" s="2" t="str">
        <f>IF(B238&lt;&gt;"",IF(_xlfn.IFNA(VLOOKUP(B238,OmsControlTable!T:T,1,0),"尚未處理")&lt;&gt;"尚未處理","已處理","尚未處理"),"")</f>
        <v/>
      </c>
      <c r="B238" s="2"/>
      <c r="C238" s="2"/>
      <c r="D238" s="2"/>
      <c r="E238" s="2"/>
    </row>
    <row r="239" spans="1:5" x14ac:dyDescent="0.25">
      <c r="A239" s="2" t="str">
        <f>IF(B239&lt;&gt;"",IF(_xlfn.IFNA(VLOOKUP(B239,OmsControlTable!T:T,1,0),"尚未處理")&lt;&gt;"尚未處理","已處理","尚未處理"),"")</f>
        <v/>
      </c>
      <c r="B239" s="2"/>
      <c r="C239" s="2"/>
      <c r="D239" s="2"/>
      <c r="E239" s="2"/>
    </row>
    <row r="240" spans="1:5" x14ac:dyDescent="0.25">
      <c r="A240" s="2" t="str">
        <f>IF(B240&lt;&gt;"",IF(_xlfn.IFNA(VLOOKUP(B240,OmsControlTable!T:T,1,0),"尚未處理")&lt;&gt;"尚未處理","已處理","尚未處理"),"")</f>
        <v/>
      </c>
      <c r="B240" s="2"/>
      <c r="C240" s="2"/>
      <c r="D240" s="2"/>
      <c r="E240" s="2"/>
    </row>
    <row r="241" spans="1:5" x14ac:dyDescent="0.25">
      <c r="A241" s="2" t="str">
        <f>IF(B241&lt;&gt;"",IF(_xlfn.IFNA(VLOOKUP(B241,OmsControlTable!T:T,1,0),"尚未處理")&lt;&gt;"尚未處理","已處理","尚未處理"),"")</f>
        <v/>
      </c>
      <c r="B241" s="2"/>
      <c r="C241" s="2"/>
      <c r="D241" s="2"/>
      <c r="E241" s="2"/>
    </row>
    <row r="242" spans="1:5" x14ac:dyDescent="0.25">
      <c r="A242" s="2" t="str">
        <f>IF(B242&lt;&gt;"",IF(_xlfn.IFNA(VLOOKUP(B242,OmsControlTable!T:T,1,0),"尚未處理")&lt;&gt;"尚未處理","已處理","尚未處理"),"")</f>
        <v/>
      </c>
      <c r="B242" s="2"/>
      <c r="C242" s="2"/>
      <c r="D242" s="2"/>
      <c r="E242" s="2"/>
    </row>
    <row r="243" spans="1:5" x14ac:dyDescent="0.25">
      <c r="A243" s="2" t="str">
        <f>IF(B243&lt;&gt;"",IF(_xlfn.IFNA(VLOOKUP(B243,OmsControlTable!T:T,1,0),"尚未處理")&lt;&gt;"尚未處理","已處理","尚未處理"),"")</f>
        <v/>
      </c>
      <c r="B243" s="2"/>
      <c r="C243" s="2"/>
      <c r="D243" s="2"/>
      <c r="E243" s="2"/>
    </row>
    <row r="244" spans="1:5" x14ac:dyDescent="0.25">
      <c r="A244" s="2" t="str">
        <f>IF(B244&lt;&gt;"",IF(_xlfn.IFNA(VLOOKUP(B244,OmsControlTable!T:T,1,0),"尚未處理")&lt;&gt;"尚未處理","已處理","尚未處理"),"")</f>
        <v/>
      </c>
      <c r="B244" s="2"/>
      <c r="C244" s="2"/>
      <c r="D244" s="2"/>
      <c r="E244" s="2"/>
    </row>
    <row r="245" spans="1:5" x14ac:dyDescent="0.25">
      <c r="A245" s="2" t="str">
        <f>IF(B245&lt;&gt;"",IF(_xlfn.IFNA(VLOOKUP(B245,OmsControlTable!T:T,1,0),"尚未處理")&lt;&gt;"尚未處理","已處理","尚未處理"),"")</f>
        <v/>
      </c>
      <c r="B245" s="2"/>
      <c r="C245" s="2"/>
      <c r="D245" s="2"/>
      <c r="E245" s="2"/>
    </row>
    <row r="246" spans="1:5" x14ac:dyDescent="0.25">
      <c r="A246" s="2" t="str">
        <f>IF(B246&lt;&gt;"",IF(_xlfn.IFNA(VLOOKUP(B246,OmsControlTable!T:T,1,0),"尚未處理")&lt;&gt;"尚未處理","已處理","尚未處理"),"")</f>
        <v/>
      </c>
      <c r="B246" s="2"/>
      <c r="C246" s="2"/>
      <c r="D246" s="2"/>
      <c r="E246" s="2"/>
    </row>
    <row r="247" spans="1:5" x14ac:dyDescent="0.25">
      <c r="A247" s="2" t="str">
        <f>IF(B247&lt;&gt;"",IF(_xlfn.IFNA(VLOOKUP(B247,OmsControlTable!T:T,1,0),"尚未處理")&lt;&gt;"尚未處理","已處理","尚未處理"),"")</f>
        <v/>
      </c>
      <c r="B247" s="2"/>
      <c r="C247" s="2"/>
      <c r="D247" s="2"/>
      <c r="E247" s="2"/>
    </row>
    <row r="248" spans="1:5" x14ac:dyDescent="0.25">
      <c r="A248" s="2" t="str">
        <f>IF(B248&lt;&gt;"",IF(_xlfn.IFNA(VLOOKUP(B248,OmsControlTable!T:T,1,0),"尚未處理")&lt;&gt;"尚未處理","已處理","尚未處理"),"")</f>
        <v/>
      </c>
      <c r="B248" s="2"/>
      <c r="C248" s="2"/>
      <c r="D248" s="2"/>
      <c r="E248" s="2"/>
    </row>
    <row r="249" spans="1:5" x14ac:dyDescent="0.25">
      <c r="A249" s="2" t="str">
        <f>IF(B249&lt;&gt;"",IF(_xlfn.IFNA(VLOOKUP(B249,OmsControlTable!T:T,1,0),"尚未處理")&lt;&gt;"尚未處理","已處理","尚未處理"),"")</f>
        <v/>
      </c>
      <c r="B249" s="2"/>
      <c r="C249" s="2"/>
      <c r="D249" s="2"/>
      <c r="E249" s="2"/>
    </row>
    <row r="250" spans="1:5" x14ac:dyDescent="0.25">
      <c r="A250" s="2" t="str">
        <f>IF(B250&lt;&gt;"",IF(_xlfn.IFNA(VLOOKUP(B250,OmsControlTable!T:T,1,0),"尚未處理")&lt;&gt;"尚未處理","已處理","尚未處理"),"")</f>
        <v/>
      </c>
      <c r="B250" s="2"/>
      <c r="C250" s="2"/>
      <c r="D250" s="2"/>
      <c r="E250" s="2"/>
    </row>
    <row r="251" spans="1:5" x14ac:dyDescent="0.25">
      <c r="A251" s="2" t="str">
        <f>IF(B251&lt;&gt;"",IF(_xlfn.IFNA(VLOOKUP(B251,OmsControlTable!T:T,1,0),"尚未處理")&lt;&gt;"尚未處理","已處理","尚未處理"),"")</f>
        <v/>
      </c>
      <c r="B251" s="2"/>
      <c r="C251" s="2"/>
      <c r="D251" s="2"/>
      <c r="E251" s="2"/>
    </row>
    <row r="252" spans="1:5" x14ac:dyDescent="0.25">
      <c r="A252" s="2" t="str">
        <f>IF(B252&lt;&gt;"",IF(_xlfn.IFNA(VLOOKUP(B252,OmsControlTable!T:T,1,0),"尚未處理")&lt;&gt;"尚未處理","已處理","尚未處理"),"")</f>
        <v/>
      </c>
      <c r="B252" s="2"/>
      <c r="C252" s="2"/>
      <c r="D252" s="2"/>
      <c r="E252" s="2"/>
    </row>
    <row r="253" spans="1:5" x14ac:dyDescent="0.25">
      <c r="A253" s="2" t="str">
        <f>IF(B253&lt;&gt;"",IF(_xlfn.IFNA(VLOOKUP(B253,OmsControlTable!T:T,1,0),"尚未處理")&lt;&gt;"尚未處理","已處理","尚未處理"),"")</f>
        <v/>
      </c>
      <c r="B253" s="2"/>
      <c r="C253" s="2"/>
      <c r="D253" s="2"/>
      <c r="E253" s="2"/>
    </row>
    <row r="254" spans="1:5" x14ac:dyDescent="0.25">
      <c r="A254" s="2" t="str">
        <f>IF(B254&lt;&gt;"",IF(_xlfn.IFNA(VLOOKUP(B254,OmsControlTable!T:T,1,0),"尚未處理")&lt;&gt;"尚未處理","已處理","尚未處理"),"")</f>
        <v/>
      </c>
      <c r="B254" s="2"/>
      <c r="C254" s="2"/>
      <c r="D254" s="2"/>
      <c r="E254" s="2"/>
    </row>
    <row r="255" spans="1:5" x14ac:dyDescent="0.25">
      <c r="A255" s="2" t="str">
        <f>IF(B255&lt;&gt;"",IF(_xlfn.IFNA(VLOOKUP(B255,OmsControlTable!T:T,1,0),"尚未處理")&lt;&gt;"尚未處理","已處理","尚未處理"),"")</f>
        <v/>
      </c>
      <c r="B255" s="2"/>
      <c r="C255" s="2"/>
      <c r="D255" s="2"/>
      <c r="E255" s="2"/>
    </row>
    <row r="256" spans="1:5" x14ac:dyDescent="0.25">
      <c r="A256" s="2" t="str">
        <f>IF(B256&lt;&gt;"",IF(_xlfn.IFNA(VLOOKUP(B256,OmsControlTable!T:T,1,0),"尚未處理")&lt;&gt;"尚未處理","已處理","尚未處理"),"")</f>
        <v/>
      </c>
      <c r="B256" s="2"/>
      <c r="C256" s="2"/>
      <c r="D256" s="2"/>
      <c r="E256" s="2"/>
    </row>
    <row r="257" spans="1:5" x14ac:dyDescent="0.25">
      <c r="A257" s="2" t="str">
        <f>IF(B257&lt;&gt;"",IF(_xlfn.IFNA(VLOOKUP(B257,OmsControlTable!T:T,1,0),"尚未處理")&lt;&gt;"尚未處理","已處理","尚未處理"),"")</f>
        <v/>
      </c>
      <c r="B257" s="2"/>
      <c r="C257" s="2"/>
      <c r="D257" s="2"/>
      <c r="E257" s="2"/>
    </row>
    <row r="258" spans="1:5" x14ac:dyDescent="0.25">
      <c r="A258" s="2" t="str">
        <f>IF(B258&lt;&gt;"",IF(_xlfn.IFNA(VLOOKUP(B258,OmsControlTable!T:T,1,0),"尚未處理")&lt;&gt;"尚未處理","已處理","尚未處理"),"")</f>
        <v/>
      </c>
      <c r="B258" s="2"/>
      <c r="C258" s="2"/>
      <c r="D258" s="2"/>
      <c r="E258" s="2"/>
    </row>
    <row r="259" spans="1:5" x14ac:dyDescent="0.25">
      <c r="A259" s="2" t="str">
        <f>IF(B259&lt;&gt;"",IF(_xlfn.IFNA(VLOOKUP(B259,OmsControlTable!T:T,1,0),"尚未處理")&lt;&gt;"尚未處理","已處理","尚未處理"),"")</f>
        <v/>
      </c>
      <c r="B259" s="2"/>
      <c r="C259" s="2"/>
      <c r="D259" s="2"/>
      <c r="E259" s="2"/>
    </row>
    <row r="260" spans="1:5" x14ac:dyDescent="0.25">
      <c r="A260" s="2" t="str">
        <f>IF(B260&lt;&gt;"",IF(_xlfn.IFNA(VLOOKUP(B260,OmsControlTable!T:T,1,0),"尚未處理")&lt;&gt;"尚未處理","已處理","尚未處理"),"")</f>
        <v/>
      </c>
      <c r="B260" s="2"/>
      <c r="C260" s="2"/>
      <c r="D260" s="2"/>
      <c r="E260" s="2"/>
    </row>
    <row r="261" spans="1:5" x14ac:dyDescent="0.25">
      <c r="A261" s="2" t="str">
        <f>IF(B261&lt;&gt;"",IF(_xlfn.IFNA(VLOOKUP(B261,OmsControlTable!T:T,1,0),"尚未處理")&lt;&gt;"尚未處理","已處理","尚未處理"),"")</f>
        <v/>
      </c>
      <c r="B261" s="2"/>
      <c r="C261" s="2"/>
      <c r="D261" s="2"/>
      <c r="E261" s="2"/>
    </row>
    <row r="262" spans="1:5" x14ac:dyDescent="0.25">
      <c r="A262" s="2" t="str">
        <f>IF(B262&lt;&gt;"",IF(_xlfn.IFNA(VLOOKUP(B262,OmsControlTable!T:T,1,0),"尚未處理")&lt;&gt;"尚未處理","已處理","尚未處理"),"")</f>
        <v/>
      </c>
      <c r="B262" s="2"/>
      <c r="C262" s="2"/>
      <c r="D262" s="2"/>
      <c r="E262" s="2"/>
    </row>
    <row r="263" spans="1:5" x14ac:dyDescent="0.25">
      <c r="A263" s="2" t="str">
        <f>IF(B263&lt;&gt;"",IF(_xlfn.IFNA(VLOOKUP(B263,OmsControlTable!T:T,1,0),"尚未處理")&lt;&gt;"尚未處理","已處理","尚未處理"),"")</f>
        <v/>
      </c>
      <c r="B263" s="2"/>
      <c r="C263" s="2"/>
      <c r="D263" s="2"/>
      <c r="E263" s="2"/>
    </row>
    <row r="264" spans="1:5" x14ac:dyDescent="0.25">
      <c r="A264" s="2" t="str">
        <f>IF(B264&lt;&gt;"",IF(_xlfn.IFNA(VLOOKUP(B264,OmsControlTable!T:T,1,0),"尚未處理")&lt;&gt;"尚未處理","已處理","尚未處理"),"")</f>
        <v/>
      </c>
      <c r="B264" s="2"/>
      <c r="C264" s="2"/>
      <c r="D264" s="2"/>
      <c r="E264" s="2"/>
    </row>
    <row r="265" spans="1:5" x14ac:dyDescent="0.25">
      <c r="A265" s="2" t="str">
        <f>IF(B265&lt;&gt;"",IF(_xlfn.IFNA(VLOOKUP(B265,OmsControlTable!T:T,1,0),"尚未處理")&lt;&gt;"尚未處理","已處理","尚未處理"),"")</f>
        <v/>
      </c>
      <c r="B265" s="2"/>
      <c r="C265" s="2"/>
      <c r="D265" s="2"/>
      <c r="E265" s="2"/>
    </row>
    <row r="266" spans="1:5" x14ac:dyDescent="0.25">
      <c r="A266" s="2" t="str">
        <f>IF(B266&lt;&gt;"",IF(_xlfn.IFNA(VLOOKUP(B266,OmsControlTable!T:T,1,0),"尚未處理")&lt;&gt;"尚未處理","已處理","尚未處理"),"")</f>
        <v/>
      </c>
      <c r="B266" s="2"/>
      <c r="C266" s="2"/>
      <c r="D266" s="2"/>
      <c r="E266" s="2"/>
    </row>
    <row r="267" spans="1:5" x14ac:dyDescent="0.25">
      <c r="A267" s="2" t="str">
        <f>IF(B267&lt;&gt;"",IF(_xlfn.IFNA(VLOOKUP(B267,OmsControlTable!T:T,1,0),"尚未處理")&lt;&gt;"尚未處理","已處理","尚未處理"),"")</f>
        <v/>
      </c>
      <c r="B267" s="2"/>
      <c r="C267" s="2"/>
      <c r="D267" s="2"/>
      <c r="E267" s="2"/>
    </row>
    <row r="268" spans="1:5" x14ac:dyDescent="0.25">
      <c r="A268" s="2" t="str">
        <f>IF(B268&lt;&gt;"",IF(_xlfn.IFNA(VLOOKUP(B268,OmsControlTable!T:T,1,0),"尚未處理")&lt;&gt;"尚未處理","已處理","尚未處理"),"")</f>
        <v/>
      </c>
      <c r="B268" s="2"/>
      <c r="C268" s="2"/>
      <c r="D268" s="2"/>
      <c r="E268" s="2"/>
    </row>
    <row r="269" spans="1:5" x14ac:dyDescent="0.25">
      <c r="A269" s="2" t="str">
        <f>IF(B269&lt;&gt;"",IF(_xlfn.IFNA(VLOOKUP(B269,OmsControlTable!T:T,1,0),"尚未處理")&lt;&gt;"尚未處理","已處理","尚未處理"),"")</f>
        <v/>
      </c>
      <c r="B269" s="2"/>
      <c r="C269" s="2"/>
      <c r="D269" s="2"/>
      <c r="E269" s="2"/>
    </row>
    <row r="270" spans="1:5" x14ac:dyDescent="0.25">
      <c r="A270" s="2" t="str">
        <f>IF(B270&lt;&gt;"",IF(_xlfn.IFNA(VLOOKUP(B270,OmsControlTable!T:T,1,0),"尚未處理")&lt;&gt;"尚未處理","已處理","尚未處理"),"")</f>
        <v/>
      </c>
      <c r="B270" s="2"/>
      <c r="C270" s="2"/>
      <c r="D270" s="2"/>
      <c r="E270" s="2"/>
    </row>
    <row r="271" spans="1:5" x14ac:dyDescent="0.25">
      <c r="A271" s="2" t="str">
        <f>IF(B271&lt;&gt;"",IF(_xlfn.IFNA(VLOOKUP(B271,OmsControlTable!T:T,1,0),"尚未處理")&lt;&gt;"尚未處理","已處理","尚未處理"),"")</f>
        <v/>
      </c>
      <c r="B271" s="2"/>
      <c r="C271" s="2"/>
      <c r="D271" s="2"/>
      <c r="E271" s="2"/>
    </row>
    <row r="272" spans="1:5" x14ac:dyDescent="0.25">
      <c r="A272" s="2" t="str">
        <f>IF(B272&lt;&gt;"",IF(_xlfn.IFNA(VLOOKUP(B272,OmsControlTable!T:T,1,0),"尚未處理")&lt;&gt;"尚未處理","已處理","尚未處理"),"")</f>
        <v/>
      </c>
      <c r="B272" s="2"/>
      <c r="C272" s="2"/>
      <c r="D272" s="2"/>
      <c r="E272" s="2"/>
    </row>
    <row r="273" spans="1:5" x14ac:dyDescent="0.25">
      <c r="A273" s="2" t="str">
        <f>IF(B273&lt;&gt;"",IF(_xlfn.IFNA(VLOOKUP(B273,OmsControlTable!T:T,1,0),"尚未處理")&lt;&gt;"尚未處理","已處理","尚未處理"),"")</f>
        <v/>
      </c>
      <c r="B273" s="2"/>
      <c r="C273" s="2"/>
      <c r="D273" s="2"/>
      <c r="E273" s="2"/>
    </row>
    <row r="274" spans="1:5" x14ac:dyDescent="0.25">
      <c r="A274" s="2" t="str">
        <f>IF(B274&lt;&gt;"",IF(_xlfn.IFNA(VLOOKUP(B274,OmsControlTable!T:T,1,0),"尚未處理")&lt;&gt;"尚未處理","已處理","尚未處理"),"")</f>
        <v/>
      </c>
      <c r="B274" s="2"/>
      <c r="C274" s="2"/>
      <c r="D274" s="2"/>
      <c r="E274" s="2"/>
    </row>
    <row r="275" spans="1:5" x14ac:dyDescent="0.25">
      <c r="A275" s="2" t="str">
        <f>IF(B275&lt;&gt;"",IF(_xlfn.IFNA(VLOOKUP(B275,OmsControlTable!T:T,1,0),"尚未處理")&lt;&gt;"尚未處理","已處理","尚未處理"),"")</f>
        <v/>
      </c>
      <c r="B275" s="2"/>
      <c r="C275" s="2"/>
      <c r="D275" s="2"/>
      <c r="E275" s="2"/>
    </row>
    <row r="276" spans="1:5" x14ac:dyDescent="0.25">
      <c r="A276" s="2" t="str">
        <f>IF(B276&lt;&gt;"",IF(_xlfn.IFNA(VLOOKUP(B276,OmsControlTable!T:T,1,0),"尚未處理")&lt;&gt;"尚未處理","已處理","尚未處理"),"")</f>
        <v/>
      </c>
      <c r="B276" s="2"/>
      <c r="C276" s="2"/>
      <c r="D276" s="2"/>
      <c r="E276" s="2"/>
    </row>
    <row r="277" spans="1:5" x14ac:dyDescent="0.25">
      <c r="A277" s="2" t="str">
        <f>IF(B277&lt;&gt;"",IF(_xlfn.IFNA(VLOOKUP(B277,OmsControlTable!T:T,1,0),"尚未處理")&lt;&gt;"尚未處理","已處理","尚未處理"),"")</f>
        <v/>
      </c>
      <c r="B277" s="2"/>
      <c r="C277" s="2"/>
      <c r="D277" s="2"/>
      <c r="E277" s="2"/>
    </row>
    <row r="278" spans="1:5" x14ac:dyDescent="0.25">
      <c r="A278" s="2" t="str">
        <f>IF(B278&lt;&gt;"",IF(_xlfn.IFNA(VLOOKUP(B278,OmsControlTable!T:T,1,0),"尚未處理")&lt;&gt;"尚未處理","已處理","尚未處理"),"")</f>
        <v/>
      </c>
      <c r="B278" s="2"/>
      <c r="C278" s="2"/>
      <c r="D278" s="2"/>
      <c r="E278" s="2"/>
    </row>
    <row r="279" spans="1:5" x14ac:dyDescent="0.25">
      <c r="A279" s="2" t="str">
        <f>IF(B279&lt;&gt;"",IF(_xlfn.IFNA(VLOOKUP(B279,OmsControlTable!T:T,1,0),"尚未處理")&lt;&gt;"尚未處理","已處理","尚未處理"),"")</f>
        <v/>
      </c>
      <c r="B279" s="2"/>
      <c r="C279" s="2"/>
      <c r="D279" s="2"/>
      <c r="E279" s="2"/>
    </row>
    <row r="280" spans="1:5" x14ac:dyDescent="0.25">
      <c r="A280" s="2" t="str">
        <f>IF(B280&lt;&gt;"",IF(_xlfn.IFNA(VLOOKUP(B280,OmsControlTable!T:T,1,0),"尚未處理")&lt;&gt;"尚未處理","已處理","尚未處理"),"")</f>
        <v/>
      </c>
      <c r="B280" s="2"/>
      <c r="C280" s="2"/>
      <c r="D280" s="2"/>
      <c r="E280" s="2"/>
    </row>
    <row r="281" spans="1:5" x14ac:dyDescent="0.25">
      <c r="A281" s="2" t="str">
        <f>IF(B281&lt;&gt;"",IF(_xlfn.IFNA(VLOOKUP(B281,OmsControlTable!T:T,1,0),"尚未處理")&lt;&gt;"尚未處理","已處理","尚未處理"),"")</f>
        <v/>
      </c>
      <c r="B281" s="2"/>
      <c r="C281" s="2"/>
      <c r="D281" s="2"/>
      <c r="E281" s="2"/>
    </row>
    <row r="282" spans="1:5" x14ac:dyDescent="0.25">
      <c r="A282" s="2" t="str">
        <f>IF(B282&lt;&gt;"",IF(_xlfn.IFNA(VLOOKUP(B282,OmsControlTable!T:T,1,0),"尚未處理")&lt;&gt;"尚未處理","已處理","尚未處理"),"")</f>
        <v/>
      </c>
      <c r="B282" s="2"/>
      <c r="C282" s="2"/>
      <c r="D282" s="2"/>
      <c r="E282" s="2"/>
    </row>
    <row r="283" spans="1:5" x14ac:dyDescent="0.25">
      <c r="A283" s="2" t="str">
        <f>IF(B283&lt;&gt;"",IF(_xlfn.IFNA(VLOOKUP(B283,OmsControlTable!T:T,1,0),"尚未處理")&lt;&gt;"尚未處理","已處理","尚未處理"),"")</f>
        <v/>
      </c>
      <c r="B283" s="2"/>
      <c r="C283" s="2"/>
      <c r="D283" s="2"/>
      <c r="E283" s="2"/>
    </row>
    <row r="284" spans="1:5" x14ac:dyDescent="0.25">
      <c r="A284" s="2" t="str">
        <f>IF(B284&lt;&gt;"",IF(_xlfn.IFNA(VLOOKUP(B284,OmsControlTable!T:T,1,0),"尚未處理")&lt;&gt;"尚未處理","已處理","尚未處理"),"")</f>
        <v/>
      </c>
      <c r="B284" s="2"/>
      <c r="C284" s="2"/>
      <c r="D284" s="2"/>
      <c r="E284" s="2"/>
    </row>
    <row r="285" spans="1:5" x14ac:dyDescent="0.25">
      <c r="A285" s="2" t="str">
        <f>IF(B285&lt;&gt;"",IF(_xlfn.IFNA(VLOOKUP(B285,OmsControlTable!T:T,1,0),"尚未處理")&lt;&gt;"尚未處理","已處理","尚未處理"),"")</f>
        <v/>
      </c>
      <c r="B285" s="2"/>
      <c r="C285" s="2"/>
      <c r="D285" s="2"/>
      <c r="E285" s="2"/>
    </row>
    <row r="286" spans="1:5" x14ac:dyDescent="0.25">
      <c r="A286" s="2" t="str">
        <f>IF(B286&lt;&gt;"",IF(_xlfn.IFNA(VLOOKUP(B286,OmsControlTable!T:T,1,0),"尚未處理")&lt;&gt;"尚未處理","已處理","尚未處理"),"")</f>
        <v/>
      </c>
      <c r="B286" s="2"/>
      <c r="C286" s="2"/>
      <c r="D286" s="2"/>
      <c r="E286" s="2"/>
    </row>
    <row r="287" spans="1:5" x14ac:dyDescent="0.25">
      <c r="A287" s="2" t="str">
        <f>IF(B287&lt;&gt;"",IF(_xlfn.IFNA(VLOOKUP(B287,OmsControlTable!T:T,1,0),"尚未處理")&lt;&gt;"尚未處理","已處理","尚未處理"),"")</f>
        <v/>
      </c>
      <c r="B287" s="2"/>
      <c r="C287" s="2"/>
      <c r="D287" s="2"/>
      <c r="E287" s="2"/>
    </row>
    <row r="288" spans="1:5" x14ac:dyDescent="0.25">
      <c r="A288" s="2" t="str">
        <f>IF(B288&lt;&gt;"",IF(_xlfn.IFNA(VLOOKUP(B288,OmsControlTable!T:T,1,0),"尚未處理")&lt;&gt;"尚未處理","已處理","尚未處理"),"")</f>
        <v/>
      </c>
      <c r="B288" s="2"/>
      <c r="C288" s="2"/>
      <c r="D288" s="2"/>
      <c r="E288" s="2"/>
    </row>
    <row r="289" spans="1:5" x14ac:dyDescent="0.25">
      <c r="A289" s="2" t="str">
        <f>IF(B289&lt;&gt;"",IF(_xlfn.IFNA(VLOOKUP(B289,OmsControlTable!T:T,1,0),"尚未處理")&lt;&gt;"尚未處理","已處理","尚未處理"),"")</f>
        <v/>
      </c>
      <c r="B289" s="2"/>
      <c r="C289" s="2"/>
      <c r="D289" s="2"/>
      <c r="E289" s="2"/>
    </row>
    <row r="290" spans="1:5" x14ac:dyDescent="0.25">
      <c r="A290" s="2" t="str">
        <f>IF(B290&lt;&gt;"",IF(_xlfn.IFNA(VLOOKUP(B290,OmsControlTable!T:T,1,0),"尚未處理")&lt;&gt;"尚未處理","已處理","尚未處理"),"")</f>
        <v/>
      </c>
      <c r="B290" s="2"/>
      <c r="C290" s="2"/>
      <c r="D290" s="2"/>
      <c r="E290" s="2"/>
    </row>
    <row r="291" spans="1:5" x14ac:dyDescent="0.25">
      <c r="A291" s="2" t="str">
        <f>IF(B291&lt;&gt;"",IF(_xlfn.IFNA(VLOOKUP(B291,OmsControlTable!T:T,1,0),"尚未處理")&lt;&gt;"尚未處理","已處理","尚未處理"),"")</f>
        <v/>
      </c>
      <c r="B291" s="2"/>
      <c r="C291" s="2"/>
      <c r="D291" s="2"/>
      <c r="E291" s="2"/>
    </row>
    <row r="292" spans="1:5" x14ac:dyDescent="0.25">
      <c r="A292" s="2" t="str">
        <f>IF(B292&lt;&gt;"",IF(_xlfn.IFNA(VLOOKUP(B292,OmsControlTable!T:T,1,0),"尚未處理")&lt;&gt;"尚未處理","已處理","尚未處理"),"")</f>
        <v/>
      </c>
      <c r="B292" s="2"/>
      <c r="C292" s="2"/>
      <c r="D292" s="2"/>
      <c r="E292" s="2"/>
    </row>
    <row r="293" spans="1:5" x14ac:dyDescent="0.25">
      <c r="A293" s="2" t="str">
        <f>IF(B293&lt;&gt;"",IF(_xlfn.IFNA(VLOOKUP(B293,OmsControlTable!T:T,1,0),"尚未處理")&lt;&gt;"尚未處理","已處理","尚未處理"),"")</f>
        <v/>
      </c>
      <c r="B293" s="2"/>
      <c r="C293" s="2"/>
      <c r="D293" s="2"/>
      <c r="E293" s="2"/>
    </row>
    <row r="294" spans="1:5" x14ac:dyDescent="0.25">
      <c r="A294" s="2" t="str">
        <f>IF(B294&lt;&gt;"",IF(_xlfn.IFNA(VLOOKUP(B294,OmsControlTable!T:T,1,0),"尚未處理")&lt;&gt;"尚未處理","已處理","尚未處理"),"")</f>
        <v/>
      </c>
      <c r="B294" s="2"/>
      <c r="C294" s="2"/>
      <c r="D294" s="2"/>
      <c r="E294" s="2"/>
    </row>
    <row r="295" spans="1:5" x14ac:dyDescent="0.25">
      <c r="A295" s="2" t="str">
        <f>IF(B295&lt;&gt;"",IF(_xlfn.IFNA(VLOOKUP(B295,OmsControlTable!T:T,1,0),"尚未處理")&lt;&gt;"尚未處理","已處理","尚未處理"),"")</f>
        <v/>
      </c>
      <c r="B295" s="2"/>
      <c r="C295" s="2"/>
      <c r="D295" s="2"/>
      <c r="E295" s="2"/>
    </row>
    <row r="296" spans="1:5" x14ac:dyDescent="0.25">
      <c r="A296" s="2" t="str">
        <f>IF(B296&lt;&gt;"",IF(_xlfn.IFNA(VLOOKUP(B296,OmsControlTable!T:T,1,0),"尚未處理")&lt;&gt;"尚未處理","已處理","尚未處理"),"")</f>
        <v/>
      </c>
      <c r="B296" s="2"/>
      <c r="C296" s="2"/>
      <c r="D296" s="2"/>
      <c r="E296" s="2"/>
    </row>
    <row r="297" spans="1:5" x14ac:dyDescent="0.25">
      <c r="A297" s="2" t="str">
        <f>IF(B297&lt;&gt;"",IF(_xlfn.IFNA(VLOOKUP(B297,OmsControlTable!T:T,1,0),"尚未處理")&lt;&gt;"尚未處理","已處理","尚未處理"),"")</f>
        <v/>
      </c>
      <c r="B297" s="2"/>
      <c r="C297" s="2"/>
      <c r="D297" s="2"/>
      <c r="E297" s="2"/>
    </row>
    <row r="298" spans="1:5" x14ac:dyDescent="0.25">
      <c r="A298" s="2" t="str">
        <f>IF(B298&lt;&gt;"",IF(_xlfn.IFNA(VLOOKUP(B298,OmsControlTable!T:T,1,0),"尚未處理")&lt;&gt;"尚未處理","已處理","尚未處理"),"")</f>
        <v/>
      </c>
      <c r="B298" s="2"/>
      <c r="C298" s="2"/>
      <c r="D298" s="2"/>
      <c r="E298" s="2"/>
    </row>
    <row r="299" spans="1:5" x14ac:dyDescent="0.25">
      <c r="A299" s="2" t="str">
        <f>IF(B299&lt;&gt;"",IF(_xlfn.IFNA(VLOOKUP(B299,OmsControlTable!T:T,1,0),"尚未處理")&lt;&gt;"尚未處理","已處理","尚未處理"),"")</f>
        <v/>
      </c>
      <c r="B299" s="2"/>
      <c r="C299" s="2"/>
      <c r="D299" s="2"/>
      <c r="E299" s="2"/>
    </row>
    <row r="300" spans="1:5" x14ac:dyDescent="0.25">
      <c r="A300" s="2" t="str">
        <f>IF(B300&lt;&gt;"",IF(_xlfn.IFNA(VLOOKUP(B300,OmsControlTable!T:T,1,0),"尚未處理")&lt;&gt;"尚未處理","已處理","尚未處理"),"")</f>
        <v/>
      </c>
      <c r="B300" s="2"/>
      <c r="C300" s="2"/>
      <c r="D300" s="2"/>
      <c r="E300" s="2"/>
    </row>
    <row r="301" spans="1:5" x14ac:dyDescent="0.25">
      <c r="A301" s="2" t="str">
        <f>IF(B301&lt;&gt;"",IF(_xlfn.IFNA(VLOOKUP(B301,OmsControlTable!T:T,1,0),"尚未處理")&lt;&gt;"尚未處理","已處理","尚未處理"),"")</f>
        <v/>
      </c>
      <c r="B301" s="2"/>
      <c r="C301" s="2"/>
      <c r="D301" s="2"/>
      <c r="E301" s="2"/>
    </row>
    <row r="302" spans="1:5" x14ac:dyDescent="0.25">
      <c r="A302" s="2" t="str">
        <f>IF(B302&lt;&gt;"",IF(_xlfn.IFNA(VLOOKUP(B302,OmsControlTable!T:T,1,0),"尚未處理")&lt;&gt;"尚未處理","已處理","尚未處理"),"")</f>
        <v/>
      </c>
      <c r="B302" s="2"/>
      <c r="C302" s="2"/>
      <c r="D302" s="2"/>
      <c r="E302" s="2"/>
    </row>
    <row r="303" spans="1:5" x14ac:dyDescent="0.25">
      <c r="A303" s="2" t="str">
        <f>IF(B303&lt;&gt;"",IF(_xlfn.IFNA(VLOOKUP(B303,OmsControlTable!T:T,1,0),"尚未處理")&lt;&gt;"尚未處理","已處理","尚未處理"),"")</f>
        <v/>
      </c>
      <c r="B303" s="2"/>
      <c r="C303" s="2"/>
      <c r="D303" s="2"/>
      <c r="E303" s="2"/>
    </row>
    <row r="304" spans="1:5" x14ac:dyDescent="0.25">
      <c r="A304" s="2" t="str">
        <f>IF(B304&lt;&gt;"",IF(_xlfn.IFNA(VLOOKUP(B304,OmsControlTable!T:T,1,0),"尚未處理")&lt;&gt;"尚未處理","已處理","尚未處理"),"")</f>
        <v/>
      </c>
      <c r="B304" s="2"/>
      <c r="C304" s="2"/>
      <c r="D304" s="2"/>
      <c r="E304" s="2"/>
    </row>
    <row r="305" spans="1:5" x14ac:dyDescent="0.25">
      <c r="A305" s="2" t="str">
        <f>IF(B305&lt;&gt;"",IF(_xlfn.IFNA(VLOOKUP(B305,OmsControlTable!T:T,1,0),"尚未處理")&lt;&gt;"尚未處理","已處理","尚未處理"),"")</f>
        <v/>
      </c>
      <c r="B305" s="2"/>
      <c r="C305" s="2"/>
      <c r="D305" s="2"/>
      <c r="E305" s="2"/>
    </row>
    <row r="306" spans="1:5" x14ac:dyDescent="0.25">
      <c r="A306" s="2" t="str">
        <f>IF(B306&lt;&gt;"",IF(_xlfn.IFNA(VLOOKUP(B306,OmsControlTable!T:T,1,0),"尚未處理")&lt;&gt;"尚未處理","已處理","尚未處理"),"")</f>
        <v/>
      </c>
      <c r="B306" s="2"/>
      <c r="C306" s="2"/>
      <c r="D306" s="2"/>
      <c r="E306" s="2"/>
    </row>
    <row r="307" spans="1:5" x14ac:dyDescent="0.25">
      <c r="A307" s="2" t="str">
        <f>IF(B307&lt;&gt;"",IF(_xlfn.IFNA(VLOOKUP(B307,OmsControlTable!T:T,1,0),"尚未處理")&lt;&gt;"尚未處理","已處理","尚未處理"),"")</f>
        <v/>
      </c>
      <c r="B307" s="2"/>
      <c r="C307" s="2"/>
      <c r="D307" s="2"/>
      <c r="E307" s="2"/>
    </row>
    <row r="308" spans="1:5" x14ac:dyDescent="0.25">
      <c r="A308" s="2" t="str">
        <f>IF(B308&lt;&gt;"",IF(_xlfn.IFNA(VLOOKUP(B308,OmsControlTable!T:T,1,0),"尚未處理")&lt;&gt;"尚未處理","已處理","尚未處理"),"")</f>
        <v/>
      </c>
      <c r="B308" s="2"/>
      <c r="C308" s="2"/>
      <c r="D308" s="2"/>
      <c r="E308" s="2"/>
    </row>
    <row r="309" spans="1:5" x14ac:dyDescent="0.25">
      <c r="A309" s="2" t="str">
        <f>IF(B309&lt;&gt;"",IF(_xlfn.IFNA(VLOOKUP(B309,OmsControlTable!T:T,1,0),"尚未處理")&lt;&gt;"尚未處理","已處理","尚未處理"),"")</f>
        <v/>
      </c>
      <c r="B309" s="2"/>
      <c r="C309" s="2"/>
      <c r="D309" s="2"/>
      <c r="E309" s="2"/>
    </row>
    <row r="310" spans="1:5" x14ac:dyDescent="0.25">
      <c r="A310" s="2" t="str">
        <f>IF(B310&lt;&gt;"",IF(_xlfn.IFNA(VLOOKUP(B310,OmsControlTable!T:T,1,0),"尚未處理")&lt;&gt;"尚未處理","已處理","尚未處理"),"")</f>
        <v/>
      </c>
      <c r="B310" s="2"/>
      <c r="C310" s="2"/>
      <c r="D310" s="2"/>
      <c r="E310" s="2"/>
    </row>
    <row r="311" spans="1:5" x14ac:dyDescent="0.25">
      <c r="A311" s="2" t="str">
        <f>IF(B311&lt;&gt;"",IF(_xlfn.IFNA(VLOOKUP(B311,OmsControlTable!T:T,1,0),"尚未處理")&lt;&gt;"尚未處理","已處理","尚未處理"),"")</f>
        <v/>
      </c>
      <c r="B311" s="2"/>
      <c r="C311" s="2"/>
      <c r="D311" s="2"/>
      <c r="E311" s="2"/>
    </row>
    <row r="312" spans="1:5" x14ac:dyDescent="0.25">
      <c r="A312" s="2" t="str">
        <f>IF(B312&lt;&gt;"",IF(_xlfn.IFNA(VLOOKUP(B312,OmsControlTable!T:T,1,0),"尚未處理")&lt;&gt;"尚未處理","已處理","尚未處理"),"")</f>
        <v/>
      </c>
      <c r="B312" s="2"/>
      <c r="C312" s="2"/>
      <c r="D312" s="2"/>
      <c r="E312" s="2"/>
    </row>
    <row r="313" spans="1:5" x14ac:dyDescent="0.25">
      <c r="A313" s="2" t="str">
        <f>IF(B313&lt;&gt;"",IF(_xlfn.IFNA(VLOOKUP(B313,OmsControlTable!T:T,1,0),"尚未處理")&lt;&gt;"尚未處理","已處理","尚未處理"),"")</f>
        <v/>
      </c>
      <c r="B313" s="2"/>
      <c r="C313" s="2"/>
      <c r="D313" s="2"/>
      <c r="E313" s="2"/>
    </row>
    <row r="314" spans="1:5" x14ac:dyDescent="0.25">
      <c r="A314" s="2" t="str">
        <f>IF(B314&lt;&gt;"",IF(_xlfn.IFNA(VLOOKUP(B314,OmsControlTable!T:T,1,0),"尚未處理")&lt;&gt;"尚未處理","已處理","尚未處理"),"")</f>
        <v/>
      </c>
      <c r="B314" s="2"/>
      <c r="C314" s="2"/>
      <c r="D314" s="2"/>
      <c r="E314" s="2"/>
    </row>
    <row r="315" spans="1:5" x14ac:dyDescent="0.25">
      <c r="A315" s="2" t="str">
        <f>IF(B315&lt;&gt;"",IF(_xlfn.IFNA(VLOOKUP(B315,OmsControlTable!T:T,1,0),"尚未處理")&lt;&gt;"尚未處理","已處理","尚未處理"),"")</f>
        <v/>
      </c>
      <c r="B315" s="2"/>
      <c r="C315" s="2"/>
      <c r="D315" s="2"/>
      <c r="E315" s="2"/>
    </row>
    <row r="316" spans="1:5" x14ac:dyDescent="0.25">
      <c r="A316" s="2" t="str">
        <f>IF(B316&lt;&gt;"",IF(_xlfn.IFNA(VLOOKUP(B316,OmsControlTable!T:T,1,0),"尚未處理")&lt;&gt;"尚未處理","已處理","尚未處理"),"")</f>
        <v/>
      </c>
      <c r="B316" s="2"/>
      <c r="C316" s="2"/>
      <c r="D316" s="2"/>
      <c r="E316" s="2"/>
    </row>
    <row r="317" spans="1:5" x14ac:dyDescent="0.25">
      <c r="A317" s="2" t="str">
        <f>IF(B317&lt;&gt;"",IF(_xlfn.IFNA(VLOOKUP(B317,OmsControlTable!T:T,1,0),"尚未處理")&lt;&gt;"尚未處理","已處理","尚未處理"),"")</f>
        <v/>
      </c>
      <c r="B317" s="2"/>
      <c r="C317" s="2"/>
      <c r="D317" s="2"/>
      <c r="E317" s="2"/>
    </row>
    <row r="318" spans="1:5" x14ac:dyDescent="0.25">
      <c r="A318" s="2" t="str">
        <f>IF(B318&lt;&gt;"",IF(_xlfn.IFNA(VLOOKUP(B318,OmsControlTable!T:T,1,0),"尚未處理")&lt;&gt;"尚未處理","已處理","尚未處理"),"")</f>
        <v/>
      </c>
      <c r="B318" s="2"/>
      <c r="C318" s="2"/>
      <c r="D318" s="2"/>
      <c r="E318" s="2"/>
    </row>
    <row r="319" spans="1:5" x14ac:dyDescent="0.25">
      <c r="A319" s="2" t="str">
        <f>IF(B319&lt;&gt;"",IF(_xlfn.IFNA(VLOOKUP(B319,OmsControlTable!T:T,1,0),"尚未處理")&lt;&gt;"尚未處理","已處理","尚未處理"),"")</f>
        <v/>
      </c>
      <c r="B319" s="2"/>
      <c r="C319" s="2"/>
      <c r="D319" s="2"/>
      <c r="E319" s="2"/>
    </row>
    <row r="320" spans="1:5" x14ac:dyDescent="0.25">
      <c r="A320" s="2" t="str">
        <f>IF(B320&lt;&gt;"",IF(_xlfn.IFNA(VLOOKUP(B320,OmsControlTable!T:T,1,0),"尚未處理")&lt;&gt;"尚未處理","已處理","尚未處理"),"")</f>
        <v/>
      </c>
      <c r="B320" s="2"/>
      <c r="C320" s="2"/>
      <c r="D320" s="2"/>
      <c r="E320" s="2"/>
    </row>
    <row r="321" spans="1:5" x14ac:dyDescent="0.25">
      <c r="A321" s="2" t="str">
        <f>IF(B321&lt;&gt;"",IF(_xlfn.IFNA(VLOOKUP(B321,OmsControlTable!T:T,1,0),"尚未處理")&lt;&gt;"尚未處理","已處理","尚未處理"),"")</f>
        <v/>
      </c>
      <c r="B321" s="2"/>
      <c r="C321" s="2"/>
      <c r="D321" s="2"/>
      <c r="E321" s="2"/>
    </row>
    <row r="322" spans="1:5" x14ac:dyDescent="0.25">
      <c r="A322" s="2" t="str">
        <f>IF(B322&lt;&gt;"",IF(_xlfn.IFNA(VLOOKUP(B322,OmsControlTable!T:T,1,0),"尚未處理")&lt;&gt;"尚未處理","已處理","尚未處理"),"")</f>
        <v/>
      </c>
      <c r="B322" s="2"/>
      <c r="C322" s="2"/>
      <c r="D322" s="2"/>
      <c r="E322" s="2"/>
    </row>
    <row r="323" spans="1:5" x14ac:dyDescent="0.25">
      <c r="A323" s="2" t="str">
        <f>IF(B323&lt;&gt;"",IF(_xlfn.IFNA(VLOOKUP(B323,OmsControlTable!T:T,1,0),"尚未處理")&lt;&gt;"尚未處理","已處理","尚未處理"),"")</f>
        <v/>
      </c>
      <c r="B323" s="2"/>
      <c r="C323" s="2"/>
      <c r="D323" s="2"/>
      <c r="E323" s="2"/>
    </row>
    <row r="324" spans="1:5" x14ac:dyDescent="0.25">
      <c r="A324" s="2" t="str">
        <f>IF(B324&lt;&gt;"",IF(_xlfn.IFNA(VLOOKUP(B324,OmsControlTable!T:T,1,0),"尚未處理")&lt;&gt;"尚未處理","已處理","尚未處理"),"")</f>
        <v/>
      </c>
      <c r="B324" s="2"/>
      <c r="C324" s="2"/>
      <c r="D324" s="2"/>
      <c r="E324" s="2"/>
    </row>
    <row r="325" spans="1:5" x14ac:dyDescent="0.25">
      <c r="A325" s="2" t="str">
        <f>IF(B325&lt;&gt;"",IF(_xlfn.IFNA(VLOOKUP(B325,OmsControlTable!T:T,1,0),"尚未處理")&lt;&gt;"尚未處理","已處理","尚未處理"),"")</f>
        <v/>
      </c>
      <c r="B325" s="2"/>
      <c r="C325" s="2"/>
      <c r="D325" s="2"/>
      <c r="E325" s="2"/>
    </row>
    <row r="326" spans="1:5" x14ac:dyDescent="0.25">
      <c r="A326" s="2" t="str">
        <f>IF(B326&lt;&gt;"",IF(_xlfn.IFNA(VLOOKUP(B326,OmsControlTable!T:T,1,0),"尚未處理")&lt;&gt;"尚未處理","已處理","尚未處理"),"")</f>
        <v/>
      </c>
      <c r="B326" s="2"/>
      <c r="C326" s="2"/>
      <c r="D326" s="2"/>
      <c r="E326" s="2"/>
    </row>
    <row r="327" spans="1:5" x14ac:dyDescent="0.25">
      <c r="A327" s="2" t="str">
        <f>IF(B327&lt;&gt;"",IF(_xlfn.IFNA(VLOOKUP(B327,OmsControlTable!T:T,1,0),"尚未處理")&lt;&gt;"尚未處理","已處理","尚未處理"),"")</f>
        <v/>
      </c>
      <c r="B327" s="2"/>
      <c r="C327" s="2"/>
      <c r="D327" s="2"/>
      <c r="E327" s="2"/>
    </row>
    <row r="328" spans="1:5" x14ac:dyDescent="0.25">
      <c r="A328" s="2" t="str">
        <f>IF(B328&lt;&gt;"",IF(_xlfn.IFNA(VLOOKUP(B328,OmsControlTable!T:T,1,0),"尚未處理")&lt;&gt;"尚未處理","已處理","尚未處理"),"")</f>
        <v/>
      </c>
      <c r="B328" s="2"/>
      <c r="C328" s="2"/>
      <c r="D328" s="2"/>
      <c r="E328" s="2"/>
    </row>
    <row r="329" spans="1:5" x14ac:dyDescent="0.25">
      <c r="A329" s="2" t="str">
        <f>IF(B329&lt;&gt;"",IF(_xlfn.IFNA(VLOOKUP(B329,OmsControlTable!T:T,1,0),"尚未處理")&lt;&gt;"尚未處理","已處理","尚未處理"),"")</f>
        <v/>
      </c>
      <c r="B329" s="2"/>
      <c r="C329" s="2"/>
      <c r="D329" s="2"/>
      <c r="E329" s="2"/>
    </row>
    <row r="330" spans="1:5" x14ac:dyDescent="0.25">
      <c r="A330" s="2" t="str">
        <f>IF(B330&lt;&gt;"",IF(_xlfn.IFNA(VLOOKUP(B330,OmsControlTable!T:T,1,0),"尚未處理")&lt;&gt;"尚未處理","已處理","尚未處理"),"")</f>
        <v/>
      </c>
      <c r="B330" s="2"/>
      <c r="C330" s="2"/>
      <c r="D330" s="2"/>
      <c r="E330" s="2"/>
    </row>
    <row r="331" spans="1:5" x14ac:dyDescent="0.25">
      <c r="A331" s="2" t="str">
        <f>IF(B331&lt;&gt;"",IF(_xlfn.IFNA(VLOOKUP(B331,OmsControlTable!T:T,1,0),"尚未處理")&lt;&gt;"尚未處理","已處理","尚未處理"),"")</f>
        <v/>
      </c>
      <c r="B331" s="2"/>
      <c r="C331" s="2"/>
      <c r="D331" s="2"/>
      <c r="E331" s="2"/>
    </row>
    <row r="332" spans="1:5" x14ac:dyDescent="0.25">
      <c r="A332" s="2" t="str">
        <f>IF(B332&lt;&gt;"",IF(_xlfn.IFNA(VLOOKUP(B332,OmsControlTable!T:T,1,0),"尚未處理")&lt;&gt;"尚未處理","已處理","尚未處理"),"")</f>
        <v/>
      </c>
      <c r="B332" s="2"/>
      <c r="C332" s="2"/>
      <c r="D332" s="2"/>
      <c r="E332" s="2"/>
    </row>
    <row r="333" spans="1:5" x14ac:dyDescent="0.25">
      <c r="A333" s="2" t="str">
        <f>IF(B333&lt;&gt;"",IF(_xlfn.IFNA(VLOOKUP(B333,OmsControlTable!T:T,1,0),"尚未處理")&lt;&gt;"尚未處理","已處理","尚未處理"),"")</f>
        <v/>
      </c>
      <c r="B333" s="2"/>
      <c r="C333" s="2"/>
      <c r="D333" s="2"/>
      <c r="E333" s="2"/>
    </row>
    <row r="334" spans="1:5" x14ac:dyDescent="0.25">
      <c r="A334" s="2" t="str">
        <f>IF(B334&lt;&gt;"",IF(_xlfn.IFNA(VLOOKUP(B334,OmsControlTable!T:T,1,0),"尚未處理")&lt;&gt;"尚未處理","已處理","尚未處理"),"")</f>
        <v/>
      </c>
      <c r="B334" s="2"/>
      <c r="C334" s="2"/>
      <c r="D334" s="2"/>
      <c r="E334" s="2"/>
    </row>
    <row r="335" spans="1:5" x14ac:dyDescent="0.25">
      <c r="A335" s="2" t="str">
        <f>IF(B335&lt;&gt;"",IF(_xlfn.IFNA(VLOOKUP(B335,OmsControlTable!T:T,1,0),"尚未處理")&lt;&gt;"尚未處理","已處理","尚未處理"),"")</f>
        <v/>
      </c>
      <c r="B335" s="2"/>
      <c r="C335" s="2"/>
      <c r="D335" s="2"/>
      <c r="E335" s="2"/>
    </row>
    <row r="336" spans="1:5" x14ac:dyDescent="0.25">
      <c r="A336" s="2" t="str">
        <f>IF(B336&lt;&gt;"",IF(_xlfn.IFNA(VLOOKUP(B336,OmsControlTable!T:T,1,0),"尚未處理")&lt;&gt;"尚未處理","已處理","尚未處理"),"")</f>
        <v/>
      </c>
      <c r="B336" s="2"/>
      <c r="C336" s="2"/>
      <c r="D336" s="2"/>
      <c r="E336" s="2"/>
    </row>
    <row r="337" spans="1:5" x14ac:dyDescent="0.25">
      <c r="A337" s="2" t="str">
        <f>IF(B337&lt;&gt;"",IF(_xlfn.IFNA(VLOOKUP(B337,OmsControlTable!T:T,1,0),"尚未處理")&lt;&gt;"尚未處理","已處理","尚未處理"),"")</f>
        <v/>
      </c>
      <c r="B337" s="2"/>
      <c r="C337" s="2"/>
      <c r="D337" s="2"/>
      <c r="E337" s="2"/>
    </row>
    <row r="338" spans="1:5" x14ac:dyDescent="0.25">
      <c r="A338" s="2" t="str">
        <f>IF(B338&lt;&gt;"",IF(_xlfn.IFNA(VLOOKUP(B338,OmsControlTable!T:T,1,0),"尚未處理")&lt;&gt;"尚未處理","已處理","尚未處理"),"")</f>
        <v/>
      </c>
      <c r="B338" s="2"/>
      <c r="C338" s="2"/>
      <c r="D338" s="2"/>
      <c r="E338" s="2"/>
    </row>
    <row r="339" spans="1:5" x14ac:dyDescent="0.25">
      <c r="A339" s="2" t="str">
        <f>IF(B339&lt;&gt;"",IF(_xlfn.IFNA(VLOOKUP(B339,OmsControlTable!T:T,1,0),"尚未處理")&lt;&gt;"尚未處理","已處理","尚未處理"),"")</f>
        <v/>
      </c>
      <c r="B339" s="2"/>
      <c r="C339" s="2"/>
      <c r="D339" s="2"/>
      <c r="E339" s="2"/>
    </row>
    <row r="340" spans="1:5" x14ac:dyDescent="0.25">
      <c r="A340" s="2" t="str">
        <f>IF(B340&lt;&gt;"",IF(_xlfn.IFNA(VLOOKUP(B340,OmsControlTable!T:T,1,0),"尚未處理")&lt;&gt;"尚未處理","已處理","尚未處理"),"")</f>
        <v/>
      </c>
      <c r="B340" s="2"/>
      <c r="C340" s="2"/>
      <c r="D340" s="2"/>
      <c r="E340" s="2"/>
    </row>
    <row r="341" spans="1:5" x14ac:dyDescent="0.25">
      <c r="A341" s="2" t="str">
        <f>IF(B341&lt;&gt;"",IF(_xlfn.IFNA(VLOOKUP(B341,OmsControlTable!T:T,1,0),"尚未處理")&lt;&gt;"尚未處理","已處理","尚未處理"),"")</f>
        <v/>
      </c>
      <c r="B341" s="2"/>
      <c r="C341" s="2"/>
      <c r="D341" s="2"/>
      <c r="E341" s="2"/>
    </row>
    <row r="342" spans="1:5" x14ac:dyDescent="0.25">
      <c r="A342" s="2" t="str">
        <f>IF(B342&lt;&gt;"",IF(_xlfn.IFNA(VLOOKUP(B342,OmsControlTable!T:T,1,0),"尚未處理")&lt;&gt;"尚未處理","已處理","尚未處理"),"")</f>
        <v/>
      </c>
      <c r="B342" s="2"/>
      <c r="C342" s="2"/>
      <c r="D342" s="2"/>
      <c r="E342" s="2"/>
    </row>
    <row r="343" spans="1:5" x14ac:dyDescent="0.25">
      <c r="A343" s="2" t="str">
        <f>IF(B343&lt;&gt;"",IF(_xlfn.IFNA(VLOOKUP(B343,OmsControlTable!T:T,1,0),"尚未處理")&lt;&gt;"尚未處理","已處理","尚未處理"),"")</f>
        <v/>
      </c>
      <c r="B343" s="2"/>
      <c r="C343" s="2"/>
      <c r="D343" s="2"/>
      <c r="E343" s="2"/>
    </row>
    <row r="344" spans="1:5" x14ac:dyDescent="0.25">
      <c r="A344" s="2" t="str">
        <f>IF(B344&lt;&gt;"",IF(_xlfn.IFNA(VLOOKUP(B344,OmsControlTable!T:T,1,0),"尚未處理")&lt;&gt;"尚未處理","已處理","尚未處理"),"")</f>
        <v/>
      </c>
      <c r="B344" s="2"/>
      <c r="C344" s="2"/>
      <c r="D344" s="2"/>
      <c r="E344" s="2"/>
    </row>
    <row r="345" spans="1:5" x14ac:dyDescent="0.25">
      <c r="A345" s="2" t="str">
        <f>IF(B345&lt;&gt;"",IF(_xlfn.IFNA(VLOOKUP(B345,OmsControlTable!T:T,1,0),"尚未處理")&lt;&gt;"尚未處理","已處理","尚未處理"),"")</f>
        <v/>
      </c>
      <c r="B345" s="2"/>
      <c r="C345" s="2"/>
      <c r="D345" s="2"/>
      <c r="E345" s="2"/>
    </row>
    <row r="346" spans="1:5" x14ac:dyDescent="0.25">
      <c r="A346" s="2" t="str">
        <f>IF(B346&lt;&gt;"",IF(_xlfn.IFNA(VLOOKUP(B346,OmsControlTable!T:T,1,0),"尚未處理")&lt;&gt;"尚未處理","已處理","尚未處理"),"")</f>
        <v/>
      </c>
      <c r="B346" s="2"/>
      <c r="C346" s="2"/>
      <c r="D346" s="2"/>
      <c r="E346" s="2"/>
    </row>
    <row r="347" spans="1:5" x14ac:dyDescent="0.25">
      <c r="A347" s="2" t="str">
        <f>IF(B347&lt;&gt;"",IF(_xlfn.IFNA(VLOOKUP(B347,OmsControlTable!T:T,1,0),"尚未處理")&lt;&gt;"尚未處理","已處理","尚未處理"),"")</f>
        <v/>
      </c>
      <c r="B347" s="2"/>
      <c r="C347" s="2"/>
      <c r="D347" s="2"/>
      <c r="E347" s="2"/>
    </row>
    <row r="348" spans="1:5" x14ac:dyDescent="0.25">
      <c r="A348" s="2" t="str">
        <f>IF(B348&lt;&gt;"",IF(_xlfn.IFNA(VLOOKUP(B348,OmsControlTable!T:T,1,0),"尚未處理")&lt;&gt;"尚未處理","已處理","尚未處理"),"")</f>
        <v/>
      </c>
      <c r="B348" s="2"/>
      <c r="C348" s="2"/>
      <c r="D348" s="2"/>
      <c r="E348" s="2"/>
    </row>
    <row r="349" spans="1:5" x14ac:dyDescent="0.25">
      <c r="A349" s="2" t="str">
        <f>IF(B349&lt;&gt;"",IF(_xlfn.IFNA(VLOOKUP(B349,OmsControlTable!T:T,1,0),"尚未處理")&lt;&gt;"尚未處理","已處理","尚未處理"),"")</f>
        <v/>
      </c>
      <c r="B349" s="2"/>
      <c r="C349" s="2"/>
      <c r="D349" s="2"/>
      <c r="E349" s="2"/>
    </row>
    <row r="350" spans="1:5" x14ac:dyDescent="0.25">
      <c r="A350" s="2" t="str">
        <f>IF(B350&lt;&gt;"",IF(_xlfn.IFNA(VLOOKUP(B350,OmsControlTable!T:T,1,0),"尚未處理")&lt;&gt;"尚未處理","已處理","尚未處理"),"")</f>
        <v/>
      </c>
      <c r="B350" s="2"/>
      <c r="C350" s="2"/>
      <c r="D350" s="2"/>
      <c r="E350" s="2"/>
    </row>
    <row r="351" spans="1:5" x14ac:dyDescent="0.25">
      <c r="A351" s="2" t="str">
        <f>IF(B351&lt;&gt;"",IF(_xlfn.IFNA(VLOOKUP(B351,OmsControlTable!T:T,1,0),"尚未處理")&lt;&gt;"尚未處理","已處理","尚未處理"),"")</f>
        <v/>
      </c>
      <c r="B351" s="2"/>
      <c r="C351" s="2"/>
      <c r="D351" s="2"/>
      <c r="E351" s="2"/>
    </row>
    <row r="352" spans="1:5" x14ac:dyDescent="0.25">
      <c r="A352" s="2" t="str">
        <f>IF(B352&lt;&gt;"",IF(_xlfn.IFNA(VLOOKUP(B352,OmsControlTable!T:T,1,0),"尚未處理")&lt;&gt;"尚未處理","已處理","尚未處理"),"")</f>
        <v/>
      </c>
      <c r="B352" s="2"/>
      <c r="C352" s="2"/>
      <c r="D352" s="2"/>
      <c r="E352" s="2"/>
    </row>
    <row r="353" spans="1:5" x14ac:dyDescent="0.25">
      <c r="A353" s="2" t="str">
        <f>IF(B353&lt;&gt;"",IF(_xlfn.IFNA(VLOOKUP(B353,OmsControlTable!T:T,1,0),"尚未處理")&lt;&gt;"尚未處理","已處理","尚未處理"),"")</f>
        <v/>
      </c>
      <c r="B353" s="2"/>
      <c r="C353" s="2"/>
      <c r="D353" s="2"/>
      <c r="E353" s="2"/>
    </row>
    <row r="354" spans="1:5" x14ac:dyDescent="0.25">
      <c r="A354" s="2" t="str">
        <f>IF(B354&lt;&gt;"",IF(_xlfn.IFNA(VLOOKUP(B354,OmsControlTable!T:T,1,0),"尚未處理")&lt;&gt;"尚未處理","已處理","尚未處理"),"")</f>
        <v/>
      </c>
      <c r="B354" s="2"/>
      <c r="C354" s="2"/>
      <c r="D354" s="2"/>
      <c r="E354" s="2"/>
    </row>
    <row r="355" spans="1:5" x14ac:dyDescent="0.25">
      <c r="A355" s="2" t="str">
        <f>IF(B355&lt;&gt;"",IF(_xlfn.IFNA(VLOOKUP(B355,OmsControlTable!T:T,1,0),"尚未處理")&lt;&gt;"尚未處理","已處理","尚未處理"),"")</f>
        <v/>
      </c>
      <c r="B355" s="2"/>
      <c r="C355" s="2"/>
      <c r="D355" s="2"/>
      <c r="E355" s="2"/>
    </row>
    <row r="356" spans="1:5" x14ac:dyDescent="0.25">
      <c r="A356" s="2" t="str">
        <f>IF(B356&lt;&gt;"",IF(_xlfn.IFNA(VLOOKUP(B356,OmsControlTable!T:T,1,0),"尚未處理")&lt;&gt;"尚未處理","已處理","尚未處理"),"")</f>
        <v/>
      </c>
      <c r="B356" s="2"/>
      <c r="C356" s="2"/>
      <c r="D356" s="2"/>
      <c r="E356" s="2"/>
    </row>
    <row r="357" spans="1:5" x14ac:dyDescent="0.25">
      <c r="A357" s="2" t="str">
        <f>IF(B357&lt;&gt;"",IF(_xlfn.IFNA(VLOOKUP(B357,OmsControlTable!T:T,1,0),"尚未處理")&lt;&gt;"尚未處理","已處理","尚未處理"),"")</f>
        <v/>
      </c>
      <c r="B357" s="2"/>
      <c r="C357" s="2"/>
      <c r="D357" s="2"/>
      <c r="E357" s="2"/>
    </row>
    <row r="358" spans="1:5" x14ac:dyDescent="0.25">
      <c r="A358" s="2" t="str">
        <f>IF(B358&lt;&gt;"",IF(_xlfn.IFNA(VLOOKUP(B358,OmsControlTable!T:T,1,0),"尚未處理")&lt;&gt;"尚未處理","已處理","尚未處理"),"")</f>
        <v/>
      </c>
      <c r="B358" s="2"/>
      <c r="C358" s="2"/>
      <c r="D358" s="2"/>
      <c r="E358" s="2"/>
    </row>
    <row r="359" spans="1:5" x14ac:dyDescent="0.25">
      <c r="A359" s="2" t="str">
        <f>IF(B359&lt;&gt;"",IF(_xlfn.IFNA(VLOOKUP(B359,OmsControlTable!T:T,1,0),"尚未處理")&lt;&gt;"尚未處理","已處理","尚未處理"),"")</f>
        <v/>
      </c>
      <c r="B359" s="2"/>
      <c r="C359" s="2"/>
      <c r="D359" s="2"/>
      <c r="E359" s="2"/>
    </row>
    <row r="360" spans="1:5" x14ac:dyDescent="0.25">
      <c r="A360" s="2" t="str">
        <f>IF(B360&lt;&gt;"",IF(_xlfn.IFNA(VLOOKUP(B360,OmsControlTable!T:T,1,0),"尚未處理")&lt;&gt;"尚未處理","已處理","尚未處理"),"")</f>
        <v/>
      </c>
      <c r="B360" s="2"/>
      <c r="C360" s="2"/>
      <c r="D360" s="2"/>
      <c r="E360" s="2"/>
    </row>
    <row r="361" spans="1:5" x14ac:dyDescent="0.25">
      <c r="A361" s="2" t="str">
        <f>IF(B361&lt;&gt;"",IF(_xlfn.IFNA(VLOOKUP(B361,OmsControlTable!T:T,1,0),"尚未處理")&lt;&gt;"尚未處理","已處理","尚未處理"),"")</f>
        <v/>
      </c>
      <c r="B361" s="2"/>
      <c r="C361" s="2"/>
      <c r="D361" s="2"/>
      <c r="E361" s="2"/>
    </row>
    <row r="362" spans="1:5" x14ac:dyDescent="0.25">
      <c r="A362" s="2" t="str">
        <f>IF(B362&lt;&gt;"",IF(_xlfn.IFNA(VLOOKUP(B362,OmsControlTable!T:T,1,0),"尚未處理")&lt;&gt;"尚未處理","已處理","尚未處理"),"")</f>
        <v/>
      </c>
      <c r="B362" s="2"/>
      <c r="C362" s="2"/>
      <c r="D362" s="2"/>
      <c r="E362" s="2"/>
    </row>
    <row r="363" spans="1:5" x14ac:dyDescent="0.25">
      <c r="A363" s="2" t="str">
        <f>IF(B363&lt;&gt;"",IF(_xlfn.IFNA(VLOOKUP(B363,OmsControlTable!T:T,1,0),"尚未處理")&lt;&gt;"尚未處理","已處理","尚未處理"),"")</f>
        <v/>
      </c>
      <c r="B363" s="2"/>
      <c r="C363" s="2"/>
      <c r="D363" s="2"/>
      <c r="E363" s="2"/>
    </row>
    <row r="364" spans="1:5" x14ac:dyDescent="0.25">
      <c r="A364" s="2" t="str">
        <f>IF(B364&lt;&gt;"",IF(_xlfn.IFNA(VLOOKUP(B364,OmsControlTable!T:T,1,0),"尚未處理")&lt;&gt;"尚未處理","已處理","尚未處理"),"")</f>
        <v/>
      </c>
      <c r="B364" s="2"/>
      <c r="C364" s="2"/>
      <c r="D364" s="2"/>
      <c r="E364" s="2"/>
    </row>
    <row r="365" spans="1:5" x14ac:dyDescent="0.25">
      <c r="A365" s="2" t="str">
        <f>IF(B365&lt;&gt;"",IF(_xlfn.IFNA(VLOOKUP(B365,OmsControlTable!T:T,1,0),"尚未處理")&lt;&gt;"尚未處理","已處理","尚未處理"),"")</f>
        <v/>
      </c>
      <c r="B365" s="2"/>
      <c r="C365" s="2"/>
      <c r="D365" s="2"/>
      <c r="E365" s="2"/>
    </row>
    <row r="366" spans="1:5" x14ac:dyDescent="0.25">
      <c r="A366" s="2" t="str">
        <f>IF(B366&lt;&gt;"",IF(_xlfn.IFNA(VLOOKUP(B366,OmsControlTable!T:T,1,0),"尚未處理")&lt;&gt;"尚未處理","已處理","尚未處理"),"")</f>
        <v/>
      </c>
      <c r="B366" s="2"/>
      <c r="C366" s="2"/>
      <c r="D366" s="2"/>
      <c r="E366" s="2"/>
    </row>
    <row r="367" spans="1:5" x14ac:dyDescent="0.25">
      <c r="A367" s="2" t="str">
        <f>IF(B367&lt;&gt;"",IF(_xlfn.IFNA(VLOOKUP(B367,OmsControlTable!T:T,1,0),"尚未處理")&lt;&gt;"尚未處理","已處理","尚未處理"),"")</f>
        <v/>
      </c>
      <c r="B367" s="2"/>
      <c r="C367" s="2"/>
      <c r="D367" s="2"/>
      <c r="E367" s="2"/>
    </row>
    <row r="368" spans="1:5" x14ac:dyDescent="0.25">
      <c r="A368" s="2" t="str">
        <f>IF(B368&lt;&gt;"",IF(_xlfn.IFNA(VLOOKUP(B368,OmsControlTable!T:T,1,0),"尚未處理")&lt;&gt;"尚未處理","已處理","尚未處理"),"")</f>
        <v/>
      </c>
      <c r="B368" s="2"/>
      <c r="C368" s="2"/>
      <c r="D368" s="2"/>
      <c r="E368" s="2"/>
    </row>
    <row r="369" spans="1:5" x14ac:dyDescent="0.25">
      <c r="A369" s="2" t="str">
        <f>IF(B369&lt;&gt;"",IF(_xlfn.IFNA(VLOOKUP(B369,OmsControlTable!T:T,1,0),"尚未處理")&lt;&gt;"尚未處理","已處理","尚未處理"),"")</f>
        <v/>
      </c>
      <c r="B369" s="2"/>
      <c r="C369" s="2"/>
      <c r="D369" s="2"/>
      <c r="E369" s="2"/>
    </row>
    <row r="370" spans="1:5" x14ac:dyDescent="0.25">
      <c r="A370" s="2" t="str">
        <f>IF(B370&lt;&gt;"",IF(_xlfn.IFNA(VLOOKUP(B370,OmsControlTable!T:T,1,0),"尚未處理")&lt;&gt;"尚未處理","已處理","尚未處理"),"")</f>
        <v/>
      </c>
      <c r="B370" s="2"/>
      <c r="C370" s="2"/>
      <c r="D370" s="2"/>
      <c r="E370" s="2"/>
    </row>
    <row r="371" spans="1:5" x14ac:dyDescent="0.25">
      <c r="A371" s="2" t="str">
        <f>IF(B371&lt;&gt;"",IF(_xlfn.IFNA(VLOOKUP(B371,OmsControlTable!T:T,1,0),"尚未處理")&lt;&gt;"尚未處理","已處理","尚未處理"),"")</f>
        <v/>
      </c>
      <c r="B371" s="2"/>
      <c r="C371" s="2"/>
      <c r="D371" s="2"/>
      <c r="E371" s="2"/>
    </row>
    <row r="372" spans="1:5" x14ac:dyDescent="0.25">
      <c r="A372" s="2" t="str">
        <f>IF(B372&lt;&gt;"",IF(_xlfn.IFNA(VLOOKUP(B372,OmsControlTable!T:T,1,0),"尚未處理")&lt;&gt;"尚未處理","已處理","尚未處理"),"")</f>
        <v/>
      </c>
      <c r="B372" s="2"/>
      <c r="C372" s="2"/>
      <c r="D372" s="2"/>
      <c r="E372" s="2"/>
    </row>
    <row r="373" spans="1:5" x14ac:dyDescent="0.25">
      <c r="A373" s="2" t="str">
        <f>IF(B373&lt;&gt;"",IF(_xlfn.IFNA(VLOOKUP(B373,OmsControlTable!T:T,1,0),"尚未處理")&lt;&gt;"尚未處理","已處理","尚未處理"),"")</f>
        <v/>
      </c>
      <c r="B373" s="2"/>
      <c r="C373" s="2"/>
      <c r="D373" s="2"/>
      <c r="E373" s="2"/>
    </row>
    <row r="374" spans="1:5" x14ac:dyDescent="0.25">
      <c r="A374" s="2" t="str">
        <f>IF(B374&lt;&gt;"",IF(_xlfn.IFNA(VLOOKUP(B374,OmsControlTable!T:T,1,0),"尚未處理")&lt;&gt;"尚未處理","已處理","尚未處理"),"")</f>
        <v/>
      </c>
      <c r="B374" s="2"/>
      <c r="C374" s="2"/>
      <c r="D374" s="2"/>
      <c r="E374" s="2"/>
    </row>
    <row r="375" spans="1:5" x14ac:dyDescent="0.25">
      <c r="A375" s="2" t="str">
        <f>IF(B375&lt;&gt;"",IF(_xlfn.IFNA(VLOOKUP(B375,OmsControlTable!T:T,1,0),"尚未處理")&lt;&gt;"尚未處理","已處理","尚未處理"),"")</f>
        <v/>
      </c>
      <c r="B375" s="2"/>
      <c r="C375" s="2"/>
      <c r="D375" s="2"/>
      <c r="E375" s="2"/>
    </row>
    <row r="376" spans="1:5" x14ac:dyDescent="0.25">
      <c r="A376" s="2" t="str">
        <f>IF(B376&lt;&gt;"",IF(_xlfn.IFNA(VLOOKUP(B376,OmsControlTable!T:T,1,0),"尚未處理")&lt;&gt;"尚未處理","已處理","尚未處理"),"")</f>
        <v/>
      </c>
      <c r="B376" s="2"/>
      <c r="C376" s="2"/>
      <c r="D376" s="2"/>
      <c r="E376" s="2"/>
    </row>
    <row r="377" spans="1:5" x14ac:dyDescent="0.25">
      <c r="A377" s="2" t="str">
        <f>IF(B377&lt;&gt;"",IF(_xlfn.IFNA(VLOOKUP(B377,OmsControlTable!T:T,1,0),"尚未處理")&lt;&gt;"尚未處理","已處理","尚未處理"),"")</f>
        <v/>
      </c>
      <c r="B377" s="2"/>
      <c r="C377" s="2"/>
      <c r="D377" s="2"/>
      <c r="E377" s="2"/>
    </row>
    <row r="378" spans="1:5" x14ac:dyDescent="0.25">
      <c r="A378" s="2" t="str">
        <f>IF(B378&lt;&gt;"",IF(_xlfn.IFNA(VLOOKUP(B378,OmsControlTable!T:T,1,0),"尚未處理")&lt;&gt;"尚未處理","已處理","尚未處理"),"")</f>
        <v/>
      </c>
      <c r="B378" s="2"/>
      <c r="C378" s="2"/>
      <c r="D378" s="2"/>
      <c r="E378" s="2"/>
    </row>
    <row r="379" spans="1:5" x14ac:dyDescent="0.25">
      <c r="A379" s="2" t="str">
        <f>IF(B379&lt;&gt;"",IF(_xlfn.IFNA(VLOOKUP(B379,OmsControlTable!T:T,1,0),"尚未處理")&lt;&gt;"尚未處理","已處理","尚未處理"),"")</f>
        <v/>
      </c>
      <c r="B379" s="2"/>
      <c r="C379" s="2"/>
      <c r="D379" s="2"/>
      <c r="E379" s="2"/>
    </row>
    <row r="380" spans="1:5" x14ac:dyDescent="0.25">
      <c r="A380" s="2" t="str">
        <f>IF(B380&lt;&gt;"",IF(_xlfn.IFNA(VLOOKUP(B380,OmsControlTable!T:T,1,0),"尚未處理")&lt;&gt;"尚未處理","已處理","尚未處理"),"")</f>
        <v/>
      </c>
      <c r="B380" s="2"/>
      <c r="C380" s="2"/>
      <c r="D380" s="2"/>
      <c r="E380" s="2"/>
    </row>
    <row r="381" spans="1:5" x14ac:dyDescent="0.25">
      <c r="A381" s="2" t="str">
        <f>IF(B381&lt;&gt;"",IF(_xlfn.IFNA(VLOOKUP(B381,OmsControlTable!T:T,1,0),"尚未處理")&lt;&gt;"尚未處理","已處理","尚未處理"),"")</f>
        <v/>
      </c>
      <c r="B381" s="2"/>
      <c r="C381" s="2"/>
      <c r="D381" s="2"/>
      <c r="E381" s="2"/>
    </row>
    <row r="382" spans="1:5" x14ac:dyDescent="0.25">
      <c r="A382" s="2" t="str">
        <f>IF(B382&lt;&gt;"",IF(_xlfn.IFNA(VLOOKUP(B382,OmsControlTable!T:T,1,0),"尚未處理")&lt;&gt;"尚未處理","已處理","尚未處理"),"")</f>
        <v/>
      </c>
      <c r="B382" s="2"/>
      <c r="C382" s="2"/>
      <c r="D382" s="2"/>
      <c r="E382" s="2"/>
    </row>
    <row r="383" spans="1:5" x14ac:dyDescent="0.25">
      <c r="A383" s="2" t="str">
        <f>IF(B383&lt;&gt;"",IF(_xlfn.IFNA(VLOOKUP(B383,OmsControlTable!T:T,1,0),"尚未處理")&lt;&gt;"尚未處理","已處理","尚未處理"),"")</f>
        <v/>
      </c>
      <c r="B383" s="2"/>
      <c r="C383" s="2"/>
      <c r="D383" s="2"/>
      <c r="E383" s="2"/>
    </row>
    <row r="384" spans="1:5" x14ac:dyDescent="0.25">
      <c r="A384" s="2" t="str">
        <f>IF(B384&lt;&gt;"",IF(_xlfn.IFNA(VLOOKUP(B384,OmsControlTable!T:T,1,0),"尚未處理")&lt;&gt;"尚未處理","已處理","尚未處理"),"")</f>
        <v/>
      </c>
      <c r="B384" s="2"/>
      <c r="C384" s="2"/>
      <c r="D384" s="2"/>
      <c r="E384" s="2"/>
    </row>
    <row r="385" spans="1:5" x14ac:dyDescent="0.25">
      <c r="A385" s="2" t="str">
        <f>IF(B385&lt;&gt;"",IF(_xlfn.IFNA(VLOOKUP(B385,OmsControlTable!T:T,1,0),"尚未處理")&lt;&gt;"尚未處理","已處理","尚未處理"),"")</f>
        <v/>
      </c>
      <c r="B385" s="2"/>
      <c r="C385" s="2"/>
      <c r="D385" s="2"/>
      <c r="E385" s="2"/>
    </row>
    <row r="386" spans="1:5" x14ac:dyDescent="0.25">
      <c r="A386" s="2" t="str">
        <f>IF(B386&lt;&gt;"",IF(_xlfn.IFNA(VLOOKUP(B386,OmsControlTable!T:T,1,0),"尚未處理")&lt;&gt;"尚未處理","已處理","尚未處理"),"")</f>
        <v/>
      </c>
      <c r="B386" s="2"/>
      <c r="C386" s="2"/>
      <c r="D386" s="2"/>
      <c r="E386" s="2"/>
    </row>
    <row r="387" spans="1:5" x14ac:dyDescent="0.25">
      <c r="A387" s="2" t="str">
        <f>IF(B387&lt;&gt;"",IF(_xlfn.IFNA(VLOOKUP(B387,OmsControlTable!T:T,1,0),"尚未處理")&lt;&gt;"尚未處理","已處理","尚未處理"),"")</f>
        <v/>
      </c>
      <c r="B387" s="2"/>
      <c r="C387" s="2"/>
      <c r="D387" s="2"/>
      <c r="E387" s="2"/>
    </row>
    <row r="388" spans="1:5" x14ac:dyDescent="0.25">
      <c r="A388" s="2" t="str">
        <f>IF(B388&lt;&gt;"",IF(_xlfn.IFNA(VLOOKUP(B388,OmsControlTable!T:T,1,0),"尚未處理")&lt;&gt;"尚未處理","已處理","尚未處理"),"")</f>
        <v/>
      </c>
      <c r="B388" s="2"/>
      <c r="C388" s="2"/>
      <c r="D388" s="2"/>
      <c r="E388" s="2"/>
    </row>
    <row r="389" spans="1:5" x14ac:dyDescent="0.25">
      <c r="A389" s="2" t="str">
        <f>IF(B389&lt;&gt;"",IF(_xlfn.IFNA(VLOOKUP(B389,OmsControlTable!T:T,1,0),"尚未處理")&lt;&gt;"尚未處理","已處理","尚未處理"),"")</f>
        <v/>
      </c>
      <c r="B389" s="2"/>
      <c r="C389" s="2"/>
      <c r="D389" s="2"/>
      <c r="E389" s="2"/>
    </row>
    <row r="390" spans="1:5" x14ac:dyDescent="0.25">
      <c r="A390" s="2" t="str">
        <f>IF(B390&lt;&gt;"",IF(_xlfn.IFNA(VLOOKUP(B390,OmsControlTable!T:T,1,0),"尚未處理")&lt;&gt;"尚未處理","已處理","尚未處理"),"")</f>
        <v/>
      </c>
      <c r="B390" s="2"/>
      <c r="C390" s="2"/>
      <c r="D390" s="2"/>
      <c r="E390" s="2"/>
    </row>
    <row r="391" spans="1:5" x14ac:dyDescent="0.25">
      <c r="A391" s="2" t="str">
        <f>IF(B391&lt;&gt;"",IF(_xlfn.IFNA(VLOOKUP(B391,OmsControlTable!T:T,1,0),"尚未處理")&lt;&gt;"尚未處理","已處理","尚未處理"),"")</f>
        <v/>
      </c>
      <c r="B391" s="2"/>
      <c r="C391" s="2"/>
      <c r="D391" s="2"/>
      <c r="E391" s="2"/>
    </row>
    <row r="392" spans="1:5" x14ac:dyDescent="0.25">
      <c r="A392" s="2" t="str">
        <f>IF(B392&lt;&gt;"",IF(_xlfn.IFNA(VLOOKUP(B392,OmsControlTable!T:T,1,0),"尚未處理")&lt;&gt;"尚未處理","已處理","尚未處理"),"")</f>
        <v/>
      </c>
      <c r="B392" s="2"/>
      <c r="C392" s="2"/>
      <c r="D392" s="2"/>
      <c r="E392" s="2"/>
    </row>
    <row r="393" spans="1:5" x14ac:dyDescent="0.25">
      <c r="A393" s="2" t="str">
        <f>IF(B393&lt;&gt;"",IF(_xlfn.IFNA(VLOOKUP(B393,OmsControlTable!T:T,1,0),"尚未處理")&lt;&gt;"尚未處理","已處理","尚未處理"),"")</f>
        <v/>
      </c>
      <c r="B393" s="2"/>
      <c r="C393" s="2"/>
      <c r="D393" s="2"/>
      <c r="E393" s="2"/>
    </row>
    <row r="394" spans="1:5" x14ac:dyDescent="0.25">
      <c r="A394" s="2" t="str">
        <f>IF(B394&lt;&gt;"",IF(_xlfn.IFNA(VLOOKUP(B394,OmsControlTable!T:T,1,0),"尚未處理")&lt;&gt;"尚未處理","已處理","尚未處理"),"")</f>
        <v/>
      </c>
      <c r="B394" s="2"/>
      <c r="C394" s="2"/>
      <c r="D394" s="2"/>
      <c r="E394" s="2"/>
    </row>
    <row r="395" spans="1:5" x14ac:dyDescent="0.25">
      <c r="A395" s="2" t="str">
        <f>IF(B395&lt;&gt;"",IF(_xlfn.IFNA(VLOOKUP(B395,OmsControlTable!T:T,1,0),"尚未處理")&lt;&gt;"尚未處理","已處理","尚未處理"),"")</f>
        <v/>
      </c>
      <c r="B395" s="2"/>
      <c r="C395" s="2"/>
      <c r="D395" s="2"/>
      <c r="E395" s="2"/>
    </row>
    <row r="396" spans="1:5" x14ac:dyDescent="0.25">
      <c r="A396" s="2" t="str">
        <f>IF(B396&lt;&gt;"",IF(_xlfn.IFNA(VLOOKUP(B396,OmsControlTable!T:T,1,0),"尚未處理")&lt;&gt;"尚未處理","已處理","尚未處理"),"")</f>
        <v/>
      </c>
      <c r="B396" s="2"/>
      <c r="C396" s="2"/>
      <c r="D396" s="2"/>
      <c r="E396" s="2"/>
    </row>
    <row r="397" spans="1:5" x14ac:dyDescent="0.25">
      <c r="A397" s="2" t="str">
        <f>IF(B397&lt;&gt;"",IF(_xlfn.IFNA(VLOOKUP(B397,OmsControlTable!T:T,1,0),"尚未處理")&lt;&gt;"尚未處理","已處理","尚未處理"),"")</f>
        <v/>
      </c>
      <c r="B397" s="2"/>
      <c r="C397" s="2"/>
      <c r="D397" s="2"/>
      <c r="E397" s="2"/>
    </row>
    <row r="398" spans="1:5" x14ac:dyDescent="0.25">
      <c r="A398" s="2" t="str">
        <f>IF(B398&lt;&gt;"",IF(_xlfn.IFNA(VLOOKUP(B398,OmsControlTable!T:T,1,0),"尚未處理")&lt;&gt;"尚未處理","已處理","尚未處理"),"")</f>
        <v/>
      </c>
      <c r="B398" s="2"/>
      <c r="C398" s="2"/>
      <c r="D398" s="2"/>
      <c r="E398" s="2"/>
    </row>
    <row r="399" spans="1:5" x14ac:dyDescent="0.25">
      <c r="A399" s="2" t="str">
        <f>IF(B399&lt;&gt;"",IF(_xlfn.IFNA(VLOOKUP(B399,OmsControlTable!T:T,1,0),"尚未處理")&lt;&gt;"尚未處理","已處理","尚未處理"),"")</f>
        <v/>
      </c>
      <c r="B399" s="2"/>
      <c r="C399" s="2"/>
      <c r="D399" s="2"/>
      <c r="E399" s="2"/>
    </row>
    <row r="400" spans="1:5" x14ac:dyDescent="0.25">
      <c r="A400" s="2" t="str">
        <f>IF(B400&lt;&gt;"",IF(_xlfn.IFNA(VLOOKUP(B400,OmsControlTable!T:T,1,0),"尚未處理")&lt;&gt;"尚未處理","已處理","尚未處理"),"")</f>
        <v/>
      </c>
      <c r="B400" s="2"/>
      <c r="C400" s="2"/>
      <c r="D400" s="2"/>
      <c r="E400" s="2"/>
    </row>
    <row r="401" spans="1:5" x14ac:dyDescent="0.25">
      <c r="A401" s="2" t="str">
        <f>IF(B401&lt;&gt;"",IF(_xlfn.IFNA(VLOOKUP(B401,OmsControlTable!T:T,1,0),"尚未處理")&lt;&gt;"尚未處理","已處理","尚未處理"),"")</f>
        <v/>
      </c>
      <c r="B401" s="2"/>
      <c r="C401" s="2"/>
      <c r="D401" s="2"/>
      <c r="E401" s="2"/>
    </row>
    <row r="402" spans="1:5" x14ac:dyDescent="0.25">
      <c r="A402" s="2" t="str">
        <f>IF(B402&lt;&gt;"",IF(_xlfn.IFNA(VLOOKUP(B402,OmsControlTable!T:T,1,0),"尚未處理")&lt;&gt;"尚未處理","已處理","尚未處理"),"")</f>
        <v/>
      </c>
      <c r="B402" s="2"/>
      <c r="C402" s="2"/>
      <c r="D402" s="2"/>
      <c r="E402" s="2"/>
    </row>
    <row r="403" spans="1:5" x14ac:dyDescent="0.25">
      <c r="A403" s="2" t="str">
        <f>IF(B403&lt;&gt;"",IF(_xlfn.IFNA(VLOOKUP(B403,OmsControlTable!T:T,1,0),"尚未處理")&lt;&gt;"尚未處理","已處理","尚未處理"),"")</f>
        <v/>
      </c>
      <c r="B403" s="2"/>
      <c r="C403" s="2"/>
      <c r="D403" s="2"/>
      <c r="E403" s="2"/>
    </row>
    <row r="404" spans="1:5" x14ac:dyDescent="0.25">
      <c r="A404" s="2" t="str">
        <f>IF(B404&lt;&gt;"",IF(_xlfn.IFNA(VLOOKUP(B404,OmsControlTable!T:T,1,0),"尚未處理")&lt;&gt;"尚未處理","已處理","尚未處理"),"")</f>
        <v/>
      </c>
      <c r="B404" s="2"/>
      <c r="C404" s="2"/>
      <c r="D404" s="2"/>
      <c r="E404" s="2"/>
    </row>
    <row r="405" spans="1:5" x14ac:dyDescent="0.25">
      <c r="A405" s="2" t="str">
        <f>IF(B405&lt;&gt;"",IF(_xlfn.IFNA(VLOOKUP(B405,OmsControlTable!T:T,1,0),"尚未處理")&lt;&gt;"尚未處理","已處理","尚未處理"),"")</f>
        <v/>
      </c>
      <c r="B405" s="2"/>
      <c r="C405" s="2"/>
      <c r="D405" s="2"/>
      <c r="E405" s="2"/>
    </row>
    <row r="406" spans="1:5" x14ac:dyDescent="0.25">
      <c r="A406" s="2" t="str">
        <f>IF(B406&lt;&gt;"",IF(_xlfn.IFNA(VLOOKUP(B406,OmsControlTable!T:T,1,0),"尚未處理")&lt;&gt;"尚未處理","已處理","尚未處理"),"")</f>
        <v/>
      </c>
      <c r="B406" s="2"/>
      <c r="C406" s="2"/>
      <c r="D406" s="2"/>
      <c r="E406" s="2"/>
    </row>
    <row r="407" spans="1:5" x14ac:dyDescent="0.25">
      <c r="A407" s="2" t="str">
        <f>IF(B407&lt;&gt;"",IF(_xlfn.IFNA(VLOOKUP(B407,OmsControlTable!T:T,1,0),"尚未處理")&lt;&gt;"尚未處理","已處理","尚未處理"),"")</f>
        <v/>
      </c>
      <c r="B407" s="2"/>
      <c r="C407" s="2"/>
      <c r="D407" s="2"/>
      <c r="E407" s="2"/>
    </row>
    <row r="408" spans="1:5" x14ac:dyDescent="0.25">
      <c r="A408" s="2" t="str">
        <f>IF(B408&lt;&gt;"",IF(_xlfn.IFNA(VLOOKUP(B408,OmsControlTable!T:T,1,0),"尚未處理")&lt;&gt;"尚未處理","已處理","尚未處理"),"")</f>
        <v/>
      </c>
      <c r="B408" s="2"/>
      <c r="C408" s="2"/>
      <c r="D408" s="2"/>
      <c r="E408" s="2"/>
    </row>
    <row r="409" spans="1:5" x14ac:dyDescent="0.25">
      <c r="A409" s="2" t="str">
        <f>IF(B409&lt;&gt;"",IF(_xlfn.IFNA(VLOOKUP(B409,OmsControlTable!T:T,1,0),"尚未處理")&lt;&gt;"尚未處理","已處理","尚未處理"),"")</f>
        <v/>
      </c>
      <c r="B409" s="2"/>
      <c r="C409" s="2"/>
      <c r="D409" s="2"/>
      <c r="E409" s="2"/>
    </row>
    <row r="410" spans="1:5" x14ac:dyDescent="0.25">
      <c r="A410" s="2" t="str">
        <f>IF(B410&lt;&gt;"",IF(_xlfn.IFNA(VLOOKUP(B410,OmsControlTable!T:T,1,0),"尚未處理")&lt;&gt;"尚未處理","已處理","尚未處理"),"")</f>
        <v/>
      </c>
      <c r="B410" s="2"/>
      <c r="C410" s="2"/>
      <c r="D410" s="2"/>
      <c r="E410" s="2"/>
    </row>
    <row r="411" spans="1:5" x14ac:dyDescent="0.25">
      <c r="A411" s="2" t="str">
        <f>IF(B411&lt;&gt;"",IF(_xlfn.IFNA(VLOOKUP(B411,OmsControlTable!T:T,1,0),"尚未處理")&lt;&gt;"尚未處理","已處理","尚未處理"),"")</f>
        <v/>
      </c>
      <c r="B411" s="2"/>
      <c r="C411" s="2"/>
      <c r="D411" s="2"/>
      <c r="E411" s="2"/>
    </row>
    <row r="412" spans="1:5" x14ac:dyDescent="0.25">
      <c r="A412" s="2" t="str">
        <f>IF(B412&lt;&gt;"",IF(_xlfn.IFNA(VLOOKUP(B412,OmsControlTable!T:T,1,0),"尚未處理")&lt;&gt;"尚未處理","已處理","尚未處理"),"")</f>
        <v/>
      </c>
      <c r="B412" s="2"/>
      <c r="C412" s="2"/>
      <c r="D412" s="2"/>
      <c r="E412" s="2"/>
    </row>
    <row r="413" spans="1:5" x14ac:dyDescent="0.25">
      <c r="A413" s="2" t="str">
        <f>IF(B413&lt;&gt;"",IF(_xlfn.IFNA(VLOOKUP(B413,OmsControlTable!T:T,1,0),"尚未處理")&lt;&gt;"尚未處理","已處理","尚未處理"),"")</f>
        <v/>
      </c>
      <c r="B413" s="2"/>
      <c r="C413" s="2"/>
      <c r="D413" s="2"/>
      <c r="E413" s="2"/>
    </row>
    <row r="414" spans="1:5" x14ac:dyDescent="0.25">
      <c r="A414" s="2" t="str">
        <f>IF(B414&lt;&gt;"",IF(_xlfn.IFNA(VLOOKUP(B414,OmsControlTable!T:T,1,0),"尚未處理")&lt;&gt;"尚未處理","已處理","尚未處理"),"")</f>
        <v/>
      </c>
      <c r="B414" s="2"/>
      <c r="C414" s="2"/>
      <c r="D414" s="2"/>
      <c r="E414" s="2"/>
    </row>
    <row r="415" spans="1:5" x14ac:dyDescent="0.25">
      <c r="A415" s="2" t="str">
        <f>IF(B415&lt;&gt;"",IF(_xlfn.IFNA(VLOOKUP(B415,OmsControlTable!T:T,1,0),"尚未處理")&lt;&gt;"尚未處理","已處理","尚未處理"),"")</f>
        <v/>
      </c>
      <c r="B415" s="2"/>
      <c r="C415" s="2"/>
      <c r="D415" s="2"/>
      <c r="E415" s="2"/>
    </row>
    <row r="416" spans="1:5" x14ac:dyDescent="0.25">
      <c r="A416" s="2" t="str">
        <f>IF(B416&lt;&gt;"",IF(_xlfn.IFNA(VLOOKUP(B416,OmsControlTable!T:T,1,0),"尚未處理")&lt;&gt;"尚未處理","已處理","尚未處理"),"")</f>
        <v/>
      </c>
      <c r="B416" s="2"/>
      <c r="C416" s="2"/>
      <c r="D416" s="2"/>
      <c r="E416" s="2"/>
    </row>
    <row r="417" spans="1:5" x14ac:dyDescent="0.25">
      <c r="A417" s="2" t="str">
        <f>IF(B417&lt;&gt;"",IF(_xlfn.IFNA(VLOOKUP(B417,OmsControlTable!T:T,1,0),"尚未處理")&lt;&gt;"尚未處理","已處理","尚未處理"),"")</f>
        <v/>
      </c>
      <c r="B417" s="2"/>
      <c r="C417" s="2"/>
      <c r="D417" s="2"/>
      <c r="E417" s="2"/>
    </row>
    <row r="418" spans="1:5" x14ac:dyDescent="0.25">
      <c r="A418" s="2" t="str">
        <f>IF(B418&lt;&gt;"",IF(_xlfn.IFNA(VLOOKUP(B418,OmsControlTable!T:T,1,0),"尚未處理")&lt;&gt;"尚未處理","已處理","尚未處理"),"")</f>
        <v/>
      </c>
      <c r="B418" s="2"/>
      <c r="C418" s="2"/>
      <c r="D418" s="2"/>
      <c r="E418" s="2"/>
    </row>
    <row r="419" spans="1:5" x14ac:dyDescent="0.25">
      <c r="A419" s="2" t="str">
        <f>IF(B419&lt;&gt;"",IF(_xlfn.IFNA(VLOOKUP(B419,OmsControlTable!T:T,1,0),"尚未處理")&lt;&gt;"尚未處理","已處理","尚未處理"),"")</f>
        <v/>
      </c>
      <c r="B419" s="2"/>
      <c r="C419" s="2"/>
      <c r="D419" s="2"/>
      <c r="E419" s="2"/>
    </row>
    <row r="420" spans="1:5" x14ac:dyDescent="0.25">
      <c r="A420" s="2" t="str">
        <f>IF(B420&lt;&gt;"",IF(_xlfn.IFNA(VLOOKUP(B420,OmsControlTable!T:T,1,0),"尚未處理")&lt;&gt;"尚未處理","已處理","尚未處理"),"")</f>
        <v/>
      </c>
      <c r="B420" s="2"/>
      <c r="C420" s="2"/>
      <c r="D420" s="2"/>
      <c r="E420" s="2"/>
    </row>
    <row r="421" spans="1:5" x14ac:dyDescent="0.25">
      <c r="A421" s="2" t="str">
        <f>IF(B421&lt;&gt;"",IF(_xlfn.IFNA(VLOOKUP(B421,OmsControlTable!T:T,1,0),"尚未處理")&lt;&gt;"尚未處理","已處理","尚未處理"),"")</f>
        <v/>
      </c>
      <c r="B421" s="2"/>
      <c r="C421" s="2"/>
      <c r="D421" s="2"/>
      <c r="E421" s="2"/>
    </row>
    <row r="422" spans="1:5" x14ac:dyDescent="0.25">
      <c r="A422" s="2" t="str">
        <f>IF(B422&lt;&gt;"",IF(_xlfn.IFNA(VLOOKUP(B422,OmsControlTable!T:T,1,0),"尚未處理")&lt;&gt;"尚未處理","已處理","尚未處理"),"")</f>
        <v/>
      </c>
      <c r="B422" s="2"/>
      <c r="C422" s="2"/>
      <c r="D422" s="2"/>
      <c r="E422" s="2"/>
    </row>
    <row r="423" spans="1:5" x14ac:dyDescent="0.25">
      <c r="A423" s="2" t="str">
        <f>IF(B423&lt;&gt;"",IF(_xlfn.IFNA(VLOOKUP(B423,OmsControlTable!T:T,1,0),"尚未處理")&lt;&gt;"尚未處理","已處理","尚未處理"),"")</f>
        <v/>
      </c>
      <c r="B423" s="2"/>
      <c r="C423" s="2"/>
      <c r="D423" s="2"/>
      <c r="E423" s="2"/>
    </row>
    <row r="424" spans="1:5" x14ac:dyDescent="0.25">
      <c r="A424" s="2" t="str">
        <f>IF(B424&lt;&gt;"",IF(_xlfn.IFNA(VLOOKUP(B424,OmsControlTable!T:T,1,0),"尚未處理")&lt;&gt;"尚未處理","已處理","尚未處理"),"")</f>
        <v/>
      </c>
      <c r="B424" s="2"/>
      <c r="C424" s="2"/>
      <c r="D424" s="2"/>
      <c r="E424" s="2"/>
    </row>
    <row r="425" spans="1:5" x14ac:dyDescent="0.25">
      <c r="A425" s="2" t="str">
        <f>IF(B425&lt;&gt;"",IF(_xlfn.IFNA(VLOOKUP(B425,OmsControlTable!T:T,1,0),"尚未處理")&lt;&gt;"尚未處理","已處理","尚未處理"),"")</f>
        <v/>
      </c>
      <c r="B425" s="2"/>
      <c r="C425" s="2"/>
      <c r="D425" s="2"/>
      <c r="E425" s="2"/>
    </row>
    <row r="426" spans="1:5" x14ac:dyDescent="0.25">
      <c r="A426" s="2" t="str">
        <f>IF(B426&lt;&gt;"",IF(_xlfn.IFNA(VLOOKUP(B426,OmsControlTable!T:T,1,0),"尚未處理")&lt;&gt;"尚未處理","已處理","尚未處理"),"")</f>
        <v/>
      </c>
      <c r="B426" s="2"/>
      <c r="C426" s="2"/>
      <c r="D426" s="2"/>
      <c r="E426" s="2"/>
    </row>
    <row r="427" spans="1:5" x14ac:dyDescent="0.25">
      <c r="A427" s="2" t="str">
        <f>IF(B427&lt;&gt;"",IF(_xlfn.IFNA(VLOOKUP(B427,OmsControlTable!T:T,1,0),"尚未處理")&lt;&gt;"尚未處理","已處理","尚未處理"),"")</f>
        <v/>
      </c>
      <c r="B427" s="2"/>
      <c r="C427" s="2"/>
      <c r="D427" s="2"/>
      <c r="E427" s="2"/>
    </row>
    <row r="428" spans="1:5" x14ac:dyDescent="0.25">
      <c r="A428" s="2" t="str">
        <f>IF(B428&lt;&gt;"",IF(_xlfn.IFNA(VLOOKUP(B428,OmsControlTable!T:T,1,0),"尚未處理")&lt;&gt;"尚未處理","已處理","尚未處理"),"")</f>
        <v/>
      </c>
      <c r="B428" s="2"/>
      <c r="C428" s="2"/>
      <c r="D428" s="2"/>
      <c r="E428" s="2"/>
    </row>
    <row r="429" spans="1:5" x14ac:dyDescent="0.25">
      <c r="A429" s="2" t="str">
        <f>IF(B429&lt;&gt;"",IF(_xlfn.IFNA(VLOOKUP(B429,OmsControlTable!T:T,1,0),"尚未處理")&lt;&gt;"尚未處理","已處理","尚未處理"),"")</f>
        <v/>
      </c>
      <c r="B429" s="2"/>
      <c r="C429" s="2"/>
      <c r="D429" s="2"/>
      <c r="E429" s="2"/>
    </row>
    <row r="430" spans="1:5" x14ac:dyDescent="0.25">
      <c r="A430" s="2" t="str">
        <f>IF(B430&lt;&gt;"",IF(_xlfn.IFNA(VLOOKUP(B430,OmsControlTable!T:T,1,0),"尚未處理")&lt;&gt;"尚未處理","已處理","尚未處理"),"")</f>
        <v/>
      </c>
      <c r="B430" s="2"/>
      <c r="C430" s="2"/>
      <c r="D430" s="2"/>
      <c r="E430" s="2"/>
    </row>
    <row r="431" spans="1:5" x14ac:dyDescent="0.25">
      <c r="A431" s="2" t="str">
        <f>IF(B431&lt;&gt;"",IF(_xlfn.IFNA(VLOOKUP(B431,OmsControlTable!T:T,1,0),"尚未處理")&lt;&gt;"尚未處理","已處理","尚未處理"),"")</f>
        <v/>
      </c>
      <c r="B431" s="2"/>
      <c r="C431" s="2"/>
      <c r="D431" s="2"/>
      <c r="E431" s="2"/>
    </row>
    <row r="432" spans="1:5" x14ac:dyDescent="0.25">
      <c r="A432" s="2" t="str">
        <f>IF(B432&lt;&gt;"",IF(_xlfn.IFNA(VLOOKUP(B432,OmsControlTable!T:T,1,0),"尚未處理")&lt;&gt;"尚未處理","已處理","尚未處理"),"")</f>
        <v/>
      </c>
      <c r="B432" s="2"/>
      <c r="C432" s="2"/>
      <c r="D432" s="2"/>
      <c r="E432" s="2"/>
    </row>
    <row r="433" spans="1:5" x14ac:dyDescent="0.25">
      <c r="A433" s="2" t="str">
        <f>IF(B433&lt;&gt;"",IF(_xlfn.IFNA(VLOOKUP(B433,OmsControlTable!T:T,1,0),"尚未處理")&lt;&gt;"尚未處理","已處理","尚未處理"),"")</f>
        <v/>
      </c>
      <c r="B433" s="2"/>
      <c r="C433" s="2"/>
      <c r="D433" s="2"/>
      <c r="E433" s="2"/>
    </row>
    <row r="434" spans="1:5" x14ac:dyDescent="0.25">
      <c r="A434" s="2" t="str">
        <f>IF(B434&lt;&gt;"",IF(_xlfn.IFNA(VLOOKUP(B434,OmsControlTable!T:T,1,0),"尚未處理")&lt;&gt;"尚未處理","已處理","尚未處理"),"")</f>
        <v/>
      </c>
      <c r="B434" s="2"/>
      <c r="C434" s="2"/>
      <c r="D434" s="2"/>
      <c r="E434" s="2"/>
    </row>
    <row r="435" spans="1:5" x14ac:dyDescent="0.25">
      <c r="A435" s="2" t="str">
        <f>IF(B435&lt;&gt;"",IF(_xlfn.IFNA(VLOOKUP(B435,OmsControlTable!T:T,1,0),"尚未處理")&lt;&gt;"尚未處理","已處理","尚未處理"),"")</f>
        <v/>
      </c>
      <c r="B435" s="2"/>
      <c r="C435" s="2"/>
      <c r="D435" s="2"/>
      <c r="E435" s="2"/>
    </row>
    <row r="436" spans="1:5" x14ac:dyDescent="0.25">
      <c r="A436" s="2" t="str">
        <f>IF(B436&lt;&gt;"",IF(_xlfn.IFNA(VLOOKUP(B436,OmsControlTable!T:T,1,0),"尚未處理")&lt;&gt;"尚未處理","已處理","尚未處理"),"")</f>
        <v/>
      </c>
      <c r="B436" s="2"/>
      <c r="C436" s="2"/>
      <c r="D436" s="2"/>
      <c r="E436" s="2"/>
    </row>
    <row r="437" spans="1:5" x14ac:dyDescent="0.25">
      <c r="A437" s="2" t="str">
        <f>IF(B437&lt;&gt;"",IF(_xlfn.IFNA(VLOOKUP(B437,OmsControlTable!T:T,1,0),"尚未處理")&lt;&gt;"尚未處理","已處理","尚未處理"),"")</f>
        <v/>
      </c>
      <c r="B437" s="2"/>
      <c r="C437" s="2"/>
      <c r="D437" s="2"/>
      <c r="E437" s="2"/>
    </row>
    <row r="438" spans="1:5" x14ac:dyDescent="0.25">
      <c r="A438" s="2" t="str">
        <f>IF(B438&lt;&gt;"",IF(_xlfn.IFNA(VLOOKUP(B438,OmsControlTable!T:T,1,0),"尚未處理")&lt;&gt;"尚未處理","已處理","尚未處理"),"")</f>
        <v/>
      </c>
      <c r="B438" s="2"/>
      <c r="C438" s="2"/>
      <c r="D438" s="2"/>
      <c r="E438" s="2"/>
    </row>
    <row r="439" spans="1:5" x14ac:dyDescent="0.25">
      <c r="A439" s="2" t="str">
        <f>IF(B439&lt;&gt;"",IF(_xlfn.IFNA(VLOOKUP(B439,OmsControlTable!T:T,1,0),"尚未處理")&lt;&gt;"尚未處理","已處理","尚未處理"),"")</f>
        <v/>
      </c>
      <c r="B439" s="2"/>
      <c r="C439" s="2"/>
      <c r="D439" s="2"/>
      <c r="E439" s="2"/>
    </row>
    <row r="440" spans="1:5" x14ac:dyDescent="0.25">
      <c r="A440" s="2" t="str">
        <f>IF(B440&lt;&gt;"",IF(_xlfn.IFNA(VLOOKUP(B440,OmsControlTable!T:T,1,0),"尚未處理")&lt;&gt;"尚未處理","已處理","尚未處理"),"")</f>
        <v/>
      </c>
      <c r="B440" s="2"/>
      <c r="C440" s="2"/>
      <c r="D440" s="2"/>
      <c r="E440" s="2"/>
    </row>
    <row r="441" spans="1:5" x14ac:dyDescent="0.25">
      <c r="A441" s="2" t="str">
        <f>IF(B441&lt;&gt;"",IF(_xlfn.IFNA(VLOOKUP(B441,OmsControlTable!T:T,1,0),"尚未處理")&lt;&gt;"尚未處理","已處理","尚未處理"),"")</f>
        <v/>
      </c>
      <c r="B441" s="2"/>
      <c r="C441" s="2"/>
      <c r="D441" s="2"/>
      <c r="E441" s="2"/>
    </row>
    <row r="442" spans="1:5" x14ac:dyDescent="0.25">
      <c r="A442" s="2" t="str">
        <f>IF(B442&lt;&gt;"",IF(_xlfn.IFNA(VLOOKUP(B442,OmsControlTable!T:T,1,0),"尚未處理")&lt;&gt;"尚未處理","已處理","尚未處理"),"")</f>
        <v/>
      </c>
      <c r="B442" s="2"/>
      <c r="C442" s="2"/>
      <c r="D442" s="2"/>
      <c r="E442" s="2"/>
    </row>
    <row r="443" spans="1:5" x14ac:dyDescent="0.25">
      <c r="A443" s="2" t="str">
        <f>IF(B443&lt;&gt;"",IF(_xlfn.IFNA(VLOOKUP(B443,OmsControlTable!T:T,1,0),"尚未處理")&lt;&gt;"尚未處理","已處理","尚未處理"),"")</f>
        <v/>
      </c>
      <c r="B443" s="2"/>
      <c r="C443" s="2"/>
      <c r="D443" s="2"/>
      <c r="E443" s="2"/>
    </row>
    <row r="444" spans="1:5" x14ac:dyDescent="0.25">
      <c r="A444" s="2" t="str">
        <f>IF(B444&lt;&gt;"",IF(_xlfn.IFNA(VLOOKUP(B444,OmsControlTable!T:T,1,0),"尚未處理")&lt;&gt;"尚未處理","已處理","尚未處理"),"")</f>
        <v/>
      </c>
      <c r="B444" s="2"/>
      <c r="C444" s="2"/>
      <c r="D444" s="2"/>
      <c r="E444" s="2"/>
    </row>
    <row r="445" spans="1:5" x14ac:dyDescent="0.25">
      <c r="A445" s="2" t="str">
        <f>IF(B445&lt;&gt;"",IF(_xlfn.IFNA(VLOOKUP(B445,OmsControlTable!T:T,1,0),"尚未處理")&lt;&gt;"尚未處理","已處理","尚未處理"),"")</f>
        <v/>
      </c>
      <c r="B445" s="2"/>
      <c r="C445" s="2"/>
      <c r="D445" s="2"/>
      <c r="E445" s="2"/>
    </row>
    <row r="446" spans="1:5" x14ac:dyDescent="0.25">
      <c r="A446" s="2" t="str">
        <f>IF(B446&lt;&gt;"",IF(_xlfn.IFNA(VLOOKUP(B446,OmsControlTable!T:T,1,0),"尚未處理")&lt;&gt;"尚未處理","已處理","尚未處理"),"")</f>
        <v/>
      </c>
      <c r="B446" s="2"/>
      <c r="C446" s="2"/>
      <c r="D446" s="2"/>
      <c r="E446" s="2"/>
    </row>
    <row r="447" spans="1:5" x14ac:dyDescent="0.25">
      <c r="A447" s="2" t="str">
        <f>IF(B447&lt;&gt;"",IF(_xlfn.IFNA(VLOOKUP(B447,OmsControlTable!T:T,1,0),"尚未處理")&lt;&gt;"尚未處理","已處理","尚未處理"),"")</f>
        <v/>
      </c>
      <c r="B447" s="2"/>
      <c r="C447" s="2"/>
      <c r="D447" s="2"/>
      <c r="E447" s="2"/>
    </row>
    <row r="448" spans="1:5" x14ac:dyDescent="0.25">
      <c r="A448" s="2" t="str">
        <f>IF(B448&lt;&gt;"",IF(_xlfn.IFNA(VLOOKUP(B448,OmsControlTable!T:T,1,0),"尚未處理")&lt;&gt;"尚未處理","已處理","尚未處理"),"")</f>
        <v/>
      </c>
      <c r="B448" s="2"/>
      <c r="C448" s="2"/>
      <c r="D448" s="2"/>
      <c r="E448" s="2"/>
    </row>
    <row r="449" spans="1:5" x14ac:dyDescent="0.25">
      <c r="A449" s="2" t="str">
        <f>IF(B449&lt;&gt;"",IF(_xlfn.IFNA(VLOOKUP(B449,OmsControlTable!T:T,1,0),"尚未處理")&lt;&gt;"尚未處理","已處理","尚未處理"),"")</f>
        <v/>
      </c>
      <c r="B449" s="2"/>
      <c r="C449" s="2"/>
      <c r="D449" s="2"/>
      <c r="E449" s="2"/>
    </row>
    <row r="450" spans="1:5" x14ac:dyDescent="0.25">
      <c r="A450" s="2" t="str">
        <f>IF(B450&lt;&gt;"",IF(_xlfn.IFNA(VLOOKUP(B450,OmsControlTable!T:T,1,0),"尚未處理")&lt;&gt;"尚未處理","已處理","尚未處理"),"")</f>
        <v/>
      </c>
      <c r="B450" s="2"/>
      <c r="C450" s="2"/>
      <c r="D450" s="2"/>
      <c r="E450" s="2"/>
    </row>
    <row r="451" spans="1:5" x14ac:dyDescent="0.25">
      <c r="A451" s="2" t="str">
        <f>IF(B451&lt;&gt;"",IF(_xlfn.IFNA(VLOOKUP(B451,OmsControlTable!T:T,1,0),"尚未處理")&lt;&gt;"尚未處理","已處理","尚未處理"),"")</f>
        <v/>
      </c>
      <c r="B451" s="2"/>
      <c r="C451" s="2"/>
      <c r="D451" s="2"/>
      <c r="E451" s="2"/>
    </row>
    <row r="452" spans="1:5" x14ac:dyDescent="0.25">
      <c r="A452" s="2" t="str">
        <f>IF(B452&lt;&gt;"",IF(_xlfn.IFNA(VLOOKUP(B452,OmsControlTable!T:T,1,0),"尚未處理")&lt;&gt;"尚未處理","已處理","尚未處理"),"")</f>
        <v/>
      </c>
      <c r="B452" s="2"/>
      <c r="C452" s="2"/>
      <c r="D452" s="2"/>
      <c r="E452" s="2"/>
    </row>
    <row r="453" spans="1:5" x14ac:dyDescent="0.25">
      <c r="A453" s="2" t="str">
        <f>IF(B453&lt;&gt;"",IF(_xlfn.IFNA(VLOOKUP(B453,OmsControlTable!T:T,1,0),"尚未處理")&lt;&gt;"尚未處理","已處理","尚未處理"),"")</f>
        <v/>
      </c>
      <c r="B453" s="2"/>
      <c r="C453" s="2"/>
      <c r="D453" s="2"/>
      <c r="E453" s="2"/>
    </row>
    <row r="454" spans="1:5" x14ac:dyDescent="0.25">
      <c r="A454" s="2" t="str">
        <f>IF(B454&lt;&gt;"",IF(_xlfn.IFNA(VLOOKUP(B454,OmsControlTable!T:T,1,0),"尚未處理")&lt;&gt;"尚未處理","已處理","尚未處理"),"")</f>
        <v/>
      </c>
      <c r="B454" s="2"/>
      <c r="C454" s="2"/>
      <c r="D454" s="2"/>
      <c r="E454" s="2"/>
    </row>
    <row r="455" spans="1:5" x14ac:dyDescent="0.25">
      <c r="A455" s="2" t="str">
        <f>IF(B455&lt;&gt;"",IF(_xlfn.IFNA(VLOOKUP(B455,OmsControlTable!T:T,1,0),"尚未處理")&lt;&gt;"尚未處理","已處理","尚未處理"),"")</f>
        <v/>
      </c>
      <c r="B455" s="2"/>
      <c r="C455" s="2"/>
      <c r="D455" s="2"/>
      <c r="E455" s="2"/>
    </row>
    <row r="456" spans="1:5" x14ac:dyDescent="0.25">
      <c r="A456" s="2" t="str">
        <f>IF(B456&lt;&gt;"",IF(_xlfn.IFNA(VLOOKUP(B456,OmsControlTable!T:T,1,0),"尚未處理")&lt;&gt;"尚未處理","已處理","尚未處理"),"")</f>
        <v/>
      </c>
      <c r="B456" s="2"/>
      <c r="C456" s="2"/>
      <c r="D456" s="2"/>
      <c r="E456" s="2"/>
    </row>
    <row r="457" spans="1:5" x14ac:dyDescent="0.25">
      <c r="A457" s="2" t="str">
        <f>IF(B457&lt;&gt;"",IF(_xlfn.IFNA(VLOOKUP(B457,OmsControlTable!T:T,1,0),"尚未處理")&lt;&gt;"尚未處理","已處理","尚未處理"),"")</f>
        <v/>
      </c>
      <c r="B457" s="2"/>
      <c r="C457" s="2"/>
      <c r="D457" s="2"/>
      <c r="E457" s="2"/>
    </row>
    <row r="458" spans="1:5" x14ac:dyDescent="0.25">
      <c r="A458" s="2" t="str">
        <f>IF(B458&lt;&gt;"",IF(_xlfn.IFNA(VLOOKUP(B458,OmsControlTable!T:T,1,0),"尚未處理")&lt;&gt;"尚未處理","已處理","尚未處理"),"")</f>
        <v/>
      </c>
      <c r="B458" s="2"/>
      <c r="C458" s="2"/>
      <c r="D458" s="2"/>
      <c r="E458" s="2"/>
    </row>
    <row r="459" spans="1:5" x14ac:dyDescent="0.25">
      <c r="A459" s="2" t="str">
        <f>IF(B459&lt;&gt;"",IF(_xlfn.IFNA(VLOOKUP(B459,OmsControlTable!T:T,1,0),"尚未處理")&lt;&gt;"尚未處理","已處理","尚未處理"),"")</f>
        <v/>
      </c>
      <c r="B459" s="2"/>
      <c r="C459" s="2"/>
      <c r="D459" s="2"/>
      <c r="E459" s="2"/>
    </row>
    <row r="460" spans="1:5" x14ac:dyDescent="0.25">
      <c r="A460" s="2" t="str">
        <f>IF(B460&lt;&gt;"",IF(_xlfn.IFNA(VLOOKUP(B460,OmsControlTable!T:T,1,0),"尚未處理")&lt;&gt;"尚未處理","已處理","尚未處理"),"")</f>
        <v/>
      </c>
      <c r="B460" s="2"/>
      <c r="C460" s="2"/>
      <c r="D460" s="2"/>
      <c r="E460" s="2"/>
    </row>
    <row r="461" spans="1:5" x14ac:dyDescent="0.25">
      <c r="A461" s="2" t="str">
        <f>IF(B461&lt;&gt;"",IF(_xlfn.IFNA(VLOOKUP(B461,OmsControlTable!T:T,1,0),"尚未處理")&lt;&gt;"尚未處理","已處理","尚未處理"),"")</f>
        <v/>
      </c>
      <c r="B461" s="2"/>
      <c r="C461" s="2"/>
      <c r="D461" s="2"/>
      <c r="E461" s="2"/>
    </row>
    <row r="462" spans="1:5" x14ac:dyDescent="0.25">
      <c r="A462" s="2" t="str">
        <f>IF(B462&lt;&gt;"",IF(_xlfn.IFNA(VLOOKUP(B462,OmsControlTable!T:T,1,0),"尚未處理")&lt;&gt;"尚未處理","已處理","尚未處理"),"")</f>
        <v/>
      </c>
      <c r="B462" s="2"/>
      <c r="C462" s="2"/>
      <c r="D462" s="2"/>
      <c r="E462" s="2"/>
    </row>
    <row r="463" spans="1:5" x14ac:dyDescent="0.25">
      <c r="A463" s="2" t="str">
        <f>IF(B463&lt;&gt;"",IF(_xlfn.IFNA(VLOOKUP(B463,OmsControlTable!T:T,1,0),"尚未處理")&lt;&gt;"尚未處理","已處理","尚未處理"),"")</f>
        <v/>
      </c>
      <c r="B463" s="2"/>
      <c r="C463" s="2"/>
      <c r="D463" s="2"/>
      <c r="E463" s="2"/>
    </row>
    <row r="464" spans="1:5" x14ac:dyDescent="0.25">
      <c r="A464" s="2" t="str">
        <f>IF(B464&lt;&gt;"",IF(_xlfn.IFNA(VLOOKUP(B464,OmsControlTable!T:T,1,0),"尚未處理")&lt;&gt;"尚未處理","已處理","尚未處理"),"")</f>
        <v/>
      </c>
      <c r="B464" s="2"/>
      <c r="C464" s="2"/>
      <c r="D464" s="2"/>
      <c r="E464" s="2"/>
    </row>
    <row r="465" spans="1:5" x14ac:dyDescent="0.25">
      <c r="A465" s="2" t="str">
        <f>IF(B465&lt;&gt;"",IF(_xlfn.IFNA(VLOOKUP(B465,OmsControlTable!T:T,1,0),"尚未處理")&lt;&gt;"尚未處理","已處理","尚未處理"),"")</f>
        <v/>
      </c>
      <c r="B465" s="2"/>
      <c r="C465" s="2"/>
      <c r="D465" s="2"/>
      <c r="E465" s="2"/>
    </row>
    <row r="466" spans="1:5" x14ac:dyDescent="0.25">
      <c r="A466" s="2" t="str">
        <f>IF(B466&lt;&gt;"",IF(_xlfn.IFNA(VLOOKUP(B466,OmsControlTable!T:T,1,0),"尚未處理")&lt;&gt;"尚未處理","已處理","尚未處理"),"")</f>
        <v/>
      </c>
      <c r="B466" s="2"/>
      <c r="C466" s="2"/>
      <c r="D466" s="2"/>
      <c r="E466" s="2"/>
    </row>
    <row r="467" spans="1:5" x14ac:dyDescent="0.25">
      <c r="A467" s="2" t="str">
        <f>IF(B467&lt;&gt;"",IF(_xlfn.IFNA(VLOOKUP(B467,OmsControlTable!T:T,1,0),"尚未處理")&lt;&gt;"尚未處理","已處理","尚未處理"),"")</f>
        <v/>
      </c>
      <c r="B467" s="2"/>
      <c r="C467" s="2"/>
      <c r="D467" s="2"/>
      <c r="E467" s="2"/>
    </row>
    <row r="468" spans="1:5" x14ac:dyDescent="0.25">
      <c r="A468" s="2" t="str">
        <f>IF(B468&lt;&gt;"",IF(_xlfn.IFNA(VLOOKUP(B468,OmsControlTable!T:T,1,0),"尚未處理")&lt;&gt;"尚未處理","已處理","尚未處理"),"")</f>
        <v/>
      </c>
      <c r="B468" s="2"/>
      <c r="C468" s="2"/>
      <c r="D468" s="2"/>
      <c r="E468" s="2"/>
    </row>
    <row r="469" spans="1:5" x14ac:dyDescent="0.25">
      <c r="A469" s="2" t="str">
        <f>IF(B469&lt;&gt;"",IF(_xlfn.IFNA(VLOOKUP(B469,OmsControlTable!T:T,1,0),"尚未處理")&lt;&gt;"尚未處理","已處理","尚未處理"),"")</f>
        <v/>
      </c>
      <c r="B469" s="2"/>
      <c r="C469" s="2"/>
      <c r="D469" s="2"/>
      <c r="E469" s="2"/>
    </row>
    <row r="470" spans="1:5" x14ac:dyDescent="0.25">
      <c r="A470" s="2" t="str">
        <f>IF(B470&lt;&gt;"",IF(_xlfn.IFNA(VLOOKUP(B470,OmsControlTable!T:T,1,0),"尚未處理")&lt;&gt;"尚未處理","已處理","尚未處理"),"")</f>
        <v/>
      </c>
      <c r="B470" s="2"/>
      <c r="C470" s="2"/>
      <c r="D470" s="2"/>
      <c r="E470" s="2"/>
    </row>
    <row r="471" spans="1:5" x14ac:dyDescent="0.25">
      <c r="A471" s="2" t="str">
        <f>IF(B471&lt;&gt;"",IF(_xlfn.IFNA(VLOOKUP(B471,OmsControlTable!T:T,1,0),"尚未處理")&lt;&gt;"尚未處理","已處理","尚未處理"),"")</f>
        <v/>
      </c>
      <c r="B471" s="2"/>
      <c r="C471" s="2"/>
      <c r="D471" s="2"/>
      <c r="E471" s="2"/>
    </row>
    <row r="472" spans="1:5" x14ac:dyDescent="0.25">
      <c r="A472" s="2" t="str">
        <f>IF(B472&lt;&gt;"",IF(_xlfn.IFNA(VLOOKUP(B472,OmsControlTable!T:T,1,0),"尚未處理")&lt;&gt;"尚未處理","已處理","尚未處理"),"")</f>
        <v/>
      </c>
      <c r="B472" s="2"/>
      <c r="C472" s="2"/>
      <c r="D472" s="2"/>
      <c r="E472" s="2"/>
    </row>
    <row r="473" spans="1:5" x14ac:dyDescent="0.25">
      <c r="A473" s="2" t="str">
        <f>IF(B473&lt;&gt;"",IF(_xlfn.IFNA(VLOOKUP(B473,OmsControlTable!T:T,1,0),"尚未處理")&lt;&gt;"尚未處理","已處理","尚未處理"),"")</f>
        <v/>
      </c>
      <c r="B473" s="2"/>
      <c r="C473" s="2"/>
      <c r="D473" s="2"/>
      <c r="E473" s="2"/>
    </row>
    <row r="474" spans="1:5" x14ac:dyDescent="0.25">
      <c r="A474" s="2" t="str">
        <f>IF(B474&lt;&gt;"",IF(_xlfn.IFNA(VLOOKUP(B474,OmsControlTable!T:T,1,0),"尚未處理")&lt;&gt;"尚未處理","已處理","尚未處理"),"")</f>
        <v/>
      </c>
      <c r="B474" s="2"/>
      <c r="C474" s="2"/>
      <c r="D474" s="2"/>
      <c r="E474" s="2"/>
    </row>
    <row r="475" spans="1:5" x14ac:dyDescent="0.25">
      <c r="A475" s="2" t="str">
        <f>IF(B475&lt;&gt;"",IF(_xlfn.IFNA(VLOOKUP(B475,OmsControlTable!T:T,1,0),"尚未處理")&lt;&gt;"尚未處理","已處理","尚未處理"),"")</f>
        <v/>
      </c>
      <c r="B475" s="2"/>
      <c r="C475" s="2"/>
      <c r="D475" s="2"/>
      <c r="E475" s="2"/>
    </row>
    <row r="476" spans="1:5" x14ac:dyDescent="0.25">
      <c r="A476" s="2" t="str">
        <f>IF(B476&lt;&gt;"",IF(_xlfn.IFNA(VLOOKUP(B476,OmsControlTable!T:T,1,0),"尚未處理")&lt;&gt;"尚未處理","已處理","尚未處理"),"")</f>
        <v/>
      </c>
      <c r="B476" s="2"/>
      <c r="C476" s="2"/>
      <c r="D476" s="2"/>
      <c r="E476" s="2"/>
    </row>
    <row r="477" spans="1:5" x14ac:dyDescent="0.25">
      <c r="A477" s="2" t="str">
        <f>IF(B477&lt;&gt;"",IF(_xlfn.IFNA(VLOOKUP(B477,OmsControlTable!T:T,1,0),"尚未處理")&lt;&gt;"尚未處理","已處理","尚未處理"),"")</f>
        <v/>
      </c>
      <c r="B477" s="2"/>
      <c r="C477" s="2"/>
      <c r="D477" s="2"/>
      <c r="E477" s="2"/>
    </row>
    <row r="478" spans="1:5" x14ac:dyDescent="0.25">
      <c r="A478" s="2" t="str">
        <f>IF(B478&lt;&gt;"",IF(_xlfn.IFNA(VLOOKUP(B478,OmsControlTable!T:T,1,0),"尚未處理")&lt;&gt;"尚未處理","已處理","尚未處理"),"")</f>
        <v/>
      </c>
      <c r="B478" s="2"/>
      <c r="C478" s="2"/>
      <c r="D478" s="2"/>
      <c r="E478" s="2"/>
    </row>
    <row r="479" spans="1:5" x14ac:dyDescent="0.25">
      <c r="A479" s="2" t="str">
        <f>IF(B479&lt;&gt;"",IF(_xlfn.IFNA(VLOOKUP(B479,OmsControlTable!T:T,1,0),"尚未處理")&lt;&gt;"尚未處理","已處理","尚未處理"),"")</f>
        <v/>
      </c>
      <c r="B479" s="2"/>
      <c r="C479" s="2"/>
      <c r="D479" s="2"/>
      <c r="E479" s="2"/>
    </row>
    <row r="480" spans="1:5" x14ac:dyDescent="0.25">
      <c r="A480" s="2" t="str">
        <f>IF(B480&lt;&gt;"",IF(_xlfn.IFNA(VLOOKUP(B480,OmsControlTable!T:T,1,0),"尚未處理")&lt;&gt;"尚未處理","已處理","尚未處理"),"")</f>
        <v/>
      </c>
      <c r="B480" s="2"/>
      <c r="C480" s="2"/>
      <c r="D480" s="2"/>
      <c r="E480" s="2"/>
    </row>
    <row r="481" spans="1:5" x14ac:dyDescent="0.25">
      <c r="A481" s="2" t="str">
        <f>IF(B481&lt;&gt;"",IF(_xlfn.IFNA(VLOOKUP(B481,OmsControlTable!T:T,1,0),"尚未處理")&lt;&gt;"尚未處理","已處理","尚未處理"),"")</f>
        <v/>
      </c>
      <c r="B481" s="2"/>
      <c r="C481" s="2"/>
      <c r="D481" s="2"/>
      <c r="E481" s="2"/>
    </row>
    <row r="482" spans="1:5" x14ac:dyDescent="0.25">
      <c r="A482" s="2" t="str">
        <f>IF(B482&lt;&gt;"",IF(_xlfn.IFNA(VLOOKUP(B482,OmsControlTable!T:T,1,0),"尚未處理")&lt;&gt;"尚未處理","已處理","尚未處理"),"")</f>
        <v/>
      </c>
      <c r="B482" s="2"/>
      <c r="C482" s="2"/>
      <c r="D482" s="2"/>
      <c r="E482" s="2"/>
    </row>
    <row r="483" spans="1:5" x14ac:dyDescent="0.25">
      <c r="A483" s="2" t="str">
        <f>IF(B483&lt;&gt;"",IF(_xlfn.IFNA(VLOOKUP(B483,OmsControlTable!T:T,1,0),"尚未處理")&lt;&gt;"尚未處理","已處理","尚未處理"),"")</f>
        <v/>
      </c>
      <c r="B483" s="2"/>
      <c r="C483" s="2"/>
      <c r="D483" s="2"/>
      <c r="E483" s="2"/>
    </row>
    <row r="484" spans="1:5" x14ac:dyDescent="0.25">
      <c r="A484" s="2" t="str">
        <f>IF(B484&lt;&gt;"",IF(_xlfn.IFNA(VLOOKUP(B484,OmsControlTable!T:T,1,0),"尚未處理")&lt;&gt;"尚未處理","已處理","尚未處理"),"")</f>
        <v/>
      </c>
      <c r="B484" s="2"/>
      <c r="C484" s="2"/>
      <c r="D484" s="2"/>
      <c r="E484" s="2"/>
    </row>
    <row r="485" spans="1:5" x14ac:dyDescent="0.25">
      <c r="A485" s="2" t="str">
        <f>IF(B485&lt;&gt;"",IF(_xlfn.IFNA(VLOOKUP(B485,OmsControlTable!T:T,1,0),"尚未處理")&lt;&gt;"尚未處理","已處理","尚未處理"),"")</f>
        <v/>
      </c>
      <c r="B485" s="2"/>
      <c r="C485" s="2"/>
      <c r="D485" s="2"/>
      <c r="E485" s="2"/>
    </row>
    <row r="486" spans="1:5" x14ac:dyDescent="0.25">
      <c r="A486" s="2" t="str">
        <f>IF(B486&lt;&gt;"",IF(_xlfn.IFNA(VLOOKUP(B486,OmsControlTable!T:T,1,0),"尚未處理")&lt;&gt;"尚未處理","已處理","尚未處理"),"")</f>
        <v/>
      </c>
      <c r="B486" s="2"/>
      <c r="C486" s="2"/>
      <c r="D486" s="2"/>
      <c r="E486" s="2"/>
    </row>
    <row r="487" spans="1:5" x14ac:dyDescent="0.25">
      <c r="A487" s="2" t="str">
        <f>IF(B487&lt;&gt;"",IF(_xlfn.IFNA(VLOOKUP(B487,OmsControlTable!T:T,1,0),"尚未處理")&lt;&gt;"尚未處理","已處理","尚未處理"),"")</f>
        <v/>
      </c>
      <c r="B487" s="2"/>
      <c r="C487" s="2"/>
      <c r="D487" s="2"/>
      <c r="E487" s="2"/>
    </row>
    <row r="488" spans="1:5" x14ac:dyDescent="0.25">
      <c r="A488" s="2" t="str">
        <f>IF(B488&lt;&gt;"",IF(_xlfn.IFNA(VLOOKUP(B488,OmsControlTable!T:T,1,0),"尚未處理")&lt;&gt;"尚未處理","已處理","尚未處理"),"")</f>
        <v/>
      </c>
      <c r="B488" s="2"/>
      <c r="C488" s="2"/>
      <c r="D488" s="2"/>
      <c r="E488" s="2"/>
    </row>
    <row r="489" spans="1:5" x14ac:dyDescent="0.25">
      <c r="A489" s="2" t="str">
        <f>IF(B489&lt;&gt;"",IF(_xlfn.IFNA(VLOOKUP(B489,OmsControlTable!T:T,1,0),"尚未處理")&lt;&gt;"尚未處理","已處理","尚未處理"),"")</f>
        <v/>
      </c>
      <c r="B489" s="2"/>
      <c r="C489" s="2"/>
      <c r="D489" s="2"/>
      <c r="E489" s="2"/>
    </row>
    <row r="490" spans="1:5" x14ac:dyDescent="0.25">
      <c r="A490" s="2" t="str">
        <f>IF(B490&lt;&gt;"",IF(_xlfn.IFNA(VLOOKUP(B490,OmsControlTable!T:T,1,0),"尚未處理")&lt;&gt;"尚未處理","已處理","尚未處理"),"")</f>
        <v/>
      </c>
      <c r="B490" s="2"/>
      <c r="C490" s="2"/>
      <c r="D490" s="2"/>
      <c r="E490" s="2"/>
    </row>
    <row r="491" spans="1:5" x14ac:dyDescent="0.25">
      <c r="A491" s="2" t="str">
        <f>IF(B491&lt;&gt;"",IF(_xlfn.IFNA(VLOOKUP(B491,OmsControlTable!T:T,1,0),"尚未處理")&lt;&gt;"尚未處理","已處理","尚未處理"),"")</f>
        <v/>
      </c>
      <c r="B491" s="2"/>
      <c r="C491" s="2"/>
      <c r="D491" s="2"/>
      <c r="E491" s="2"/>
    </row>
    <row r="492" spans="1:5" x14ac:dyDescent="0.25">
      <c r="A492" s="2" t="str">
        <f>IF(B492&lt;&gt;"",IF(_xlfn.IFNA(VLOOKUP(B492,OmsControlTable!T:T,1,0),"尚未處理")&lt;&gt;"尚未處理","已處理","尚未處理"),"")</f>
        <v/>
      </c>
      <c r="B492" s="2"/>
      <c r="C492" s="2"/>
      <c r="D492" s="2"/>
      <c r="E492" s="2"/>
    </row>
    <row r="493" spans="1:5" x14ac:dyDescent="0.25">
      <c r="A493" s="2" t="str">
        <f>IF(B493&lt;&gt;"",IF(_xlfn.IFNA(VLOOKUP(B493,OmsControlTable!T:T,1,0),"尚未處理")&lt;&gt;"尚未處理","已處理","尚未處理"),"")</f>
        <v/>
      </c>
      <c r="B493" s="2"/>
      <c r="C493" s="2"/>
      <c r="D493" s="2"/>
      <c r="E493" s="2"/>
    </row>
    <row r="494" spans="1:5" x14ac:dyDescent="0.25">
      <c r="A494" s="2" t="str">
        <f>IF(B494&lt;&gt;"",IF(_xlfn.IFNA(VLOOKUP(B494,OmsControlTable!T:T,1,0),"尚未處理")&lt;&gt;"尚未處理","已處理","尚未處理"),"")</f>
        <v/>
      </c>
      <c r="B494" s="2"/>
      <c r="C494" s="2"/>
      <c r="D494" s="2"/>
      <c r="E494" s="2"/>
    </row>
    <row r="495" spans="1:5" x14ac:dyDescent="0.25">
      <c r="A495" s="2" t="str">
        <f>IF(B495&lt;&gt;"",IF(_xlfn.IFNA(VLOOKUP(B495,OmsControlTable!T:T,1,0),"尚未處理")&lt;&gt;"尚未處理","已處理","尚未處理"),"")</f>
        <v/>
      </c>
      <c r="B495" s="2"/>
      <c r="C495" s="2"/>
      <c r="D495" s="2"/>
      <c r="E495" s="2"/>
    </row>
    <row r="496" spans="1:5" x14ac:dyDescent="0.25">
      <c r="A496" s="2" t="str">
        <f>IF(B496&lt;&gt;"",IF(_xlfn.IFNA(VLOOKUP(B496,OmsControlTable!T:T,1,0),"尚未處理")&lt;&gt;"尚未處理","已處理","尚未處理"),"")</f>
        <v/>
      </c>
      <c r="B496" s="2"/>
      <c r="C496" s="2"/>
      <c r="D496" s="2"/>
      <c r="E496" s="2"/>
    </row>
    <row r="497" spans="1:5" x14ac:dyDescent="0.25">
      <c r="A497" s="2" t="str">
        <f>IF(B497&lt;&gt;"",IF(_xlfn.IFNA(VLOOKUP(B497,OmsControlTable!T:T,1,0),"尚未處理")&lt;&gt;"尚未處理","已處理","尚未處理"),"")</f>
        <v/>
      </c>
      <c r="B497" s="2"/>
      <c r="C497" s="2"/>
      <c r="D497" s="2"/>
      <c r="E497" s="2"/>
    </row>
    <row r="498" spans="1:5" x14ac:dyDescent="0.25">
      <c r="A498" s="2" t="str">
        <f>IF(B498&lt;&gt;"",IF(_xlfn.IFNA(VLOOKUP(B498,OmsControlTable!T:T,1,0),"尚未處理")&lt;&gt;"尚未處理","已處理","尚未處理"),"")</f>
        <v/>
      </c>
      <c r="B498" s="2"/>
      <c r="C498" s="2"/>
      <c r="D498" s="2"/>
      <c r="E498" s="2"/>
    </row>
    <row r="499" spans="1:5" x14ac:dyDescent="0.25">
      <c r="A499" s="2" t="str">
        <f>IF(B499&lt;&gt;"",IF(_xlfn.IFNA(VLOOKUP(B499,OmsControlTable!T:T,1,0),"尚未處理")&lt;&gt;"尚未處理","已處理","尚未處理"),"")</f>
        <v/>
      </c>
      <c r="B499" s="2"/>
      <c r="C499" s="2"/>
      <c r="D499" s="2"/>
      <c r="E499" s="2"/>
    </row>
    <row r="500" spans="1:5" x14ac:dyDescent="0.25">
      <c r="A500" s="2" t="str">
        <f>IF(B500&lt;&gt;"",IF(_xlfn.IFNA(VLOOKUP(B500,OmsControlTable!T:T,1,0),"尚未處理")&lt;&gt;"尚未處理","已處理","尚未處理"),"")</f>
        <v/>
      </c>
      <c r="B500" s="2"/>
      <c r="C500" s="2"/>
      <c r="D500" s="2"/>
      <c r="E500" s="2"/>
    </row>
    <row r="501" spans="1:5" x14ac:dyDescent="0.25">
      <c r="A501" s="2" t="str">
        <f>IF(B501&lt;&gt;"",IF(_xlfn.IFNA(VLOOKUP(B501,OmsControlTable!T:T,1,0),"尚未處理")&lt;&gt;"尚未處理","已處理","尚未處理"),"")</f>
        <v/>
      </c>
      <c r="B501" s="2"/>
      <c r="C501" s="2"/>
      <c r="D501" s="2"/>
      <c r="E501" s="2"/>
    </row>
    <row r="502" spans="1:5" x14ac:dyDescent="0.25">
      <c r="A502" s="2" t="str">
        <f>IF(B502&lt;&gt;"",IF(_xlfn.IFNA(VLOOKUP(B502,OmsControlTable!T:T,1,0),"尚未處理")&lt;&gt;"尚未處理","已處理","尚未處理"),"")</f>
        <v/>
      </c>
      <c r="B502" s="2"/>
      <c r="C502" s="2"/>
      <c r="D502" s="2"/>
      <c r="E502" s="2"/>
    </row>
    <row r="503" spans="1:5" x14ac:dyDescent="0.25">
      <c r="A503" s="2" t="str">
        <f>IF(B503&lt;&gt;"",IF(_xlfn.IFNA(VLOOKUP(B503,OmsControlTable!T:T,1,0),"尚未處理")&lt;&gt;"尚未處理","已處理","尚未處理"),"")</f>
        <v/>
      </c>
      <c r="B503" s="2"/>
      <c r="C503" s="2"/>
      <c r="D503" s="2"/>
      <c r="E503" s="2"/>
    </row>
    <row r="504" spans="1:5" x14ac:dyDescent="0.25">
      <c r="A504" s="2" t="str">
        <f>IF(B504&lt;&gt;"",IF(_xlfn.IFNA(VLOOKUP(B504,OmsControlTable!T:T,1,0),"尚未處理")&lt;&gt;"尚未處理","已處理","尚未處理"),"")</f>
        <v/>
      </c>
      <c r="B504" s="2"/>
      <c r="C504" s="2"/>
      <c r="D504" s="2"/>
      <c r="E504" s="2"/>
    </row>
    <row r="505" spans="1:5" x14ac:dyDescent="0.25">
      <c r="A505" s="2" t="str">
        <f>IF(B505&lt;&gt;"",IF(_xlfn.IFNA(VLOOKUP(B505,OmsControlTable!T:T,1,0),"尚未處理")&lt;&gt;"尚未處理","已處理","尚未處理"),"")</f>
        <v/>
      </c>
      <c r="B505" s="2"/>
      <c r="C505" s="2"/>
      <c r="D505" s="2"/>
      <c r="E505" s="2"/>
    </row>
    <row r="506" spans="1:5" x14ac:dyDescent="0.25">
      <c r="A506" s="2" t="str">
        <f>IF(B506&lt;&gt;"",IF(_xlfn.IFNA(VLOOKUP(B506,OmsControlTable!T:T,1,0),"尚未處理")&lt;&gt;"尚未處理","已處理","尚未處理"),"")</f>
        <v/>
      </c>
      <c r="B506" s="2"/>
      <c r="C506" s="2"/>
      <c r="D506" s="2"/>
      <c r="E506" s="2"/>
    </row>
    <row r="507" spans="1:5" x14ac:dyDescent="0.25">
      <c r="A507" s="2" t="str">
        <f>IF(B507&lt;&gt;"",IF(_xlfn.IFNA(VLOOKUP(B507,OmsControlTable!T:T,1,0),"尚未處理")&lt;&gt;"尚未處理","已處理","尚未處理"),"")</f>
        <v/>
      </c>
      <c r="B507" s="2"/>
      <c r="C507" s="2"/>
      <c r="D507" s="2"/>
      <c r="E507" s="2"/>
    </row>
    <row r="508" spans="1:5" x14ac:dyDescent="0.25">
      <c r="A508" s="2" t="str">
        <f>IF(B508&lt;&gt;"",IF(_xlfn.IFNA(VLOOKUP(B508,OmsControlTable!T:T,1,0),"尚未處理")&lt;&gt;"尚未處理","已處理","尚未處理"),"")</f>
        <v/>
      </c>
      <c r="B508" s="2"/>
      <c r="C508" s="2"/>
      <c r="D508" s="2"/>
      <c r="E508" s="2"/>
    </row>
    <row r="509" spans="1:5" x14ac:dyDescent="0.25">
      <c r="A509" s="2" t="str">
        <f>IF(B509&lt;&gt;"",IF(_xlfn.IFNA(VLOOKUP(B509,OmsControlTable!T:T,1,0),"尚未處理")&lt;&gt;"尚未處理","已處理","尚未處理"),"")</f>
        <v/>
      </c>
      <c r="B509" s="2"/>
      <c r="C509" s="2"/>
      <c r="D509" s="2"/>
      <c r="E509" s="2"/>
    </row>
    <row r="510" spans="1:5" x14ac:dyDescent="0.25">
      <c r="A510" s="2" t="str">
        <f>IF(B510&lt;&gt;"",IF(_xlfn.IFNA(VLOOKUP(B510,OmsControlTable!T:T,1,0),"尚未處理")&lt;&gt;"尚未處理","已處理","尚未處理"),"")</f>
        <v/>
      </c>
      <c r="B510" s="2"/>
      <c r="C510" s="2"/>
      <c r="D510" s="2"/>
      <c r="E510" s="2"/>
    </row>
    <row r="511" spans="1:5" x14ac:dyDescent="0.25">
      <c r="A511" s="2" t="str">
        <f>IF(B511&lt;&gt;"",IF(_xlfn.IFNA(VLOOKUP(B511,OmsControlTable!T:T,1,0),"尚未處理")&lt;&gt;"尚未處理","已處理","尚未處理"),"")</f>
        <v/>
      </c>
      <c r="B511" s="2"/>
      <c r="C511" s="2"/>
      <c r="D511" s="2"/>
      <c r="E511" s="2"/>
    </row>
    <row r="512" spans="1:5" x14ac:dyDescent="0.25">
      <c r="A512" s="2" t="str">
        <f>IF(B512&lt;&gt;"",IF(_xlfn.IFNA(VLOOKUP(B512,OmsControlTable!T:T,1,0),"尚未處理")&lt;&gt;"尚未處理","已處理","尚未處理"),"")</f>
        <v/>
      </c>
      <c r="B512" s="2"/>
      <c r="C512" s="2"/>
      <c r="D512" s="2"/>
      <c r="E512" s="2"/>
    </row>
    <row r="513" spans="1:5" x14ac:dyDescent="0.25">
      <c r="A513" s="2" t="str">
        <f>IF(B513&lt;&gt;"",IF(_xlfn.IFNA(VLOOKUP(B513,OmsControlTable!T:T,1,0),"尚未處理")&lt;&gt;"尚未處理","已處理","尚未處理"),"")</f>
        <v/>
      </c>
      <c r="B513" s="2"/>
      <c r="C513" s="2"/>
      <c r="D513" s="2"/>
      <c r="E513" s="2"/>
    </row>
    <row r="514" spans="1:5" x14ac:dyDescent="0.25">
      <c r="A514" s="2" t="str">
        <f>IF(B514&lt;&gt;"",IF(_xlfn.IFNA(VLOOKUP(B514,OmsControlTable!T:T,1,0),"尚未處理")&lt;&gt;"尚未處理","已處理","尚未處理"),"")</f>
        <v/>
      </c>
      <c r="B514" s="2"/>
      <c r="C514" s="2"/>
      <c r="D514" s="2"/>
      <c r="E514" s="2"/>
    </row>
    <row r="515" spans="1:5" x14ac:dyDescent="0.25">
      <c r="A515" s="2" t="str">
        <f>IF(B515&lt;&gt;"",IF(_xlfn.IFNA(VLOOKUP(B515,OmsControlTable!T:T,1,0),"尚未處理")&lt;&gt;"尚未處理","已處理","尚未處理"),"")</f>
        <v/>
      </c>
      <c r="B515" s="2"/>
      <c r="C515" s="2"/>
      <c r="D515" s="2"/>
      <c r="E515" s="2"/>
    </row>
    <row r="516" spans="1:5" x14ac:dyDescent="0.25">
      <c r="A516" s="2" t="str">
        <f>IF(B516&lt;&gt;"",IF(_xlfn.IFNA(VLOOKUP(B516,OmsControlTable!T:T,1,0),"尚未處理")&lt;&gt;"尚未處理","已處理","尚未處理"),"")</f>
        <v/>
      </c>
      <c r="B516" s="2"/>
      <c r="C516" s="2"/>
      <c r="D516" s="2"/>
      <c r="E516" s="2"/>
    </row>
    <row r="517" spans="1:5" x14ac:dyDescent="0.25">
      <c r="A517" s="2" t="str">
        <f>IF(B517&lt;&gt;"",IF(_xlfn.IFNA(VLOOKUP(B517,OmsControlTable!T:T,1,0),"尚未處理")&lt;&gt;"尚未處理","已處理","尚未處理"),"")</f>
        <v/>
      </c>
      <c r="B517" s="2"/>
      <c r="C517" s="2"/>
      <c r="D517" s="2"/>
      <c r="E517" s="2"/>
    </row>
    <row r="518" spans="1:5" x14ac:dyDescent="0.25">
      <c r="A518" s="2" t="str">
        <f>IF(B518&lt;&gt;"",IF(_xlfn.IFNA(VLOOKUP(B518,OmsControlTable!T:T,1,0),"尚未處理")&lt;&gt;"尚未處理","已處理","尚未處理"),"")</f>
        <v/>
      </c>
      <c r="B518" s="2"/>
      <c r="C518" s="2"/>
      <c r="D518" s="2"/>
      <c r="E518" s="2"/>
    </row>
    <row r="519" spans="1:5" x14ac:dyDescent="0.25">
      <c r="A519" s="2" t="str">
        <f>IF(B519&lt;&gt;"",IF(_xlfn.IFNA(VLOOKUP(B519,OmsControlTable!T:T,1,0),"尚未處理")&lt;&gt;"尚未處理","已處理","尚未處理"),"")</f>
        <v/>
      </c>
      <c r="B519" s="2"/>
      <c r="C519" s="2"/>
      <c r="D519" s="2"/>
      <c r="E519" s="2"/>
    </row>
    <row r="520" spans="1:5" x14ac:dyDescent="0.25">
      <c r="A520" s="2" t="str">
        <f>IF(B520&lt;&gt;"",IF(_xlfn.IFNA(VLOOKUP(B520,OmsControlTable!T:T,1,0),"尚未處理")&lt;&gt;"尚未處理","已處理","尚未處理"),"")</f>
        <v/>
      </c>
      <c r="B520" s="2"/>
      <c r="C520" s="2"/>
      <c r="D520" s="2"/>
      <c r="E520" s="2"/>
    </row>
    <row r="521" spans="1:5" x14ac:dyDescent="0.25">
      <c r="A521" s="2" t="str">
        <f>IF(B521&lt;&gt;"",IF(_xlfn.IFNA(VLOOKUP(B521,OmsControlTable!T:T,1,0),"尚未處理")&lt;&gt;"尚未處理","已處理","尚未處理"),"")</f>
        <v/>
      </c>
      <c r="B521" s="2"/>
      <c r="C521" s="2"/>
      <c r="D521" s="2"/>
      <c r="E521" s="2"/>
    </row>
    <row r="522" spans="1:5" x14ac:dyDescent="0.25">
      <c r="A522" s="2" t="str">
        <f>IF(B522&lt;&gt;"",IF(_xlfn.IFNA(VLOOKUP(B522,OmsControlTable!T:T,1,0),"尚未處理")&lt;&gt;"尚未處理","已處理","尚未處理"),"")</f>
        <v/>
      </c>
      <c r="B522" s="2"/>
      <c r="C522" s="2"/>
      <c r="D522" s="2"/>
      <c r="E522" s="2"/>
    </row>
    <row r="523" spans="1:5" x14ac:dyDescent="0.25">
      <c r="A523" s="2" t="str">
        <f>IF(B523&lt;&gt;"",IF(_xlfn.IFNA(VLOOKUP(B523,OmsControlTable!T:T,1,0),"尚未處理")&lt;&gt;"尚未處理","已處理","尚未處理"),"")</f>
        <v/>
      </c>
      <c r="B523" s="2"/>
      <c r="C523" s="2"/>
      <c r="D523" s="2"/>
      <c r="E523" s="2"/>
    </row>
    <row r="524" spans="1:5" x14ac:dyDescent="0.25">
      <c r="A524" s="2" t="str">
        <f>IF(B524&lt;&gt;"",IF(_xlfn.IFNA(VLOOKUP(B524,OmsControlTable!T:T,1,0),"尚未處理")&lt;&gt;"尚未處理","已處理","尚未處理"),"")</f>
        <v/>
      </c>
      <c r="B524" s="2"/>
      <c r="C524" s="2"/>
      <c r="D524" s="2"/>
      <c r="E524" s="2"/>
    </row>
    <row r="525" spans="1:5" x14ac:dyDescent="0.25">
      <c r="A525" s="2" t="str">
        <f>IF(B525&lt;&gt;"",IF(_xlfn.IFNA(VLOOKUP(B525,OmsControlTable!T:T,1,0),"尚未處理")&lt;&gt;"尚未處理","已處理","尚未處理"),"")</f>
        <v/>
      </c>
      <c r="B525" s="2"/>
      <c r="C525" s="2"/>
      <c r="D525" s="2"/>
      <c r="E525" s="2"/>
    </row>
    <row r="526" spans="1:5" x14ac:dyDescent="0.25">
      <c r="A526" s="2" t="str">
        <f>IF(B526&lt;&gt;"",IF(_xlfn.IFNA(VLOOKUP(B526,OmsControlTable!T:T,1,0),"尚未處理")&lt;&gt;"尚未處理","已處理","尚未處理"),"")</f>
        <v/>
      </c>
      <c r="B526" s="2"/>
      <c r="C526" s="2"/>
      <c r="D526" s="2"/>
      <c r="E526" s="2"/>
    </row>
    <row r="527" spans="1:5" x14ac:dyDescent="0.25">
      <c r="A527" s="2" t="str">
        <f>IF(B527&lt;&gt;"",IF(_xlfn.IFNA(VLOOKUP(B527,OmsControlTable!T:T,1,0),"尚未處理")&lt;&gt;"尚未處理","已處理","尚未處理"),"")</f>
        <v/>
      </c>
      <c r="B527" s="2"/>
      <c r="C527" s="2"/>
      <c r="D527" s="2"/>
      <c r="E527" s="2"/>
    </row>
    <row r="528" spans="1:5" x14ac:dyDescent="0.25">
      <c r="A528" s="2" t="str">
        <f>IF(B528&lt;&gt;"",IF(_xlfn.IFNA(VLOOKUP(B528,OmsControlTable!T:T,1,0),"尚未處理")&lt;&gt;"尚未處理","已處理","尚未處理"),"")</f>
        <v/>
      </c>
      <c r="B528" s="2"/>
      <c r="C528" s="2"/>
      <c r="D528" s="2"/>
      <c r="E528" s="2"/>
    </row>
    <row r="529" spans="1:5" x14ac:dyDescent="0.25">
      <c r="A529" s="2" t="str">
        <f>IF(B529&lt;&gt;"",IF(_xlfn.IFNA(VLOOKUP(B529,OmsControlTable!T:T,1,0),"尚未處理")&lt;&gt;"尚未處理","已處理","尚未處理"),"")</f>
        <v/>
      </c>
      <c r="B529" s="2"/>
      <c r="C529" s="2"/>
      <c r="D529" s="2"/>
      <c r="E529" s="2"/>
    </row>
    <row r="530" spans="1:5" x14ac:dyDescent="0.25">
      <c r="A530" s="2" t="str">
        <f>IF(B530&lt;&gt;"",IF(_xlfn.IFNA(VLOOKUP(B530,OmsControlTable!T:T,1,0),"尚未處理")&lt;&gt;"尚未處理","已處理","尚未處理"),"")</f>
        <v/>
      </c>
      <c r="B530" s="2"/>
      <c r="C530" s="2"/>
      <c r="D530" s="2"/>
      <c r="E530" s="2"/>
    </row>
    <row r="531" spans="1:5" x14ac:dyDescent="0.25">
      <c r="A531" s="2" t="str">
        <f>IF(B531&lt;&gt;"",IF(_xlfn.IFNA(VLOOKUP(B531,OmsControlTable!T:T,1,0),"尚未處理")&lt;&gt;"尚未處理","已處理","尚未處理"),"")</f>
        <v/>
      </c>
      <c r="B531" s="2"/>
      <c r="C531" s="2"/>
      <c r="D531" s="2"/>
      <c r="E531" s="2"/>
    </row>
    <row r="532" spans="1:5" x14ac:dyDescent="0.25">
      <c r="A532" s="2" t="str">
        <f>IF(B532&lt;&gt;"",IF(_xlfn.IFNA(VLOOKUP(B532,OmsControlTable!T:T,1,0),"尚未處理")&lt;&gt;"尚未處理","已處理","尚未處理"),"")</f>
        <v/>
      </c>
      <c r="B532" s="2"/>
      <c r="C532" s="2"/>
      <c r="D532" s="2"/>
      <c r="E532" s="2"/>
    </row>
    <row r="533" spans="1:5" x14ac:dyDescent="0.25">
      <c r="A533" s="2" t="str">
        <f>IF(B533&lt;&gt;"",IF(_xlfn.IFNA(VLOOKUP(B533,OmsControlTable!T:T,1,0),"尚未處理")&lt;&gt;"尚未處理","已處理","尚未處理"),"")</f>
        <v/>
      </c>
      <c r="B533" s="2"/>
      <c r="C533" s="2"/>
      <c r="D533" s="2"/>
      <c r="E533" s="2"/>
    </row>
    <row r="534" spans="1:5" x14ac:dyDescent="0.25">
      <c r="A534" s="2" t="str">
        <f>IF(B534&lt;&gt;"",IF(_xlfn.IFNA(VLOOKUP(B534,OmsControlTable!T:T,1,0),"尚未處理")&lt;&gt;"尚未處理","已處理","尚未處理"),"")</f>
        <v/>
      </c>
      <c r="B534" s="2"/>
      <c r="C534" s="2"/>
      <c r="D534" s="2"/>
      <c r="E534" s="2"/>
    </row>
    <row r="535" spans="1:5" x14ac:dyDescent="0.25">
      <c r="A535" s="2" t="str">
        <f>IF(B535&lt;&gt;"",IF(_xlfn.IFNA(VLOOKUP(B535,OmsControlTable!T:T,1,0),"尚未處理")&lt;&gt;"尚未處理","已處理","尚未處理"),"")</f>
        <v/>
      </c>
      <c r="B535" s="2"/>
      <c r="C535" s="2"/>
      <c r="D535" s="2"/>
      <c r="E535" s="2"/>
    </row>
    <row r="536" spans="1:5" x14ac:dyDescent="0.25">
      <c r="A536" s="2" t="str">
        <f>IF(B536&lt;&gt;"",IF(_xlfn.IFNA(VLOOKUP(B536,OmsControlTable!T:T,1,0),"尚未處理")&lt;&gt;"尚未處理","已處理","尚未處理"),"")</f>
        <v/>
      </c>
      <c r="B536" s="2"/>
      <c r="C536" s="2"/>
      <c r="D536" s="2"/>
      <c r="E536" s="2"/>
    </row>
    <row r="537" spans="1:5" x14ac:dyDescent="0.25">
      <c r="A537" s="2" t="str">
        <f>IF(B537&lt;&gt;"",IF(_xlfn.IFNA(VLOOKUP(B537,OmsControlTable!T:T,1,0),"尚未處理")&lt;&gt;"尚未處理","已處理","尚未處理"),"")</f>
        <v/>
      </c>
      <c r="B537" s="2"/>
      <c r="C537" s="2"/>
      <c r="D537" s="2"/>
      <c r="E537" s="2"/>
    </row>
    <row r="538" spans="1:5" x14ac:dyDescent="0.25">
      <c r="A538" s="2" t="str">
        <f>IF(B538&lt;&gt;"",IF(_xlfn.IFNA(VLOOKUP(B538,OmsControlTable!T:T,1,0),"尚未處理")&lt;&gt;"尚未處理","已處理","尚未處理"),"")</f>
        <v/>
      </c>
      <c r="B538" s="2"/>
      <c r="C538" s="2"/>
      <c r="D538" s="2"/>
      <c r="E538" s="2"/>
    </row>
    <row r="539" spans="1:5" x14ac:dyDescent="0.25">
      <c r="A539" s="2" t="str">
        <f>IF(B539&lt;&gt;"",IF(_xlfn.IFNA(VLOOKUP(B539,OmsControlTable!T:T,1,0),"尚未處理")&lt;&gt;"尚未處理","已處理","尚未處理"),"")</f>
        <v/>
      </c>
      <c r="B539" s="2"/>
      <c r="C539" s="2"/>
      <c r="D539" s="2"/>
      <c r="E539" s="2"/>
    </row>
    <row r="540" spans="1:5" x14ac:dyDescent="0.25">
      <c r="A540" s="2" t="str">
        <f>IF(B540&lt;&gt;"",IF(_xlfn.IFNA(VLOOKUP(B540,OmsControlTable!T:T,1,0),"尚未處理")&lt;&gt;"尚未處理","已處理","尚未處理"),"")</f>
        <v/>
      </c>
      <c r="B540" s="2"/>
      <c r="C540" s="2"/>
      <c r="D540" s="2"/>
      <c r="E540" s="2"/>
    </row>
    <row r="541" spans="1:5" x14ac:dyDescent="0.25">
      <c r="A541" s="2" t="str">
        <f>IF(B541&lt;&gt;"",IF(_xlfn.IFNA(VLOOKUP(B541,OmsControlTable!T:T,1,0),"尚未處理")&lt;&gt;"尚未處理","已處理","尚未處理"),"")</f>
        <v/>
      </c>
      <c r="B541" s="2"/>
      <c r="C541" s="2"/>
      <c r="D541" s="2"/>
      <c r="E541" s="2"/>
    </row>
    <row r="542" spans="1:5" x14ac:dyDescent="0.25">
      <c r="A542" s="2" t="str">
        <f>IF(B542&lt;&gt;"",IF(_xlfn.IFNA(VLOOKUP(B542,OmsControlTable!T:T,1,0),"尚未處理")&lt;&gt;"尚未處理","已處理","尚未處理"),"")</f>
        <v/>
      </c>
      <c r="B542" s="2"/>
      <c r="C542" s="2"/>
      <c r="D542" s="2"/>
      <c r="E542" s="2"/>
    </row>
    <row r="543" spans="1:5" x14ac:dyDescent="0.25">
      <c r="A543" s="2" t="str">
        <f>IF(B543&lt;&gt;"",IF(_xlfn.IFNA(VLOOKUP(B543,OmsControlTable!T:T,1,0),"尚未處理")&lt;&gt;"尚未處理","已處理","尚未處理"),"")</f>
        <v/>
      </c>
      <c r="B543" s="2"/>
      <c r="C543" s="2"/>
      <c r="D543" s="2"/>
      <c r="E543" s="2"/>
    </row>
    <row r="544" spans="1:5" x14ac:dyDescent="0.25">
      <c r="A544" s="2" t="str">
        <f>IF(B544&lt;&gt;"",IF(_xlfn.IFNA(VLOOKUP(B544,OmsControlTable!T:T,1,0),"尚未處理")&lt;&gt;"尚未處理","已處理","尚未處理"),"")</f>
        <v/>
      </c>
      <c r="B544" s="2"/>
      <c r="C544" s="2"/>
      <c r="D544" s="2"/>
      <c r="E544" s="2"/>
    </row>
    <row r="545" spans="1:5" x14ac:dyDescent="0.25">
      <c r="A545" s="2" t="str">
        <f>IF(B545&lt;&gt;"",IF(_xlfn.IFNA(VLOOKUP(B545,OmsControlTable!T:T,1,0),"尚未處理")&lt;&gt;"尚未處理","已處理","尚未處理"),"")</f>
        <v/>
      </c>
      <c r="B545" s="2"/>
      <c r="C545" s="2"/>
      <c r="D545" s="2"/>
      <c r="E545" s="2"/>
    </row>
    <row r="546" spans="1:5" x14ac:dyDescent="0.25">
      <c r="A546" s="2" t="str">
        <f>IF(B546&lt;&gt;"",IF(_xlfn.IFNA(VLOOKUP(B546,OmsControlTable!T:T,1,0),"尚未處理")&lt;&gt;"尚未處理","已處理","尚未處理"),"")</f>
        <v/>
      </c>
      <c r="B546" s="2"/>
      <c r="C546" s="2"/>
      <c r="D546" s="2"/>
      <c r="E546" s="2"/>
    </row>
    <row r="547" spans="1:5" x14ac:dyDescent="0.25">
      <c r="A547" s="2" t="str">
        <f>IF(B547&lt;&gt;"",IF(_xlfn.IFNA(VLOOKUP(B547,OmsControlTable!T:T,1,0),"尚未處理")&lt;&gt;"尚未處理","已處理","尚未處理"),"")</f>
        <v/>
      </c>
      <c r="B547" s="2"/>
      <c r="C547" s="2"/>
      <c r="D547" s="2"/>
      <c r="E547" s="2"/>
    </row>
    <row r="548" spans="1:5" x14ac:dyDescent="0.25">
      <c r="A548" s="2" t="str">
        <f>IF(B548&lt;&gt;"",IF(_xlfn.IFNA(VLOOKUP(B548,OmsControlTable!T:T,1,0),"尚未處理")&lt;&gt;"尚未處理","已處理","尚未處理"),"")</f>
        <v/>
      </c>
      <c r="B548" s="2"/>
      <c r="C548" s="2"/>
      <c r="D548" s="2"/>
      <c r="E548" s="2"/>
    </row>
    <row r="549" spans="1:5" x14ac:dyDescent="0.25">
      <c r="A549" s="2" t="str">
        <f>IF(B549&lt;&gt;"",IF(_xlfn.IFNA(VLOOKUP(B549,OmsControlTable!T:T,1,0),"尚未處理")&lt;&gt;"尚未處理","已處理","尚未處理"),"")</f>
        <v/>
      </c>
      <c r="B549" s="2"/>
      <c r="C549" s="2"/>
      <c r="D549" s="2"/>
      <c r="E549" s="2"/>
    </row>
    <row r="550" spans="1:5" x14ac:dyDescent="0.25">
      <c r="A550" s="2" t="str">
        <f>IF(B550&lt;&gt;"",IF(_xlfn.IFNA(VLOOKUP(B550,OmsControlTable!T:T,1,0),"尚未處理")&lt;&gt;"尚未處理","已處理","尚未處理"),"")</f>
        <v/>
      </c>
      <c r="B550" s="2"/>
      <c r="C550" s="2"/>
      <c r="D550" s="2"/>
      <c r="E550" s="2"/>
    </row>
    <row r="551" spans="1:5" x14ac:dyDescent="0.25">
      <c r="A551" s="2" t="str">
        <f>IF(B551&lt;&gt;"",IF(_xlfn.IFNA(VLOOKUP(B551,OmsControlTable!T:T,1,0),"尚未處理")&lt;&gt;"尚未處理","已處理","尚未處理"),"")</f>
        <v/>
      </c>
      <c r="B551" s="2"/>
      <c r="C551" s="2"/>
      <c r="D551" s="2"/>
      <c r="E551" s="2"/>
    </row>
    <row r="552" spans="1:5" x14ac:dyDescent="0.25">
      <c r="A552" s="2" t="str">
        <f>IF(B552&lt;&gt;"",IF(_xlfn.IFNA(VLOOKUP(B552,OmsControlTable!T:T,1,0),"尚未處理")&lt;&gt;"尚未處理","已處理","尚未處理"),"")</f>
        <v/>
      </c>
      <c r="B552" s="2"/>
      <c r="C552" s="2"/>
      <c r="D552" s="2"/>
      <c r="E552" s="2"/>
    </row>
    <row r="553" spans="1:5" x14ac:dyDescent="0.25">
      <c r="A553" s="2" t="str">
        <f>IF(B553&lt;&gt;"",IF(_xlfn.IFNA(VLOOKUP(B553,OmsControlTable!T:T,1,0),"尚未處理")&lt;&gt;"尚未處理","已處理","尚未處理"),"")</f>
        <v/>
      </c>
      <c r="B553" s="2"/>
      <c r="C553" s="2"/>
      <c r="D553" s="2"/>
      <c r="E553" s="2"/>
    </row>
    <row r="554" spans="1:5" x14ac:dyDescent="0.25">
      <c r="A554" s="2" t="str">
        <f>IF(B554&lt;&gt;"",IF(_xlfn.IFNA(VLOOKUP(B554,OmsControlTable!T:T,1,0),"尚未處理")&lt;&gt;"尚未處理","已處理","尚未處理"),"")</f>
        <v/>
      </c>
      <c r="B554" s="2"/>
      <c r="C554" s="2"/>
      <c r="D554" s="2"/>
      <c r="E554" s="2"/>
    </row>
    <row r="555" spans="1:5" x14ac:dyDescent="0.25">
      <c r="A555" s="2" t="str">
        <f>IF(B555&lt;&gt;"",IF(_xlfn.IFNA(VLOOKUP(B555,OmsControlTable!T:T,1,0),"尚未處理")&lt;&gt;"尚未處理","已處理","尚未處理"),"")</f>
        <v/>
      </c>
      <c r="B555" s="2"/>
      <c r="C555" s="2"/>
      <c r="D555" s="2"/>
      <c r="E555" s="2"/>
    </row>
    <row r="556" spans="1:5" x14ac:dyDescent="0.25">
      <c r="A556" s="2" t="str">
        <f>IF(B556&lt;&gt;"",IF(_xlfn.IFNA(VLOOKUP(B556,OmsControlTable!T:T,1,0),"尚未處理")&lt;&gt;"尚未處理","已處理","尚未處理"),"")</f>
        <v/>
      </c>
      <c r="B556" s="2"/>
      <c r="C556" s="2"/>
      <c r="D556" s="2"/>
      <c r="E556" s="2"/>
    </row>
    <row r="557" spans="1:5" x14ac:dyDescent="0.25">
      <c r="A557" s="2" t="str">
        <f>IF(B557&lt;&gt;"",IF(_xlfn.IFNA(VLOOKUP(B557,OmsControlTable!T:T,1,0),"尚未處理")&lt;&gt;"尚未處理","已處理","尚未處理"),"")</f>
        <v/>
      </c>
      <c r="B557" s="2"/>
      <c r="C557" s="2"/>
      <c r="D557" s="2"/>
      <c r="E557" s="2"/>
    </row>
    <row r="558" spans="1:5" x14ac:dyDescent="0.25">
      <c r="A558" s="2" t="str">
        <f>IF(B558&lt;&gt;"",IF(_xlfn.IFNA(VLOOKUP(B558,OmsControlTable!T:T,1,0),"尚未處理")&lt;&gt;"尚未處理","已處理","尚未處理"),"")</f>
        <v/>
      </c>
      <c r="B558" s="2"/>
      <c r="C558" s="2"/>
      <c r="D558" s="2"/>
      <c r="E558" s="2"/>
    </row>
    <row r="559" spans="1:5" x14ac:dyDescent="0.25">
      <c r="A559" s="2" t="str">
        <f>IF(B559&lt;&gt;"",IF(_xlfn.IFNA(VLOOKUP(B559,OmsControlTable!T:T,1,0),"尚未處理")&lt;&gt;"尚未處理","已處理","尚未處理"),"")</f>
        <v/>
      </c>
      <c r="B559" s="2"/>
      <c r="C559" s="2"/>
      <c r="D559" s="2"/>
      <c r="E559" s="2"/>
    </row>
    <row r="560" spans="1:5" x14ac:dyDescent="0.25">
      <c r="A560" s="2" t="str">
        <f>IF(B560&lt;&gt;"",IF(_xlfn.IFNA(VLOOKUP(B560,OmsControlTable!T:T,1,0),"尚未處理")&lt;&gt;"尚未處理","已處理","尚未處理"),"")</f>
        <v/>
      </c>
      <c r="B560" s="2"/>
      <c r="C560" s="2"/>
      <c r="D560" s="2"/>
      <c r="E560" s="2"/>
    </row>
    <row r="561" spans="1:5" x14ac:dyDescent="0.25">
      <c r="A561" s="2" t="str">
        <f>IF(B561&lt;&gt;"",IF(_xlfn.IFNA(VLOOKUP(B561,OmsControlTable!T:T,1,0),"尚未處理")&lt;&gt;"尚未處理","已處理","尚未處理"),"")</f>
        <v/>
      </c>
      <c r="B561" s="2"/>
      <c r="C561" s="2"/>
      <c r="D561" s="2"/>
      <c r="E561" s="2"/>
    </row>
    <row r="562" spans="1:5" x14ac:dyDescent="0.25">
      <c r="A562" s="2" t="str">
        <f>IF(B562&lt;&gt;"",IF(_xlfn.IFNA(VLOOKUP(B562,OmsControlTable!T:T,1,0),"尚未處理")&lt;&gt;"尚未處理","已處理","尚未處理"),"")</f>
        <v/>
      </c>
      <c r="B562" s="2"/>
      <c r="C562" s="2"/>
      <c r="D562" s="2"/>
      <c r="E562" s="2"/>
    </row>
    <row r="563" spans="1:5" x14ac:dyDescent="0.25">
      <c r="A563" s="2" t="str">
        <f>IF(B563&lt;&gt;"",IF(_xlfn.IFNA(VLOOKUP(B563,OmsControlTable!T:T,1,0),"尚未處理")&lt;&gt;"尚未處理","已處理","尚未處理"),"")</f>
        <v/>
      </c>
      <c r="B563" s="2"/>
      <c r="C563" s="2"/>
      <c r="D563" s="2"/>
      <c r="E563" s="2"/>
    </row>
    <row r="564" spans="1:5" x14ac:dyDescent="0.25">
      <c r="A564" s="2" t="str">
        <f>IF(B564&lt;&gt;"",IF(_xlfn.IFNA(VLOOKUP(B564,OmsControlTable!T:T,1,0),"尚未處理")&lt;&gt;"尚未處理","已處理","尚未處理"),"")</f>
        <v/>
      </c>
      <c r="B564" s="2"/>
      <c r="C564" s="2"/>
      <c r="D564" s="2"/>
      <c r="E564" s="2"/>
    </row>
    <row r="565" spans="1:5" x14ac:dyDescent="0.25">
      <c r="A565" s="2" t="str">
        <f>IF(B565&lt;&gt;"",IF(_xlfn.IFNA(VLOOKUP(B565,OmsControlTable!T:T,1,0),"尚未處理")&lt;&gt;"尚未處理","已處理","尚未處理"),"")</f>
        <v/>
      </c>
      <c r="B565" s="2"/>
      <c r="C565" s="2"/>
      <c r="D565" s="2"/>
      <c r="E565" s="2"/>
    </row>
    <row r="566" spans="1:5" x14ac:dyDescent="0.25">
      <c r="A566" s="2" t="str">
        <f>IF(B566&lt;&gt;"",IF(_xlfn.IFNA(VLOOKUP(B566,OmsControlTable!T:T,1,0),"尚未處理")&lt;&gt;"尚未處理","已處理","尚未處理"),"")</f>
        <v/>
      </c>
      <c r="B566" s="2"/>
      <c r="C566" s="2"/>
      <c r="D566" s="2"/>
      <c r="E566" s="2"/>
    </row>
    <row r="567" spans="1:5" x14ac:dyDescent="0.25">
      <c r="A567" s="2" t="str">
        <f>IF(B567&lt;&gt;"",IF(_xlfn.IFNA(VLOOKUP(B567,OmsControlTable!T:T,1,0),"尚未處理")&lt;&gt;"尚未處理","已處理","尚未處理"),"")</f>
        <v/>
      </c>
      <c r="B567" s="2"/>
      <c r="C567" s="2"/>
      <c r="D567" s="2"/>
      <c r="E567" s="2"/>
    </row>
    <row r="568" spans="1:5" x14ac:dyDescent="0.25">
      <c r="A568" s="2" t="str">
        <f>IF(B568&lt;&gt;"",IF(_xlfn.IFNA(VLOOKUP(B568,OmsControlTable!T:T,1,0),"尚未處理")&lt;&gt;"尚未處理","已處理","尚未處理"),"")</f>
        <v/>
      </c>
      <c r="B568" s="2"/>
      <c r="C568" s="2"/>
      <c r="D568" s="2"/>
      <c r="E568" s="2"/>
    </row>
    <row r="569" spans="1:5" x14ac:dyDescent="0.25">
      <c r="A569" s="2" t="str">
        <f>IF(B569&lt;&gt;"",IF(_xlfn.IFNA(VLOOKUP(B569,OmsControlTable!T:T,1,0),"尚未處理")&lt;&gt;"尚未處理","已處理","尚未處理"),"")</f>
        <v/>
      </c>
      <c r="B569" s="2"/>
      <c r="C569" s="2"/>
      <c r="D569" s="2"/>
      <c r="E569" s="2"/>
    </row>
    <row r="570" spans="1:5" x14ac:dyDescent="0.25">
      <c r="A570" s="2" t="str">
        <f>IF(B570&lt;&gt;"",IF(_xlfn.IFNA(VLOOKUP(B570,OmsControlTable!T:T,1,0),"尚未處理")&lt;&gt;"尚未處理","已處理","尚未處理"),"")</f>
        <v/>
      </c>
      <c r="B570" s="2"/>
      <c r="C570" s="2"/>
      <c r="D570" s="2"/>
      <c r="E570" s="2"/>
    </row>
    <row r="571" spans="1:5" x14ac:dyDescent="0.25">
      <c r="A571" s="2" t="str">
        <f>IF(B571&lt;&gt;"",IF(_xlfn.IFNA(VLOOKUP(B571,OmsControlTable!T:T,1,0),"尚未處理")&lt;&gt;"尚未處理","已處理","尚未處理"),"")</f>
        <v/>
      </c>
      <c r="B571" s="2"/>
      <c r="C571" s="2"/>
      <c r="D571" s="2"/>
      <c r="E571" s="2"/>
    </row>
    <row r="572" spans="1:5" x14ac:dyDescent="0.25">
      <c r="A572" s="2" t="str">
        <f>IF(B572&lt;&gt;"",IF(_xlfn.IFNA(VLOOKUP(B572,OmsControlTable!T:T,1,0),"尚未處理")&lt;&gt;"尚未處理","已處理","尚未處理"),"")</f>
        <v/>
      </c>
      <c r="B572" s="2"/>
      <c r="C572" s="2"/>
      <c r="D572" s="2"/>
      <c r="E572" s="2"/>
    </row>
    <row r="573" spans="1:5" x14ac:dyDescent="0.25">
      <c r="A573" s="2" t="str">
        <f>IF(B573&lt;&gt;"",IF(_xlfn.IFNA(VLOOKUP(B573,OmsControlTable!T:T,1,0),"尚未處理")&lt;&gt;"尚未處理","已處理","尚未處理"),"")</f>
        <v/>
      </c>
      <c r="B573" s="2"/>
      <c r="C573" s="2"/>
      <c r="D573" s="2"/>
      <c r="E573" s="2"/>
    </row>
    <row r="574" spans="1:5" x14ac:dyDescent="0.25">
      <c r="A574" s="2" t="str">
        <f>IF(B574&lt;&gt;"",IF(_xlfn.IFNA(VLOOKUP(B574,OmsControlTable!T:T,1,0),"尚未處理")&lt;&gt;"尚未處理","已處理","尚未處理"),"")</f>
        <v/>
      </c>
      <c r="B574" s="2"/>
      <c r="C574" s="2"/>
      <c r="D574" s="2"/>
      <c r="E574" s="2"/>
    </row>
    <row r="575" spans="1:5" x14ac:dyDescent="0.25">
      <c r="A575" s="2" t="str">
        <f>IF(B575&lt;&gt;"",IF(_xlfn.IFNA(VLOOKUP(B575,OmsControlTable!T:T,1,0),"尚未處理")&lt;&gt;"尚未處理","已處理","尚未處理"),"")</f>
        <v/>
      </c>
      <c r="B575" s="2"/>
      <c r="C575" s="2"/>
      <c r="D575" s="2"/>
      <c r="E575" s="2"/>
    </row>
    <row r="576" spans="1:5" x14ac:dyDescent="0.25">
      <c r="A576" s="2" t="str">
        <f>IF(B576&lt;&gt;"",IF(_xlfn.IFNA(VLOOKUP(B576,OmsControlTable!T:T,1,0),"尚未處理")&lt;&gt;"尚未處理","已處理","尚未處理"),"")</f>
        <v/>
      </c>
      <c r="B576" s="2"/>
      <c r="C576" s="2"/>
      <c r="D576" s="2"/>
      <c r="E576" s="2"/>
    </row>
    <row r="577" spans="1:5" x14ac:dyDescent="0.25">
      <c r="A577" s="2" t="str">
        <f>IF(B577&lt;&gt;"",IF(_xlfn.IFNA(VLOOKUP(B577,OmsControlTable!T:T,1,0),"尚未處理")&lt;&gt;"尚未處理","已處理","尚未處理"),"")</f>
        <v/>
      </c>
      <c r="B577" s="2"/>
      <c r="C577" s="2"/>
      <c r="D577" s="2"/>
      <c r="E577" s="2"/>
    </row>
    <row r="578" spans="1:5" x14ac:dyDescent="0.25">
      <c r="A578" s="2" t="str">
        <f>IF(B578&lt;&gt;"",IF(_xlfn.IFNA(VLOOKUP(B578,OmsControlTable!T:T,1,0),"尚未處理")&lt;&gt;"尚未處理","已處理","尚未處理"),"")</f>
        <v/>
      </c>
      <c r="B578" s="2"/>
      <c r="C578" s="2"/>
      <c r="D578" s="2"/>
      <c r="E578" s="2"/>
    </row>
    <row r="579" spans="1:5" x14ac:dyDescent="0.25">
      <c r="A579" s="2" t="str">
        <f>IF(B579&lt;&gt;"",IF(_xlfn.IFNA(VLOOKUP(B579,OmsControlTable!T:T,1,0),"尚未處理")&lt;&gt;"尚未處理","已處理","尚未處理"),"")</f>
        <v/>
      </c>
      <c r="B579" s="2"/>
      <c r="C579" s="2"/>
      <c r="D579" s="2"/>
      <c r="E579" s="2"/>
    </row>
    <row r="580" spans="1:5" x14ac:dyDescent="0.25">
      <c r="A580" s="2" t="str">
        <f>IF(B580&lt;&gt;"",IF(_xlfn.IFNA(VLOOKUP(B580,OmsControlTable!T:T,1,0),"尚未處理")&lt;&gt;"尚未處理","已處理","尚未處理"),"")</f>
        <v/>
      </c>
      <c r="B580" s="2"/>
      <c r="C580" s="2"/>
      <c r="D580" s="2"/>
      <c r="E580" s="2"/>
    </row>
    <row r="581" spans="1:5" x14ac:dyDescent="0.25">
      <c r="A581" s="2" t="str">
        <f>IF(B581&lt;&gt;"",IF(_xlfn.IFNA(VLOOKUP(B581,OmsControlTable!T:T,1,0),"尚未處理")&lt;&gt;"尚未處理","已處理","尚未處理"),"")</f>
        <v/>
      </c>
      <c r="B581" s="2"/>
      <c r="C581" s="2"/>
      <c r="D581" s="2"/>
      <c r="E581" s="2"/>
    </row>
    <row r="582" spans="1:5" x14ac:dyDescent="0.25">
      <c r="A582" s="2" t="str">
        <f>IF(B582&lt;&gt;"",IF(_xlfn.IFNA(VLOOKUP(B582,OmsControlTable!T:T,1,0),"尚未處理")&lt;&gt;"尚未處理","已處理","尚未處理"),"")</f>
        <v/>
      </c>
      <c r="B582" s="2"/>
      <c r="C582" s="2"/>
      <c r="D582" s="2"/>
      <c r="E582" s="2"/>
    </row>
    <row r="583" spans="1:5" x14ac:dyDescent="0.25">
      <c r="A583" s="2" t="str">
        <f>IF(B583&lt;&gt;"",IF(_xlfn.IFNA(VLOOKUP(B583,OmsControlTable!T:T,1,0),"尚未處理")&lt;&gt;"尚未處理","已處理","尚未處理"),"")</f>
        <v/>
      </c>
      <c r="B583" s="2"/>
      <c r="C583" s="2"/>
      <c r="D583" s="2"/>
      <c r="E583" s="2"/>
    </row>
    <row r="584" spans="1:5" x14ac:dyDescent="0.25">
      <c r="A584" s="2" t="str">
        <f>IF(B584&lt;&gt;"",IF(_xlfn.IFNA(VLOOKUP(B584,OmsControlTable!T:T,1,0),"尚未處理")&lt;&gt;"尚未處理","已處理","尚未處理"),"")</f>
        <v/>
      </c>
      <c r="B584" s="2"/>
      <c r="C584" s="2"/>
      <c r="D584" s="2"/>
      <c r="E584" s="2"/>
    </row>
    <row r="585" spans="1:5" x14ac:dyDescent="0.25">
      <c r="A585" s="2" t="str">
        <f>IF(B585&lt;&gt;"",IF(_xlfn.IFNA(VLOOKUP(B585,OmsControlTable!T:T,1,0),"尚未處理")&lt;&gt;"尚未處理","已處理","尚未處理"),"")</f>
        <v/>
      </c>
      <c r="B585" s="2"/>
      <c r="C585" s="2"/>
      <c r="D585" s="2"/>
      <c r="E585" s="2"/>
    </row>
    <row r="586" spans="1:5" x14ac:dyDescent="0.25">
      <c r="A586" s="2" t="str">
        <f>IF(B586&lt;&gt;"",IF(_xlfn.IFNA(VLOOKUP(B586,OmsControlTable!T:T,1,0),"尚未處理")&lt;&gt;"尚未處理","已處理","尚未處理"),"")</f>
        <v/>
      </c>
      <c r="B586" s="2"/>
      <c r="C586" s="2"/>
      <c r="D586" s="2"/>
      <c r="E586" s="2"/>
    </row>
    <row r="587" spans="1:5" x14ac:dyDescent="0.25">
      <c r="A587" s="2" t="str">
        <f>IF(B587&lt;&gt;"",IF(_xlfn.IFNA(VLOOKUP(B587,OmsControlTable!T:T,1,0),"尚未處理")&lt;&gt;"尚未處理","已處理","尚未處理"),"")</f>
        <v/>
      </c>
      <c r="B587" s="2"/>
      <c r="C587" s="2"/>
      <c r="D587" s="2"/>
      <c r="E587" s="2"/>
    </row>
    <row r="588" spans="1:5" x14ac:dyDescent="0.25">
      <c r="A588" s="2" t="str">
        <f>IF(B588&lt;&gt;"",IF(_xlfn.IFNA(VLOOKUP(B588,OmsControlTable!T:T,1,0),"尚未處理")&lt;&gt;"尚未處理","已處理","尚未處理"),"")</f>
        <v/>
      </c>
      <c r="B588" s="2"/>
      <c r="C588" s="2"/>
      <c r="D588" s="2"/>
      <c r="E588" s="2"/>
    </row>
    <row r="589" spans="1:5" x14ac:dyDescent="0.25">
      <c r="A589" s="2" t="str">
        <f>IF(B589&lt;&gt;"",IF(_xlfn.IFNA(VLOOKUP(B589,OmsControlTable!T:T,1,0),"尚未處理")&lt;&gt;"尚未處理","已處理","尚未處理"),"")</f>
        <v/>
      </c>
      <c r="B589" s="2"/>
      <c r="C589" s="2"/>
      <c r="D589" s="2"/>
      <c r="E589" s="2"/>
    </row>
    <row r="590" spans="1:5" x14ac:dyDescent="0.25">
      <c r="A590" s="2" t="str">
        <f>IF(B590&lt;&gt;"",IF(_xlfn.IFNA(VLOOKUP(B590,OmsControlTable!T:T,1,0),"尚未處理")&lt;&gt;"尚未處理","已處理","尚未處理"),"")</f>
        <v/>
      </c>
      <c r="B590" s="2"/>
      <c r="C590" s="2"/>
      <c r="D590" s="2"/>
      <c r="E590" s="2"/>
    </row>
    <row r="591" spans="1:5" x14ac:dyDescent="0.25">
      <c r="A591" s="2" t="str">
        <f>IF(B591&lt;&gt;"",IF(_xlfn.IFNA(VLOOKUP(B591,OmsControlTable!T:T,1,0),"尚未處理")&lt;&gt;"尚未處理","已處理","尚未處理"),"")</f>
        <v/>
      </c>
      <c r="B591" s="2"/>
      <c r="C591" s="2"/>
      <c r="D591" s="2"/>
      <c r="E591" s="2"/>
    </row>
    <row r="592" spans="1:5" x14ac:dyDescent="0.25">
      <c r="A592" s="2" t="str">
        <f>IF(B592&lt;&gt;"",IF(_xlfn.IFNA(VLOOKUP(B592,OmsControlTable!T:T,1,0),"尚未處理")&lt;&gt;"尚未處理","已處理","尚未處理"),"")</f>
        <v/>
      </c>
      <c r="B592" s="2"/>
      <c r="C592" s="2"/>
      <c r="D592" s="2"/>
      <c r="E592" s="2"/>
    </row>
    <row r="593" spans="1:5" x14ac:dyDescent="0.25">
      <c r="A593" s="2" t="str">
        <f>IF(B593&lt;&gt;"",IF(_xlfn.IFNA(VLOOKUP(B593,OmsControlTable!T:T,1,0),"尚未處理")&lt;&gt;"尚未處理","已處理","尚未處理"),"")</f>
        <v/>
      </c>
      <c r="B593" s="2"/>
      <c r="C593" s="2"/>
      <c r="D593" s="2"/>
      <c r="E593" s="2"/>
    </row>
    <row r="594" spans="1:5" x14ac:dyDescent="0.25">
      <c r="A594" s="2" t="str">
        <f>IF(B594&lt;&gt;"",IF(_xlfn.IFNA(VLOOKUP(B594,OmsControlTable!T:T,1,0),"尚未處理")&lt;&gt;"尚未處理","已處理","尚未處理"),"")</f>
        <v/>
      </c>
      <c r="B594" s="2"/>
      <c r="C594" s="2"/>
      <c r="D594" s="2"/>
      <c r="E594" s="2"/>
    </row>
    <row r="595" spans="1:5" x14ac:dyDescent="0.25">
      <c r="A595" s="2" t="str">
        <f>IF(B595&lt;&gt;"",IF(_xlfn.IFNA(VLOOKUP(B595,OmsControlTable!T:T,1,0),"尚未處理")&lt;&gt;"尚未處理","已處理","尚未處理"),"")</f>
        <v/>
      </c>
      <c r="B595" s="2"/>
      <c r="C595" s="2"/>
      <c r="D595" s="2"/>
      <c r="E595" s="2"/>
    </row>
    <row r="596" spans="1:5" x14ac:dyDescent="0.25">
      <c r="A596" s="2" t="str">
        <f>IF(B596&lt;&gt;"",IF(_xlfn.IFNA(VLOOKUP(B596,OmsControlTable!T:T,1,0),"尚未處理")&lt;&gt;"尚未處理","已處理","尚未處理"),"")</f>
        <v/>
      </c>
      <c r="B596" s="2"/>
      <c r="C596" s="2"/>
      <c r="D596" s="2"/>
      <c r="E596" s="2"/>
    </row>
    <row r="597" spans="1:5" x14ac:dyDescent="0.25">
      <c r="A597" s="2" t="str">
        <f>IF(B597&lt;&gt;"",IF(_xlfn.IFNA(VLOOKUP(B597,OmsControlTable!T:T,1,0),"尚未處理")&lt;&gt;"尚未處理","已處理","尚未處理"),"")</f>
        <v/>
      </c>
      <c r="B597" s="2"/>
      <c r="C597" s="2"/>
      <c r="D597" s="2"/>
      <c r="E597" s="2"/>
    </row>
    <row r="598" spans="1:5" x14ac:dyDescent="0.25">
      <c r="A598" s="2" t="str">
        <f>IF(B598&lt;&gt;"",IF(_xlfn.IFNA(VLOOKUP(B598,OmsControlTable!T:T,1,0),"尚未處理")&lt;&gt;"尚未處理","已處理","尚未處理"),"")</f>
        <v/>
      </c>
      <c r="B598" s="2"/>
      <c r="C598" s="2"/>
      <c r="D598" s="2"/>
      <c r="E598" s="2"/>
    </row>
    <row r="599" spans="1:5" x14ac:dyDescent="0.25">
      <c r="A599" s="2" t="str">
        <f>IF(B599&lt;&gt;"",IF(_xlfn.IFNA(VLOOKUP(B599,OmsControlTable!T:T,1,0),"尚未處理")&lt;&gt;"尚未處理","已處理","尚未處理"),"")</f>
        <v/>
      </c>
      <c r="B599" s="2"/>
      <c r="C599" s="2"/>
      <c r="D599" s="2"/>
      <c r="E599" s="2"/>
    </row>
    <row r="600" spans="1:5" x14ac:dyDescent="0.25">
      <c r="A600" s="2" t="str">
        <f>IF(B600&lt;&gt;"",IF(_xlfn.IFNA(VLOOKUP(B600,OmsControlTable!T:T,1,0),"尚未處理")&lt;&gt;"尚未處理","已處理","尚未處理"),"")</f>
        <v/>
      </c>
      <c r="B600" s="2"/>
      <c r="C600" s="2"/>
      <c r="D600" s="2"/>
      <c r="E600" s="2"/>
    </row>
    <row r="601" spans="1:5" x14ac:dyDescent="0.25">
      <c r="A601" s="2" t="str">
        <f>IF(B601&lt;&gt;"",IF(_xlfn.IFNA(VLOOKUP(B601,OmsControlTable!T:T,1,0),"尚未處理")&lt;&gt;"尚未處理","已處理","尚未處理"),"")</f>
        <v/>
      </c>
      <c r="B601" s="2"/>
      <c r="C601" s="2"/>
      <c r="D601" s="2"/>
      <c r="E601" s="2"/>
    </row>
    <row r="602" spans="1:5" x14ac:dyDescent="0.25">
      <c r="A602" s="2" t="str">
        <f>IF(B602&lt;&gt;"",IF(_xlfn.IFNA(VLOOKUP(B602,OmsControlTable!T:T,1,0),"尚未處理")&lt;&gt;"尚未處理","已處理","尚未處理"),"")</f>
        <v/>
      </c>
      <c r="B602" s="2"/>
      <c r="C602" s="2"/>
      <c r="D602" s="2"/>
      <c r="E602" s="2"/>
    </row>
    <row r="603" spans="1:5" x14ac:dyDescent="0.25">
      <c r="A603" s="2" t="str">
        <f>IF(B603&lt;&gt;"",IF(_xlfn.IFNA(VLOOKUP(B603,OmsControlTable!T:T,1,0),"尚未處理")&lt;&gt;"尚未處理","已處理","尚未處理"),"")</f>
        <v/>
      </c>
      <c r="B603" s="2"/>
      <c r="C603" s="2"/>
      <c r="D603" s="2"/>
      <c r="E603" s="2"/>
    </row>
    <row r="604" spans="1:5" x14ac:dyDescent="0.25">
      <c r="A604" s="2" t="str">
        <f>IF(B604&lt;&gt;"",IF(_xlfn.IFNA(VLOOKUP(B604,OmsControlTable!T:T,1,0),"尚未處理")&lt;&gt;"尚未處理","已處理","尚未處理"),"")</f>
        <v/>
      </c>
      <c r="B604" s="2"/>
      <c r="C604" s="2"/>
      <c r="D604" s="2"/>
      <c r="E604" s="2"/>
    </row>
    <row r="605" spans="1:5" x14ac:dyDescent="0.25">
      <c r="A605" s="2" t="str">
        <f>IF(B605&lt;&gt;"",IF(_xlfn.IFNA(VLOOKUP(B605,OmsControlTable!T:T,1,0),"尚未處理")&lt;&gt;"尚未處理","已處理","尚未處理"),"")</f>
        <v/>
      </c>
      <c r="B605" s="2"/>
      <c r="C605" s="2"/>
      <c r="D605" s="2"/>
      <c r="E605" s="2"/>
    </row>
    <row r="606" spans="1:5" x14ac:dyDescent="0.25">
      <c r="A606" s="2" t="str">
        <f>IF(B606&lt;&gt;"",IF(_xlfn.IFNA(VLOOKUP(B606,OmsControlTable!T:T,1,0),"尚未處理")&lt;&gt;"尚未處理","已處理","尚未處理"),"")</f>
        <v/>
      </c>
      <c r="B606" s="2"/>
      <c r="C606" s="2"/>
      <c r="D606" s="2"/>
      <c r="E606" s="2"/>
    </row>
    <row r="607" spans="1:5" x14ac:dyDescent="0.25">
      <c r="A607" s="2" t="str">
        <f>IF(B607&lt;&gt;"",IF(_xlfn.IFNA(VLOOKUP(B607,OmsControlTable!T:T,1,0),"尚未處理")&lt;&gt;"尚未處理","已處理","尚未處理"),"")</f>
        <v/>
      </c>
      <c r="B607" s="2"/>
      <c r="C607" s="2"/>
      <c r="D607" s="2"/>
      <c r="E607" s="2"/>
    </row>
    <row r="608" spans="1:5" x14ac:dyDescent="0.25">
      <c r="A608" s="2" t="str">
        <f>IF(B608&lt;&gt;"",IF(_xlfn.IFNA(VLOOKUP(B608,OmsControlTable!T:T,1,0),"尚未處理")&lt;&gt;"尚未處理","已處理","尚未處理"),"")</f>
        <v/>
      </c>
      <c r="B608" s="2"/>
      <c r="C608" s="2"/>
      <c r="D608" s="2"/>
      <c r="E608" s="2"/>
    </row>
    <row r="609" spans="1:5" x14ac:dyDescent="0.25">
      <c r="A609" s="2" t="str">
        <f>IF(B609&lt;&gt;"",IF(_xlfn.IFNA(VLOOKUP(B609,OmsControlTable!T:T,1,0),"尚未處理")&lt;&gt;"尚未處理","已處理","尚未處理"),"")</f>
        <v/>
      </c>
      <c r="B609" s="2"/>
      <c r="C609" s="2"/>
      <c r="D609" s="2"/>
      <c r="E609" s="2"/>
    </row>
    <row r="610" spans="1:5" x14ac:dyDescent="0.25">
      <c r="A610" s="2" t="str">
        <f>IF(B610&lt;&gt;"",IF(_xlfn.IFNA(VLOOKUP(B610,OmsControlTable!T:T,1,0),"尚未處理")&lt;&gt;"尚未處理","已處理","尚未處理"),"")</f>
        <v/>
      </c>
      <c r="B610" s="2"/>
      <c r="C610" s="2"/>
      <c r="D610" s="2"/>
      <c r="E610" s="2"/>
    </row>
    <row r="611" spans="1:5" x14ac:dyDescent="0.25">
      <c r="A611" s="2" t="str">
        <f>IF(B611&lt;&gt;"",IF(_xlfn.IFNA(VLOOKUP(B611,OmsControlTable!T:T,1,0),"尚未處理")&lt;&gt;"尚未處理","已處理","尚未處理"),"")</f>
        <v/>
      </c>
      <c r="B611" s="2"/>
      <c r="C611" s="2"/>
      <c r="D611" s="2"/>
      <c r="E611" s="2"/>
    </row>
    <row r="612" spans="1:5" x14ac:dyDescent="0.25">
      <c r="A612" s="2" t="str">
        <f>IF(B612&lt;&gt;"",IF(_xlfn.IFNA(VLOOKUP(B612,OmsControlTable!T:T,1,0),"尚未處理")&lt;&gt;"尚未處理","已處理","尚未處理"),"")</f>
        <v/>
      </c>
      <c r="B612" s="2"/>
      <c r="C612" s="2"/>
      <c r="D612" s="2"/>
      <c r="E612" s="2"/>
    </row>
    <row r="613" spans="1:5" x14ac:dyDescent="0.25">
      <c r="A613" s="2" t="str">
        <f>IF(B613&lt;&gt;"",IF(_xlfn.IFNA(VLOOKUP(B613,OmsControlTable!T:T,1,0),"尚未處理")&lt;&gt;"尚未處理","已處理","尚未處理"),"")</f>
        <v/>
      </c>
      <c r="B613" s="2"/>
      <c r="C613" s="2"/>
      <c r="D613" s="2"/>
      <c r="E613" s="2"/>
    </row>
    <row r="614" spans="1:5" x14ac:dyDescent="0.25">
      <c r="A614" s="2" t="str">
        <f>IF(B614&lt;&gt;"",IF(_xlfn.IFNA(VLOOKUP(B614,OmsControlTable!T:T,1,0),"尚未處理")&lt;&gt;"尚未處理","已處理","尚未處理"),"")</f>
        <v/>
      </c>
      <c r="B614" s="2"/>
      <c r="C614" s="2"/>
      <c r="D614" s="2"/>
      <c r="E614" s="2"/>
    </row>
    <row r="615" spans="1:5" x14ac:dyDescent="0.25">
      <c r="A615" s="2" t="str">
        <f>IF(B615&lt;&gt;"",IF(_xlfn.IFNA(VLOOKUP(B615,OmsControlTable!T:T,1,0),"尚未處理")&lt;&gt;"尚未處理","已處理","尚未處理"),"")</f>
        <v/>
      </c>
      <c r="B615" s="2"/>
      <c r="C615" s="2"/>
      <c r="D615" s="2"/>
      <c r="E615" s="2"/>
    </row>
    <row r="616" spans="1:5" x14ac:dyDescent="0.25">
      <c r="A616" s="2" t="str">
        <f>IF(B616&lt;&gt;"",IF(_xlfn.IFNA(VLOOKUP(B616,OmsControlTable!T:T,1,0),"尚未處理")&lt;&gt;"尚未處理","已處理","尚未處理"),"")</f>
        <v/>
      </c>
      <c r="B616" s="2"/>
      <c r="C616" s="2"/>
      <c r="D616" s="2"/>
      <c r="E616" s="2"/>
    </row>
    <row r="617" spans="1:5" x14ac:dyDescent="0.25">
      <c r="A617" s="2" t="str">
        <f>IF(B617&lt;&gt;"",IF(_xlfn.IFNA(VLOOKUP(B617,OmsControlTable!T:T,1,0),"尚未處理")&lt;&gt;"尚未處理","已處理","尚未處理"),"")</f>
        <v/>
      </c>
      <c r="B617" s="2"/>
      <c r="C617" s="2"/>
      <c r="D617" s="2"/>
      <c r="E617" s="2"/>
    </row>
    <row r="618" spans="1:5" x14ac:dyDescent="0.25">
      <c r="A618" s="2" t="str">
        <f>IF(B618&lt;&gt;"",IF(_xlfn.IFNA(VLOOKUP(B618,OmsControlTable!T:T,1,0),"尚未處理")&lt;&gt;"尚未處理","已處理","尚未處理"),"")</f>
        <v/>
      </c>
      <c r="B618" s="2"/>
      <c r="C618" s="2"/>
      <c r="D618" s="2"/>
      <c r="E618" s="2"/>
    </row>
    <row r="619" spans="1:5" x14ac:dyDescent="0.25">
      <c r="A619" s="2" t="str">
        <f>IF(B619&lt;&gt;"",IF(_xlfn.IFNA(VLOOKUP(B619,OmsControlTable!T:T,1,0),"尚未處理")&lt;&gt;"尚未處理","已處理","尚未處理"),"")</f>
        <v/>
      </c>
      <c r="B619" s="2"/>
      <c r="C619" s="2"/>
      <c r="D619" s="2"/>
      <c r="E619" s="2"/>
    </row>
    <row r="620" spans="1:5" x14ac:dyDescent="0.25">
      <c r="A620" s="2" t="str">
        <f>IF(B620&lt;&gt;"",IF(_xlfn.IFNA(VLOOKUP(B620,OmsControlTable!T:T,1,0),"尚未處理")&lt;&gt;"尚未處理","已處理","尚未處理"),"")</f>
        <v/>
      </c>
      <c r="B620" s="2"/>
      <c r="C620" s="2"/>
      <c r="D620" s="2"/>
      <c r="E620" s="2"/>
    </row>
    <row r="621" spans="1:5" x14ac:dyDescent="0.25">
      <c r="A621" s="2" t="str">
        <f>IF(B621&lt;&gt;"",IF(_xlfn.IFNA(VLOOKUP(B621,OmsControlTable!T:T,1,0),"尚未處理")&lt;&gt;"尚未處理","已處理","尚未處理"),"")</f>
        <v/>
      </c>
      <c r="B621" s="2"/>
      <c r="C621" s="2"/>
      <c r="D621" s="2"/>
      <c r="E621" s="2"/>
    </row>
    <row r="622" spans="1:5" x14ac:dyDescent="0.25">
      <c r="A622" s="2" t="str">
        <f>IF(B622&lt;&gt;"",IF(_xlfn.IFNA(VLOOKUP(B622,OmsControlTable!T:T,1,0),"尚未處理")&lt;&gt;"尚未處理","已處理","尚未處理"),"")</f>
        <v/>
      </c>
      <c r="B622" s="2"/>
      <c r="C622" s="2"/>
      <c r="D622" s="2"/>
      <c r="E622" s="2"/>
    </row>
    <row r="623" spans="1:5" x14ac:dyDescent="0.25">
      <c r="A623" s="2" t="str">
        <f>IF(B623&lt;&gt;"",IF(_xlfn.IFNA(VLOOKUP(B623,OmsControlTable!T:T,1,0),"尚未處理")&lt;&gt;"尚未處理","已處理","尚未處理"),"")</f>
        <v/>
      </c>
      <c r="B623" s="2"/>
      <c r="C623" s="2"/>
      <c r="D623" s="2"/>
      <c r="E623" s="2"/>
    </row>
    <row r="624" spans="1:5" x14ac:dyDescent="0.25">
      <c r="A624" s="2" t="str">
        <f>IF(B624&lt;&gt;"",IF(_xlfn.IFNA(VLOOKUP(B624,OmsControlTable!T:T,1,0),"尚未處理")&lt;&gt;"尚未處理","已處理","尚未處理"),"")</f>
        <v/>
      </c>
      <c r="B624" s="2"/>
      <c r="C624" s="2"/>
      <c r="D624" s="2"/>
      <c r="E624" s="2"/>
    </row>
    <row r="625" spans="1:5" x14ac:dyDescent="0.25">
      <c r="A625" s="2" t="str">
        <f>IF(B625&lt;&gt;"",IF(_xlfn.IFNA(VLOOKUP(B625,OmsControlTable!T:T,1,0),"尚未處理")&lt;&gt;"尚未處理","已處理","尚未處理"),"")</f>
        <v/>
      </c>
      <c r="B625" s="2"/>
      <c r="C625" s="2"/>
      <c r="D625" s="2"/>
      <c r="E625" s="2"/>
    </row>
    <row r="626" spans="1:5" x14ac:dyDescent="0.25">
      <c r="A626" s="2" t="str">
        <f>IF(B626&lt;&gt;"",IF(_xlfn.IFNA(VLOOKUP(B626,OmsControlTable!T:T,1,0),"尚未處理")&lt;&gt;"尚未處理","已處理","尚未處理"),"")</f>
        <v/>
      </c>
      <c r="B626" s="2"/>
      <c r="C626" s="2"/>
      <c r="D626" s="2"/>
      <c r="E626" s="2"/>
    </row>
    <row r="627" spans="1:5" x14ac:dyDescent="0.25">
      <c r="A627" s="2" t="str">
        <f>IF(B627&lt;&gt;"",IF(_xlfn.IFNA(VLOOKUP(B627,OmsControlTable!T:T,1,0),"尚未處理")&lt;&gt;"尚未處理","已處理","尚未處理"),"")</f>
        <v/>
      </c>
      <c r="B627" s="2"/>
      <c r="C627" s="2"/>
      <c r="D627" s="2"/>
      <c r="E627" s="2"/>
    </row>
    <row r="628" spans="1:5" x14ac:dyDescent="0.25">
      <c r="A628" s="2" t="str">
        <f>IF(B628&lt;&gt;"",IF(_xlfn.IFNA(VLOOKUP(B628,OmsControlTable!T:T,1,0),"尚未處理")&lt;&gt;"尚未處理","已處理","尚未處理"),"")</f>
        <v/>
      </c>
      <c r="B628" s="2"/>
      <c r="C628" s="2"/>
      <c r="D628" s="2"/>
      <c r="E628" s="2"/>
    </row>
    <row r="629" spans="1:5" x14ac:dyDescent="0.25">
      <c r="A629" s="2" t="str">
        <f>IF(B629&lt;&gt;"",IF(_xlfn.IFNA(VLOOKUP(B629,OmsControlTable!T:T,1,0),"尚未處理")&lt;&gt;"尚未處理","已處理","尚未處理"),"")</f>
        <v/>
      </c>
      <c r="B629" s="2"/>
      <c r="C629" s="2"/>
      <c r="D629" s="2"/>
      <c r="E629" s="2"/>
    </row>
    <row r="630" spans="1:5" x14ac:dyDescent="0.25">
      <c r="A630" s="2" t="str">
        <f>IF(B630&lt;&gt;"",IF(_xlfn.IFNA(VLOOKUP(B630,OmsControlTable!T:T,1,0),"尚未處理")&lt;&gt;"尚未處理","已處理","尚未處理"),"")</f>
        <v/>
      </c>
      <c r="B630" s="2"/>
      <c r="C630" s="2"/>
      <c r="D630" s="2"/>
      <c r="E630" s="2"/>
    </row>
    <row r="631" spans="1:5" x14ac:dyDescent="0.25">
      <c r="A631" s="2" t="str">
        <f>IF(B631&lt;&gt;"",IF(_xlfn.IFNA(VLOOKUP(B631,OmsControlTable!T:T,1,0),"尚未處理")&lt;&gt;"尚未處理","已處理","尚未處理"),"")</f>
        <v/>
      </c>
      <c r="B631" s="2"/>
      <c r="C631" s="2"/>
      <c r="D631" s="2"/>
      <c r="E631" s="2"/>
    </row>
    <row r="632" spans="1:5" x14ac:dyDescent="0.25">
      <c r="A632" s="2" t="str">
        <f>IF(B632&lt;&gt;"",IF(_xlfn.IFNA(VLOOKUP(B632,OmsControlTable!T:T,1,0),"尚未處理")&lt;&gt;"尚未處理","已處理","尚未處理"),"")</f>
        <v/>
      </c>
      <c r="B632" s="2"/>
      <c r="C632" s="2"/>
      <c r="D632" s="2"/>
      <c r="E632" s="2"/>
    </row>
    <row r="633" spans="1:5" x14ac:dyDescent="0.25">
      <c r="A633" s="2" t="str">
        <f>IF(B633&lt;&gt;"",IF(_xlfn.IFNA(VLOOKUP(B633,OmsControlTable!T:T,1,0),"尚未處理")&lt;&gt;"尚未處理","已處理","尚未處理"),"")</f>
        <v/>
      </c>
      <c r="B633" s="2"/>
      <c r="C633" s="2"/>
      <c r="D633" s="2"/>
      <c r="E633" s="2"/>
    </row>
    <row r="634" spans="1:5" x14ac:dyDescent="0.25">
      <c r="A634" s="2" t="str">
        <f>IF(B634&lt;&gt;"",IF(_xlfn.IFNA(VLOOKUP(B634,OmsControlTable!T:T,1,0),"尚未處理")&lt;&gt;"尚未處理","已處理","尚未處理"),"")</f>
        <v/>
      </c>
      <c r="B634" s="2"/>
      <c r="C634" s="2"/>
      <c r="D634" s="2"/>
      <c r="E634" s="2"/>
    </row>
    <row r="635" spans="1:5" x14ac:dyDescent="0.25">
      <c r="A635" s="2" t="str">
        <f>IF(B635&lt;&gt;"",IF(_xlfn.IFNA(VLOOKUP(B635,OmsControlTable!T:T,1,0),"尚未處理")&lt;&gt;"尚未處理","已處理","尚未處理"),"")</f>
        <v/>
      </c>
      <c r="B635" s="2"/>
      <c r="C635" s="2"/>
      <c r="D635" s="2"/>
      <c r="E635" s="2"/>
    </row>
    <row r="636" spans="1:5" x14ac:dyDescent="0.25">
      <c r="A636" s="2" t="str">
        <f>IF(B636&lt;&gt;"",IF(_xlfn.IFNA(VLOOKUP(B636,OmsControlTable!T:T,1,0),"尚未處理")&lt;&gt;"尚未處理","已處理","尚未處理"),"")</f>
        <v/>
      </c>
      <c r="B636" s="2"/>
      <c r="C636" s="2"/>
      <c r="D636" s="2"/>
      <c r="E636" s="2"/>
    </row>
    <row r="637" spans="1:5" x14ac:dyDescent="0.25">
      <c r="A637" s="2" t="str">
        <f>IF(B637&lt;&gt;"",IF(_xlfn.IFNA(VLOOKUP(B637,OmsControlTable!T:T,1,0),"尚未處理")&lt;&gt;"尚未處理","已處理","尚未處理"),"")</f>
        <v/>
      </c>
      <c r="B637" s="2"/>
      <c r="C637" s="2"/>
      <c r="D637" s="2"/>
      <c r="E637" s="2"/>
    </row>
    <row r="638" spans="1:5" x14ac:dyDescent="0.25">
      <c r="A638" s="2" t="str">
        <f>IF(B638&lt;&gt;"",IF(_xlfn.IFNA(VLOOKUP(B638,OmsControlTable!T:T,1,0),"尚未處理")&lt;&gt;"尚未處理","已處理","尚未處理"),"")</f>
        <v/>
      </c>
      <c r="B638" s="2"/>
      <c r="C638" s="2"/>
      <c r="D638" s="2"/>
      <c r="E638" s="2"/>
    </row>
    <row r="639" spans="1:5" x14ac:dyDescent="0.25">
      <c r="A639" s="2" t="str">
        <f>IF(B639&lt;&gt;"",IF(_xlfn.IFNA(VLOOKUP(B639,OmsControlTable!T:T,1,0),"尚未處理")&lt;&gt;"尚未處理","已處理","尚未處理"),"")</f>
        <v/>
      </c>
      <c r="B639" s="2"/>
      <c r="C639" s="2"/>
      <c r="D639" s="2"/>
      <c r="E639" s="2"/>
    </row>
    <row r="640" spans="1:5" x14ac:dyDescent="0.25">
      <c r="A640" s="2" t="str">
        <f>IF(B640&lt;&gt;"",IF(_xlfn.IFNA(VLOOKUP(B640,OmsControlTable!T:T,1,0),"尚未處理")&lt;&gt;"尚未處理","已處理","尚未處理"),"")</f>
        <v/>
      </c>
      <c r="B640" s="2"/>
      <c r="C640" s="2"/>
      <c r="D640" s="2"/>
      <c r="E640" s="2"/>
    </row>
    <row r="641" spans="1:5" x14ac:dyDescent="0.25">
      <c r="A641" s="2" t="str">
        <f>IF(B641&lt;&gt;"",IF(_xlfn.IFNA(VLOOKUP(B641,OmsControlTable!T:T,1,0),"尚未處理")&lt;&gt;"尚未處理","已處理","尚未處理"),"")</f>
        <v/>
      </c>
      <c r="B641" s="2"/>
      <c r="C641" s="2"/>
      <c r="D641" s="2"/>
      <c r="E641" s="2"/>
    </row>
    <row r="642" spans="1:5" x14ac:dyDescent="0.25">
      <c r="A642" s="2" t="str">
        <f>IF(B642&lt;&gt;"",IF(_xlfn.IFNA(VLOOKUP(B642,OmsControlTable!T:T,1,0),"尚未處理")&lt;&gt;"尚未處理","已處理","尚未處理"),"")</f>
        <v/>
      </c>
      <c r="B642" s="2"/>
      <c r="C642" s="2"/>
      <c r="D642" s="2"/>
      <c r="E642" s="2"/>
    </row>
    <row r="643" spans="1:5" x14ac:dyDescent="0.25">
      <c r="A643" s="2" t="str">
        <f>IF(B643&lt;&gt;"",IF(_xlfn.IFNA(VLOOKUP(B643,OmsControlTable!T:T,1,0),"尚未處理")&lt;&gt;"尚未處理","已處理","尚未處理"),"")</f>
        <v/>
      </c>
      <c r="B643" s="2"/>
      <c r="C643" s="2"/>
      <c r="D643" s="2"/>
      <c r="E643" s="2"/>
    </row>
    <row r="644" spans="1:5" x14ac:dyDescent="0.25">
      <c r="A644" s="2" t="str">
        <f>IF(B644&lt;&gt;"",IF(_xlfn.IFNA(VLOOKUP(B644,OmsControlTable!T:T,1,0),"尚未處理")&lt;&gt;"尚未處理","已處理","尚未處理"),"")</f>
        <v/>
      </c>
      <c r="B644" s="2"/>
      <c r="C644" s="2"/>
      <c r="D644" s="2"/>
      <c r="E644" s="2"/>
    </row>
    <row r="645" spans="1:5" x14ac:dyDescent="0.25">
      <c r="A645" s="2" t="str">
        <f>IF(B645&lt;&gt;"",IF(_xlfn.IFNA(VLOOKUP(B645,OmsControlTable!T:T,1,0),"尚未處理")&lt;&gt;"尚未處理","已處理","尚未處理"),"")</f>
        <v/>
      </c>
      <c r="B645" s="2"/>
      <c r="C645" s="2"/>
      <c r="D645" s="2"/>
      <c r="E645" s="2"/>
    </row>
    <row r="646" spans="1:5" x14ac:dyDescent="0.25">
      <c r="A646" s="2" t="str">
        <f>IF(B646&lt;&gt;"",IF(_xlfn.IFNA(VLOOKUP(B646,OmsControlTable!T:T,1,0),"尚未處理")&lt;&gt;"尚未處理","已處理","尚未處理"),"")</f>
        <v/>
      </c>
      <c r="B646" s="2"/>
      <c r="C646" s="2"/>
      <c r="D646" s="2"/>
      <c r="E646" s="2"/>
    </row>
    <row r="647" spans="1:5" x14ac:dyDescent="0.25">
      <c r="A647" s="2" t="str">
        <f>IF(B647&lt;&gt;"",IF(_xlfn.IFNA(VLOOKUP(B647,OmsControlTable!T:T,1,0),"尚未處理")&lt;&gt;"尚未處理","已處理","尚未處理"),"")</f>
        <v/>
      </c>
      <c r="B647" s="2"/>
      <c r="C647" s="2"/>
      <c r="D647" s="2"/>
      <c r="E647" s="2"/>
    </row>
    <row r="648" spans="1:5" x14ac:dyDescent="0.25">
      <c r="A648" s="2" t="str">
        <f>IF(B648&lt;&gt;"",IF(_xlfn.IFNA(VLOOKUP(B648,OmsControlTable!T:T,1,0),"尚未處理")&lt;&gt;"尚未處理","已處理","尚未處理"),"")</f>
        <v/>
      </c>
      <c r="B648" s="2"/>
      <c r="C648" s="2"/>
      <c r="D648" s="2"/>
      <c r="E648" s="2"/>
    </row>
    <row r="649" spans="1:5" x14ac:dyDescent="0.25">
      <c r="A649" s="2" t="str">
        <f>IF(B649&lt;&gt;"",IF(_xlfn.IFNA(VLOOKUP(B649,OmsControlTable!T:T,1,0),"尚未處理")&lt;&gt;"尚未處理","已處理","尚未處理"),"")</f>
        <v/>
      </c>
      <c r="B649" s="2"/>
      <c r="C649" s="2"/>
      <c r="D649" s="2"/>
      <c r="E649" s="2"/>
    </row>
    <row r="650" spans="1:5" x14ac:dyDescent="0.25">
      <c r="A650" s="2" t="str">
        <f>IF(B650&lt;&gt;"",IF(_xlfn.IFNA(VLOOKUP(B650,OmsControlTable!T:T,1,0),"尚未處理")&lt;&gt;"尚未處理","已處理","尚未處理"),"")</f>
        <v/>
      </c>
      <c r="B650" s="2"/>
      <c r="C650" s="2"/>
      <c r="D650" s="2"/>
      <c r="E650" s="2"/>
    </row>
    <row r="651" spans="1:5" x14ac:dyDescent="0.25">
      <c r="A651" s="2" t="str">
        <f>IF(B651&lt;&gt;"",IF(_xlfn.IFNA(VLOOKUP(B651,OmsControlTable!T:T,1,0),"尚未處理")&lt;&gt;"尚未處理","已處理","尚未處理"),"")</f>
        <v/>
      </c>
      <c r="B651" s="2"/>
      <c r="C651" s="2"/>
      <c r="D651" s="2"/>
      <c r="E651" s="2"/>
    </row>
    <row r="652" spans="1:5" x14ac:dyDescent="0.25">
      <c r="A652" s="2" t="str">
        <f>IF(B652&lt;&gt;"",IF(_xlfn.IFNA(VLOOKUP(B652,OmsControlTable!T:T,1,0),"尚未處理")&lt;&gt;"尚未處理","已處理","尚未處理"),"")</f>
        <v/>
      </c>
      <c r="B652" s="2"/>
      <c r="C652" s="2"/>
      <c r="D652" s="2"/>
      <c r="E652" s="2"/>
    </row>
    <row r="653" spans="1:5" x14ac:dyDescent="0.25">
      <c r="A653" s="2" t="str">
        <f>IF(B653&lt;&gt;"",IF(_xlfn.IFNA(VLOOKUP(B653,OmsControlTable!T:T,1,0),"尚未處理")&lt;&gt;"尚未處理","已處理","尚未處理"),"")</f>
        <v/>
      </c>
      <c r="B653" s="2"/>
      <c r="C653" s="2"/>
      <c r="D653" s="2"/>
      <c r="E653" s="2"/>
    </row>
    <row r="654" spans="1:5" x14ac:dyDescent="0.25">
      <c r="A654" s="2" t="str">
        <f>IF(B654&lt;&gt;"",IF(_xlfn.IFNA(VLOOKUP(B654,OmsControlTable!T:T,1,0),"尚未處理")&lt;&gt;"尚未處理","已處理","尚未處理"),"")</f>
        <v/>
      </c>
      <c r="B654" s="2"/>
      <c r="C654" s="2"/>
      <c r="D654" s="2"/>
      <c r="E654" s="2"/>
    </row>
    <row r="655" spans="1:5" x14ac:dyDescent="0.25">
      <c r="A655" s="2" t="str">
        <f>IF(B655&lt;&gt;"",IF(_xlfn.IFNA(VLOOKUP(B655,OmsControlTable!T:T,1,0),"尚未處理")&lt;&gt;"尚未處理","已處理","尚未處理"),"")</f>
        <v/>
      </c>
      <c r="B655" s="2"/>
      <c r="C655" s="2"/>
      <c r="D655" s="2"/>
      <c r="E655" s="2"/>
    </row>
    <row r="656" spans="1:5" x14ac:dyDescent="0.25">
      <c r="A656" s="2" t="str">
        <f>IF(B656&lt;&gt;"",IF(_xlfn.IFNA(VLOOKUP(B656,OmsControlTable!T:T,1,0),"尚未處理")&lt;&gt;"尚未處理","已處理","尚未處理"),"")</f>
        <v/>
      </c>
      <c r="B656" s="2"/>
      <c r="C656" s="2"/>
      <c r="D656" s="2"/>
      <c r="E656" s="2"/>
    </row>
    <row r="657" spans="1:5" x14ac:dyDescent="0.25">
      <c r="A657" s="2" t="str">
        <f>IF(B657&lt;&gt;"",IF(_xlfn.IFNA(VLOOKUP(B657,OmsControlTable!T:T,1,0),"尚未處理")&lt;&gt;"尚未處理","已處理","尚未處理"),"")</f>
        <v/>
      </c>
      <c r="B657" s="2"/>
      <c r="C657" s="2"/>
      <c r="D657" s="2"/>
      <c r="E657" s="2"/>
    </row>
    <row r="658" spans="1:5" x14ac:dyDescent="0.25">
      <c r="A658" s="2" t="str">
        <f>IF(B658&lt;&gt;"",IF(_xlfn.IFNA(VLOOKUP(B658,OmsControlTable!T:T,1,0),"尚未處理")&lt;&gt;"尚未處理","已處理","尚未處理"),"")</f>
        <v/>
      </c>
      <c r="B658" s="2"/>
      <c r="C658" s="2"/>
      <c r="D658" s="2"/>
      <c r="E658" s="2"/>
    </row>
    <row r="659" spans="1:5" x14ac:dyDescent="0.25">
      <c r="A659" s="2" t="str">
        <f>IF(B659&lt;&gt;"",IF(_xlfn.IFNA(VLOOKUP(B659,OmsControlTable!T:T,1,0),"尚未處理")&lt;&gt;"尚未處理","已處理","尚未處理"),"")</f>
        <v/>
      </c>
      <c r="B659" s="2"/>
      <c r="C659" s="2"/>
      <c r="D659" s="2"/>
      <c r="E659" s="2"/>
    </row>
    <row r="660" spans="1:5" x14ac:dyDescent="0.25">
      <c r="A660" s="2" t="str">
        <f>IF(B660&lt;&gt;"",IF(_xlfn.IFNA(VLOOKUP(B660,OmsControlTable!T:T,1,0),"尚未處理")&lt;&gt;"尚未處理","已處理","尚未處理"),"")</f>
        <v/>
      </c>
      <c r="B660" s="2"/>
      <c r="C660" s="2"/>
      <c r="D660" s="2"/>
      <c r="E660" s="2"/>
    </row>
    <row r="661" spans="1:5" x14ac:dyDescent="0.25">
      <c r="A661" s="2" t="str">
        <f>IF(B661&lt;&gt;"",IF(_xlfn.IFNA(VLOOKUP(B661,OmsControlTable!T:T,1,0),"尚未處理")&lt;&gt;"尚未處理","已處理","尚未處理"),"")</f>
        <v/>
      </c>
      <c r="B661" s="2"/>
      <c r="C661" s="2"/>
      <c r="D661" s="2"/>
      <c r="E661" s="2"/>
    </row>
    <row r="662" spans="1:5" x14ac:dyDescent="0.25">
      <c r="A662" s="2" t="str">
        <f>IF(B662&lt;&gt;"",IF(_xlfn.IFNA(VLOOKUP(B662,OmsControlTable!T:T,1,0),"尚未處理")&lt;&gt;"尚未處理","已處理","尚未處理"),"")</f>
        <v/>
      </c>
      <c r="B662" s="2"/>
      <c r="C662" s="2"/>
      <c r="D662" s="2"/>
      <c r="E662" s="2"/>
    </row>
    <row r="663" spans="1:5" x14ac:dyDescent="0.25">
      <c r="A663" s="2" t="str">
        <f>IF(B663&lt;&gt;"",IF(_xlfn.IFNA(VLOOKUP(B663,OmsControlTable!T:T,1,0),"尚未處理")&lt;&gt;"尚未處理","已處理","尚未處理"),"")</f>
        <v/>
      </c>
      <c r="B663" s="2"/>
      <c r="C663" s="2"/>
      <c r="D663" s="2"/>
      <c r="E663" s="2"/>
    </row>
    <row r="664" spans="1:5" x14ac:dyDescent="0.25">
      <c r="A664" s="2" t="str">
        <f>IF(B664&lt;&gt;"",IF(_xlfn.IFNA(VLOOKUP(B664,OmsControlTable!T:T,1,0),"尚未處理")&lt;&gt;"尚未處理","已處理","尚未處理"),"")</f>
        <v/>
      </c>
      <c r="B664" s="2"/>
      <c r="C664" s="2"/>
      <c r="D664" s="2"/>
      <c r="E664" s="2"/>
    </row>
    <row r="665" spans="1:5" x14ac:dyDescent="0.25">
      <c r="A665" s="2" t="str">
        <f>IF(B665&lt;&gt;"",IF(_xlfn.IFNA(VLOOKUP(B665,OmsControlTable!T:T,1,0),"尚未處理")&lt;&gt;"尚未處理","已處理","尚未處理"),"")</f>
        <v/>
      </c>
      <c r="B665" s="2"/>
      <c r="C665" s="2"/>
      <c r="D665" s="2"/>
      <c r="E665" s="2"/>
    </row>
    <row r="666" spans="1:5" x14ac:dyDescent="0.25">
      <c r="A666" s="2" t="str">
        <f>IF(B666&lt;&gt;"",IF(_xlfn.IFNA(VLOOKUP(B666,OmsControlTable!T:T,1,0),"尚未處理")&lt;&gt;"尚未處理","已處理","尚未處理"),"")</f>
        <v/>
      </c>
      <c r="B666" s="2"/>
      <c r="C666" s="2"/>
      <c r="D666" s="2"/>
      <c r="E666" s="2"/>
    </row>
    <row r="667" spans="1:5" x14ac:dyDescent="0.25">
      <c r="A667" s="2" t="str">
        <f>IF(B667&lt;&gt;"",IF(_xlfn.IFNA(VLOOKUP(B667,OmsControlTable!T:T,1,0),"尚未處理")&lt;&gt;"尚未處理","已處理","尚未處理"),"")</f>
        <v/>
      </c>
      <c r="B667" s="2"/>
      <c r="C667" s="2"/>
      <c r="D667" s="2"/>
      <c r="E667" s="2"/>
    </row>
    <row r="668" spans="1:5" x14ac:dyDescent="0.25">
      <c r="A668" s="2" t="str">
        <f>IF(B668&lt;&gt;"",IF(_xlfn.IFNA(VLOOKUP(B668,OmsControlTable!T:T,1,0),"尚未處理")&lt;&gt;"尚未處理","已處理","尚未處理"),"")</f>
        <v/>
      </c>
      <c r="B668" s="2"/>
      <c r="C668" s="2"/>
      <c r="D668" s="2"/>
      <c r="E668" s="2"/>
    </row>
    <row r="669" spans="1:5" x14ac:dyDescent="0.25">
      <c r="A669" s="2" t="str">
        <f>IF(B669&lt;&gt;"",IF(_xlfn.IFNA(VLOOKUP(B669,OmsControlTable!T:T,1,0),"尚未處理")&lt;&gt;"尚未處理","已處理","尚未處理"),"")</f>
        <v/>
      </c>
      <c r="B669" s="2"/>
      <c r="C669" s="2"/>
      <c r="D669" s="2"/>
      <c r="E669" s="2"/>
    </row>
    <row r="670" spans="1:5" x14ac:dyDescent="0.25">
      <c r="A670" s="2" t="str">
        <f>IF(B670&lt;&gt;"",IF(_xlfn.IFNA(VLOOKUP(B670,OmsControlTable!T:T,1,0),"尚未處理")&lt;&gt;"尚未處理","已處理","尚未處理"),"")</f>
        <v/>
      </c>
      <c r="B670" s="2"/>
      <c r="C670" s="2"/>
      <c r="D670" s="2"/>
      <c r="E670" s="2"/>
    </row>
    <row r="671" spans="1:5" x14ac:dyDescent="0.25">
      <c r="A671" s="2" t="str">
        <f>IF(B671&lt;&gt;"",IF(_xlfn.IFNA(VLOOKUP(B671,OmsControlTable!T:T,1,0),"尚未處理")&lt;&gt;"尚未處理","已處理","尚未處理"),"")</f>
        <v/>
      </c>
      <c r="B671" s="2"/>
      <c r="C671" s="2"/>
      <c r="D671" s="2"/>
      <c r="E671" s="2"/>
    </row>
    <row r="672" spans="1:5" x14ac:dyDescent="0.25">
      <c r="A672" s="2" t="str">
        <f>IF(B672&lt;&gt;"",IF(_xlfn.IFNA(VLOOKUP(B672,OmsControlTable!T:T,1,0),"尚未處理")&lt;&gt;"尚未處理","已處理","尚未處理"),"")</f>
        <v/>
      </c>
      <c r="B672" s="2"/>
      <c r="C672" s="2"/>
      <c r="D672" s="2"/>
      <c r="E672" s="2"/>
    </row>
    <row r="673" spans="1:5" x14ac:dyDescent="0.25">
      <c r="A673" s="2" t="str">
        <f>IF(B673&lt;&gt;"",IF(_xlfn.IFNA(VLOOKUP(B673,OmsControlTable!T:T,1,0),"尚未處理")&lt;&gt;"尚未處理","已處理","尚未處理"),"")</f>
        <v/>
      </c>
      <c r="B673" s="2"/>
      <c r="C673" s="2"/>
      <c r="D673" s="2"/>
      <c r="E673" s="2"/>
    </row>
    <row r="674" spans="1:5" x14ac:dyDescent="0.25">
      <c r="A674" s="2" t="str">
        <f>IF(B674&lt;&gt;"",IF(_xlfn.IFNA(VLOOKUP(B674,OmsControlTable!T:T,1,0),"尚未處理")&lt;&gt;"尚未處理","已處理","尚未處理"),"")</f>
        <v/>
      </c>
      <c r="B674" s="2"/>
      <c r="C674" s="2"/>
      <c r="D674" s="2"/>
      <c r="E674" s="2"/>
    </row>
    <row r="675" spans="1:5" x14ac:dyDescent="0.25">
      <c r="A675" s="2" t="str">
        <f>IF(B675&lt;&gt;"",IF(_xlfn.IFNA(VLOOKUP(B675,OmsControlTable!T:T,1,0),"尚未處理")&lt;&gt;"尚未處理","已處理","尚未處理"),"")</f>
        <v/>
      </c>
      <c r="B675" s="2"/>
      <c r="C675" s="2"/>
      <c r="D675" s="2"/>
      <c r="E675" s="2"/>
    </row>
    <row r="676" spans="1:5" x14ac:dyDescent="0.25">
      <c r="A676" s="2" t="str">
        <f>IF(B676&lt;&gt;"",IF(_xlfn.IFNA(VLOOKUP(B676,OmsControlTable!T:T,1,0),"尚未處理")&lt;&gt;"尚未處理","已處理","尚未處理"),"")</f>
        <v/>
      </c>
      <c r="B676" s="2"/>
      <c r="C676" s="2"/>
      <c r="D676" s="2"/>
      <c r="E676" s="2"/>
    </row>
    <row r="677" spans="1:5" x14ac:dyDescent="0.25">
      <c r="A677" s="2" t="str">
        <f>IF(B677&lt;&gt;"",IF(_xlfn.IFNA(VLOOKUP(B677,OmsControlTable!T:T,1,0),"尚未處理")&lt;&gt;"尚未處理","已處理","尚未處理"),"")</f>
        <v/>
      </c>
      <c r="B677" s="2"/>
      <c r="C677" s="2"/>
      <c r="D677" s="2"/>
      <c r="E677" s="2"/>
    </row>
    <row r="678" spans="1:5" x14ac:dyDescent="0.25">
      <c r="A678" s="2" t="str">
        <f>IF(B678&lt;&gt;"",IF(_xlfn.IFNA(VLOOKUP(B678,OmsControlTable!T:T,1,0),"尚未處理")&lt;&gt;"尚未處理","已處理","尚未處理"),"")</f>
        <v/>
      </c>
      <c r="B678" s="2"/>
      <c r="C678" s="2"/>
      <c r="D678" s="2"/>
      <c r="E678" s="2"/>
    </row>
    <row r="679" spans="1:5" x14ac:dyDescent="0.25">
      <c r="A679" s="2" t="str">
        <f>IF(B679&lt;&gt;"",IF(_xlfn.IFNA(VLOOKUP(B679,OmsControlTable!T:T,1,0),"尚未處理")&lt;&gt;"尚未處理","已處理","尚未處理"),"")</f>
        <v/>
      </c>
      <c r="B679" s="2"/>
      <c r="C679" s="2"/>
      <c r="D679" s="2"/>
      <c r="E679" s="2"/>
    </row>
    <row r="680" spans="1:5" x14ac:dyDescent="0.25">
      <c r="A680" s="2" t="str">
        <f>IF(B680&lt;&gt;"",IF(_xlfn.IFNA(VLOOKUP(B680,OmsControlTable!T:T,1,0),"尚未處理")&lt;&gt;"尚未處理","已處理","尚未處理"),"")</f>
        <v/>
      </c>
      <c r="B680" s="2"/>
      <c r="C680" s="2"/>
      <c r="D680" s="2"/>
      <c r="E680" s="2"/>
    </row>
    <row r="681" spans="1:5" x14ac:dyDescent="0.25">
      <c r="A681" s="2" t="str">
        <f>IF(B681&lt;&gt;"",IF(_xlfn.IFNA(VLOOKUP(B681,OmsControlTable!T:T,1,0),"尚未處理")&lt;&gt;"尚未處理","已處理","尚未處理"),"")</f>
        <v/>
      </c>
      <c r="B681" s="2"/>
      <c r="C681" s="2"/>
      <c r="D681" s="2"/>
      <c r="E681" s="2"/>
    </row>
    <row r="682" spans="1:5" x14ac:dyDescent="0.25">
      <c r="A682" s="2" t="str">
        <f>IF(B682&lt;&gt;"",IF(_xlfn.IFNA(VLOOKUP(B682,OmsControlTable!T:T,1,0),"尚未處理")&lt;&gt;"尚未處理","已處理","尚未處理"),"")</f>
        <v/>
      </c>
      <c r="B682" s="2"/>
      <c r="C682" s="2"/>
      <c r="D682" s="2"/>
      <c r="E682" s="2"/>
    </row>
    <row r="683" spans="1:5" x14ac:dyDescent="0.25">
      <c r="A683" s="2" t="str">
        <f>IF(B683&lt;&gt;"",IF(_xlfn.IFNA(VLOOKUP(B683,OmsControlTable!T:T,1,0),"尚未處理")&lt;&gt;"尚未處理","已處理","尚未處理"),"")</f>
        <v/>
      </c>
      <c r="B683" s="2"/>
      <c r="C683" s="2"/>
      <c r="D683" s="2"/>
      <c r="E683" s="2"/>
    </row>
    <row r="684" spans="1:5" x14ac:dyDescent="0.25">
      <c r="A684" s="2" t="str">
        <f>IF(B684&lt;&gt;"",IF(_xlfn.IFNA(VLOOKUP(B684,OmsControlTable!T:T,1,0),"尚未處理")&lt;&gt;"尚未處理","已處理","尚未處理"),"")</f>
        <v/>
      </c>
      <c r="B684" s="2"/>
      <c r="C684" s="2"/>
      <c r="D684" s="2"/>
      <c r="E684" s="2"/>
    </row>
    <row r="685" spans="1:5" x14ac:dyDescent="0.25">
      <c r="A685" s="2" t="str">
        <f>IF(B685&lt;&gt;"",IF(_xlfn.IFNA(VLOOKUP(B685,OmsControlTable!T:T,1,0),"尚未處理")&lt;&gt;"尚未處理","已處理","尚未處理"),"")</f>
        <v/>
      </c>
      <c r="B685" s="2"/>
      <c r="C685" s="2"/>
      <c r="D685" s="2"/>
      <c r="E685" s="2"/>
    </row>
    <row r="686" spans="1:5" x14ac:dyDescent="0.25">
      <c r="A686" s="2" t="str">
        <f>IF(B686&lt;&gt;"",IF(_xlfn.IFNA(VLOOKUP(B686,OmsControlTable!T:T,1,0),"尚未處理")&lt;&gt;"尚未處理","已處理","尚未處理"),"")</f>
        <v/>
      </c>
      <c r="B686" s="2"/>
      <c r="C686" s="2"/>
      <c r="D686" s="2"/>
      <c r="E686" s="2"/>
    </row>
    <row r="687" spans="1:5" x14ac:dyDescent="0.25">
      <c r="A687" s="2" t="str">
        <f>IF(B687&lt;&gt;"",IF(_xlfn.IFNA(VLOOKUP(B687,OmsControlTable!T:T,1,0),"尚未處理")&lt;&gt;"尚未處理","已處理","尚未處理"),"")</f>
        <v/>
      </c>
      <c r="B687" s="2"/>
      <c r="C687" s="2"/>
      <c r="D687" s="2"/>
      <c r="E687" s="2"/>
    </row>
    <row r="688" spans="1:5" x14ac:dyDescent="0.25">
      <c r="A688" s="2" t="str">
        <f>IF(B688&lt;&gt;"",IF(_xlfn.IFNA(VLOOKUP(B688,OmsControlTable!T:T,1,0),"尚未處理")&lt;&gt;"尚未處理","已處理","尚未處理"),"")</f>
        <v/>
      </c>
      <c r="B688" s="2"/>
      <c r="C688" s="2"/>
      <c r="D688" s="2"/>
      <c r="E688" s="2"/>
    </row>
    <row r="689" spans="1:5" x14ac:dyDescent="0.25">
      <c r="A689" s="2" t="str">
        <f>IF(B689&lt;&gt;"",IF(_xlfn.IFNA(VLOOKUP(B689,OmsControlTable!T:T,1,0),"尚未處理")&lt;&gt;"尚未處理","已處理","尚未處理"),"")</f>
        <v/>
      </c>
      <c r="B689" s="2"/>
      <c r="C689" s="2"/>
      <c r="D689" s="2"/>
      <c r="E689" s="2"/>
    </row>
    <row r="690" spans="1:5" x14ac:dyDescent="0.25">
      <c r="A690" s="2" t="str">
        <f>IF(B690&lt;&gt;"",IF(_xlfn.IFNA(VLOOKUP(B690,OmsControlTable!T:T,1,0),"尚未處理")&lt;&gt;"尚未處理","已處理","尚未處理"),"")</f>
        <v/>
      </c>
      <c r="B690" s="2"/>
      <c r="C690" s="2"/>
      <c r="D690" s="2"/>
      <c r="E690" s="2"/>
    </row>
    <row r="691" spans="1:5" x14ac:dyDescent="0.25">
      <c r="A691" s="2" t="str">
        <f>IF(B691&lt;&gt;"",IF(_xlfn.IFNA(VLOOKUP(B691,OmsControlTable!T:T,1,0),"尚未處理")&lt;&gt;"尚未處理","已處理","尚未處理"),"")</f>
        <v/>
      </c>
      <c r="B691" s="2"/>
      <c r="C691" s="2"/>
      <c r="D691" s="2"/>
      <c r="E691" s="2"/>
    </row>
    <row r="692" spans="1:5" x14ac:dyDescent="0.25">
      <c r="A692" s="2" t="str">
        <f>IF(B692&lt;&gt;"",IF(_xlfn.IFNA(VLOOKUP(B692,OmsControlTable!T:T,1,0),"尚未處理")&lt;&gt;"尚未處理","已處理","尚未處理"),"")</f>
        <v/>
      </c>
      <c r="B692" s="2"/>
      <c r="C692" s="2"/>
      <c r="D692" s="2"/>
      <c r="E692" s="2"/>
    </row>
    <row r="693" spans="1:5" x14ac:dyDescent="0.25">
      <c r="A693" s="2" t="str">
        <f>IF(B693&lt;&gt;"",IF(_xlfn.IFNA(VLOOKUP(B693,OmsControlTable!T:T,1,0),"尚未處理")&lt;&gt;"尚未處理","已處理","尚未處理"),"")</f>
        <v/>
      </c>
      <c r="B693" s="2"/>
      <c r="C693" s="2"/>
      <c r="D693" s="2"/>
      <c r="E693" s="2"/>
    </row>
    <row r="694" spans="1:5" x14ac:dyDescent="0.25">
      <c r="A694" s="2" t="str">
        <f>IF(B694&lt;&gt;"",IF(_xlfn.IFNA(VLOOKUP(B694,OmsControlTable!T:T,1,0),"尚未處理")&lt;&gt;"尚未處理","已處理","尚未處理"),"")</f>
        <v/>
      </c>
      <c r="B694" s="2"/>
      <c r="C694" s="2"/>
      <c r="D694" s="2"/>
      <c r="E694" s="2"/>
    </row>
    <row r="695" spans="1:5" x14ac:dyDescent="0.25">
      <c r="A695" s="2" t="str">
        <f>IF(B695&lt;&gt;"",IF(_xlfn.IFNA(VLOOKUP(B695,OmsControlTable!T:T,1,0),"尚未處理")&lt;&gt;"尚未處理","已處理","尚未處理"),"")</f>
        <v/>
      </c>
      <c r="B695" s="2"/>
      <c r="C695" s="2"/>
      <c r="D695" s="2"/>
      <c r="E695" s="2"/>
    </row>
    <row r="696" spans="1:5" x14ac:dyDescent="0.25">
      <c r="A696" s="2" t="str">
        <f>IF(B696&lt;&gt;"",IF(_xlfn.IFNA(VLOOKUP(B696,OmsControlTable!T:T,1,0),"尚未處理")&lt;&gt;"尚未處理","已處理","尚未處理"),"")</f>
        <v/>
      </c>
      <c r="B696" s="2"/>
      <c r="C696" s="2"/>
      <c r="D696" s="2"/>
      <c r="E696" s="2"/>
    </row>
    <row r="697" spans="1:5" x14ac:dyDescent="0.25">
      <c r="A697" s="2" t="str">
        <f>IF(B697&lt;&gt;"",IF(_xlfn.IFNA(VLOOKUP(B697,OmsControlTable!T:T,1,0),"尚未處理")&lt;&gt;"尚未處理","已處理","尚未處理"),"")</f>
        <v/>
      </c>
      <c r="B697" s="2"/>
      <c r="C697" s="2"/>
      <c r="D697" s="2"/>
      <c r="E697" s="2"/>
    </row>
    <row r="698" spans="1:5" x14ac:dyDescent="0.25">
      <c r="A698" s="2" t="str">
        <f>IF(B698&lt;&gt;"",IF(_xlfn.IFNA(VLOOKUP(B698,OmsControlTable!T:T,1,0),"尚未處理")&lt;&gt;"尚未處理","已處理","尚未處理"),"")</f>
        <v/>
      </c>
      <c r="B698" s="2"/>
      <c r="C698" s="2"/>
      <c r="D698" s="2"/>
      <c r="E698" s="2"/>
    </row>
    <row r="699" spans="1:5" x14ac:dyDescent="0.25">
      <c r="A699" s="2" t="str">
        <f>IF(B699&lt;&gt;"",IF(_xlfn.IFNA(VLOOKUP(B699,OmsControlTable!T:T,1,0),"尚未處理")&lt;&gt;"尚未處理","已處理","尚未處理"),"")</f>
        <v/>
      </c>
      <c r="B699" s="2"/>
      <c r="C699" s="2"/>
      <c r="D699" s="2"/>
      <c r="E699" s="2"/>
    </row>
    <row r="700" spans="1:5" x14ac:dyDescent="0.25">
      <c r="A700" s="2" t="str">
        <f>IF(B700&lt;&gt;"",IF(_xlfn.IFNA(VLOOKUP(B700,OmsControlTable!T:T,1,0),"尚未處理")&lt;&gt;"尚未處理","已處理","尚未處理"),"")</f>
        <v/>
      </c>
      <c r="B700" s="2"/>
      <c r="C700" s="2"/>
      <c r="D700" s="2"/>
      <c r="E700" s="2"/>
    </row>
    <row r="701" spans="1:5" x14ac:dyDescent="0.25">
      <c r="A701" s="2" t="str">
        <f>IF(B701&lt;&gt;"",IF(_xlfn.IFNA(VLOOKUP(B701,OmsControlTable!T:T,1,0),"尚未處理")&lt;&gt;"尚未處理","已處理","尚未處理"),"")</f>
        <v/>
      </c>
      <c r="B701" s="2"/>
      <c r="C701" s="2"/>
      <c r="D701" s="2"/>
      <c r="E701" s="2"/>
    </row>
    <row r="702" spans="1:5" x14ac:dyDescent="0.25">
      <c r="A702" s="2" t="str">
        <f>IF(B702&lt;&gt;"",IF(_xlfn.IFNA(VLOOKUP(B702,OmsControlTable!T:T,1,0),"尚未處理")&lt;&gt;"尚未處理","已處理","尚未處理"),"")</f>
        <v/>
      </c>
      <c r="B702" s="2"/>
      <c r="C702" s="2"/>
      <c r="D702" s="2"/>
      <c r="E702" s="2"/>
    </row>
    <row r="703" spans="1:5" x14ac:dyDescent="0.25">
      <c r="A703" s="2" t="str">
        <f>IF(B703&lt;&gt;"",IF(_xlfn.IFNA(VLOOKUP(B703,OmsControlTable!T:T,1,0),"尚未處理")&lt;&gt;"尚未處理","已處理","尚未處理"),"")</f>
        <v/>
      </c>
      <c r="B703" s="2"/>
      <c r="C703" s="2"/>
      <c r="D703" s="2"/>
      <c r="E703" s="2"/>
    </row>
    <row r="704" spans="1:5" x14ac:dyDescent="0.25">
      <c r="A704" s="2" t="str">
        <f>IF(B704&lt;&gt;"",IF(_xlfn.IFNA(VLOOKUP(B704,OmsControlTable!T:T,1,0),"尚未處理")&lt;&gt;"尚未處理","已處理","尚未處理"),"")</f>
        <v/>
      </c>
      <c r="B704" s="2"/>
      <c r="C704" s="2"/>
      <c r="D704" s="2"/>
      <c r="E704" s="2"/>
    </row>
    <row r="705" spans="1:5" x14ac:dyDescent="0.25">
      <c r="A705" s="2" t="str">
        <f>IF(B705&lt;&gt;"",IF(_xlfn.IFNA(VLOOKUP(B705,OmsControlTable!T:T,1,0),"尚未處理")&lt;&gt;"尚未處理","已處理","尚未處理"),"")</f>
        <v/>
      </c>
      <c r="B705" s="2"/>
      <c r="C705" s="2"/>
      <c r="D705" s="2"/>
      <c r="E705" s="2"/>
    </row>
    <row r="706" spans="1:5" x14ac:dyDescent="0.25">
      <c r="A706" s="2" t="str">
        <f>IF(B706&lt;&gt;"",IF(_xlfn.IFNA(VLOOKUP(B706,OmsControlTable!T:T,1,0),"尚未處理")&lt;&gt;"尚未處理","已處理","尚未處理"),"")</f>
        <v/>
      </c>
      <c r="B706" s="2"/>
      <c r="C706" s="2"/>
      <c r="D706" s="2"/>
      <c r="E706" s="2"/>
    </row>
    <row r="707" spans="1:5" x14ac:dyDescent="0.25">
      <c r="A707" s="2" t="str">
        <f>IF(B707&lt;&gt;"",IF(_xlfn.IFNA(VLOOKUP(B707,OmsControlTable!T:T,1,0),"尚未處理")&lt;&gt;"尚未處理","已處理","尚未處理"),"")</f>
        <v/>
      </c>
      <c r="B707" s="2"/>
      <c r="C707" s="2"/>
      <c r="D707" s="2"/>
      <c r="E707" s="2"/>
    </row>
    <row r="708" spans="1:5" x14ac:dyDescent="0.25">
      <c r="A708" s="2" t="str">
        <f>IF(B708&lt;&gt;"",IF(_xlfn.IFNA(VLOOKUP(B708,OmsControlTable!T:T,1,0),"尚未處理")&lt;&gt;"尚未處理","已處理","尚未處理"),"")</f>
        <v/>
      </c>
      <c r="B708" s="2"/>
      <c r="C708" s="2"/>
      <c r="D708" s="2"/>
      <c r="E708" s="2"/>
    </row>
    <row r="709" spans="1:5" x14ac:dyDescent="0.25">
      <c r="A709" s="2" t="str">
        <f>IF(B709&lt;&gt;"",IF(_xlfn.IFNA(VLOOKUP(B709,OmsControlTable!T:T,1,0),"尚未處理")&lt;&gt;"尚未處理","已處理","尚未處理"),"")</f>
        <v/>
      </c>
      <c r="B709" s="2"/>
      <c r="C709" s="2"/>
      <c r="D709" s="2"/>
      <c r="E709" s="2"/>
    </row>
    <row r="710" spans="1:5" x14ac:dyDescent="0.25">
      <c r="A710" s="2" t="str">
        <f>IF(B710&lt;&gt;"",IF(_xlfn.IFNA(VLOOKUP(B710,OmsControlTable!T:T,1,0),"尚未處理")&lt;&gt;"尚未處理","已處理","尚未處理"),"")</f>
        <v/>
      </c>
      <c r="B710" s="2"/>
      <c r="C710" s="2"/>
      <c r="D710" s="2"/>
      <c r="E710" s="2"/>
    </row>
    <row r="711" spans="1:5" x14ac:dyDescent="0.25">
      <c r="A711" s="2" t="str">
        <f>IF(B711&lt;&gt;"",IF(_xlfn.IFNA(VLOOKUP(B711,OmsControlTable!T:T,1,0),"尚未處理")&lt;&gt;"尚未處理","已處理","尚未處理"),"")</f>
        <v/>
      </c>
      <c r="B711" s="2"/>
      <c r="C711" s="2"/>
      <c r="D711" s="2"/>
      <c r="E711" s="2"/>
    </row>
    <row r="712" spans="1:5" x14ac:dyDescent="0.25">
      <c r="A712" s="2" t="str">
        <f>IF(B712&lt;&gt;"",IF(_xlfn.IFNA(VLOOKUP(B712,OmsControlTable!T:T,1,0),"尚未處理")&lt;&gt;"尚未處理","已處理","尚未處理"),"")</f>
        <v/>
      </c>
      <c r="B712" s="2"/>
      <c r="C712" s="2"/>
      <c r="D712" s="2"/>
      <c r="E712" s="2"/>
    </row>
    <row r="713" spans="1:5" x14ac:dyDescent="0.25">
      <c r="A713" s="2" t="str">
        <f>IF(B713&lt;&gt;"",IF(_xlfn.IFNA(VLOOKUP(B713,OmsControlTable!T:T,1,0),"尚未處理")&lt;&gt;"尚未處理","已處理","尚未處理"),"")</f>
        <v/>
      </c>
      <c r="B713" s="2"/>
      <c r="C713" s="2"/>
      <c r="D713" s="2"/>
      <c r="E713" s="2"/>
    </row>
    <row r="714" spans="1:5" x14ac:dyDescent="0.25">
      <c r="A714" s="2" t="str">
        <f>IF(B714&lt;&gt;"",IF(_xlfn.IFNA(VLOOKUP(B714,OmsControlTable!T:T,1,0),"尚未處理")&lt;&gt;"尚未處理","已處理","尚未處理"),"")</f>
        <v/>
      </c>
      <c r="B714" s="2"/>
      <c r="C714" s="2"/>
      <c r="D714" s="2"/>
      <c r="E714" s="2"/>
    </row>
    <row r="715" spans="1:5" x14ac:dyDescent="0.25">
      <c r="A715" s="2" t="str">
        <f>IF(B715&lt;&gt;"",IF(_xlfn.IFNA(VLOOKUP(B715,OmsControlTable!T:T,1,0),"尚未處理")&lt;&gt;"尚未處理","已處理","尚未處理"),"")</f>
        <v/>
      </c>
      <c r="B715" s="2"/>
      <c r="C715" s="2"/>
      <c r="D715" s="2"/>
      <c r="E715" s="2"/>
    </row>
    <row r="716" spans="1:5" x14ac:dyDescent="0.25">
      <c r="A716" s="2" t="str">
        <f>IF(B716&lt;&gt;"",IF(_xlfn.IFNA(VLOOKUP(B716,OmsControlTable!T:T,1,0),"尚未處理")&lt;&gt;"尚未處理","已處理","尚未處理"),"")</f>
        <v/>
      </c>
      <c r="B716" s="2"/>
      <c r="C716" s="2"/>
      <c r="D716" s="2"/>
      <c r="E716" s="2"/>
    </row>
    <row r="717" spans="1:5" x14ac:dyDescent="0.25">
      <c r="A717" s="2" t="str">
        <f>IF(B717&lt;&gt;"",IF(_xlfn.IFNA(VLOOKUP(B717,OmsControlTable!T:T,1,0),"尚未處理")&lt;&gt;"尚未處理","已處理","尚未處理"),"")</f>
        <v/>
      </c>
      <c r="B717" s="2"/>
      <c r="C717" s="2"/>
      <c r="D717" s="2"/>
      <c r="E717" s="2"/>
    </row>
    <row r="718" spans="1:5" x14ac:dyDescent="0.25">
      <c r="A718" s="2" t="str">
        <f>IF(B718&lt;&gt;"",IF(_xlfn.IFNA(VLOOKUP(B718,OmsControlTable!T:T,1,0),"尚未處理")&lt;&gt;"尚未處理","已處理","尚未處理"),"")</f>
        <v/>
      </c>
      <c r="B718" s="2"/>
      <c r="C718" s="2"/>
      <c r="D718" s="2"/>
      <c r="E718" s="2"/>
    </row>
    <row r="719" spans="1:5" x14ac:dyDescent="0.25">
      <c r="A719" s="2" t="str">
        <f>IF(B719&lt;&gt;"",IF(_xlfn.IFNA(VLOOKUP(B719,OmsControlTable!T:T,1,0),"尚未處理")&lt;&gt;"尚未處理","已處理","尚未處理"),"")</f>
        <v/>
      </c>
      <c r="B719" s="2"/>
      <c r="C719" s="2"/>
      <c r="D719" s="2"/>
      <c r="E719" s="2"/>
    </row>
    <row r="720" spans="1:5" x14ac:dyDescent="0.25">
      <c r="A720" s="2" t="str">
        <f>IF(B720&lt;&gt;"",IF(_xlfn.IFNA(VLOOKUP(B720,OmsControlTable!T:T,1,0),"尚未處理")&lt;&gt;"尚未處理","已處理","尚未處理"),"")</f>
        <v/>
      </c>
      <c r="B720" s="2"/>
      <c r="C720" s="2"/>
      <c r="D720" s="2"/>
      <c r="E720" s="2"/>
    </row>
    <row r="721" spans="1:5" x14ac:dyDescent="0.25">
      <c r="A721" s="2" t="str">
        <f>IF(B721&lt;&gt;"",IF(_xlfn.IFNA(VLOOKUP(B721,OmsControlTable!T:T,1,0),"尚未處理")&lt;&gt;"尚未處理","已處理","尚未處理"),"")</f>
        <v/>
      </c>
      <c r="B721" s="2"/>
      <c r="C721" s="2"/>
      <c r="D721" s="2"/>
      <c r="E721" s="2"/>
    </row>
    <row r="722" spans="1:5" x14ac:dyDescent="0.25">
      <c r="A722" s="2" t="str">
        <f>IF(B722&lt;&gt;"",IF(_xlfn.IFNA(VLOOKUP(B722,OmsControlTable!T:T,1,0),"尚未處理")&lt;&gt;"尚未處理","已處理","尚未處理"),"")</f>
        <v/>
      </c>
      <c r="B722" s="2"/>
      <c r="C722" s="2"/>
      <c r="D722" s="2"/>
      <c r="E722" s="2"/>
    </row>
    <row r="723" spans="1:5" x14ac:dyDescent="0.25">
      <c r="A723" s="2" t="str">
        <f>IF(B723&lt;&gt;"",IF(_xlfn.IFNA(VLOOKUP(B723,OmsControlTable!T:T,1,0),"尚未處理")&lt;&gt;"尚未處理","已處理","尚未處理"),"")</f>
        <v/>
      </c>
      <c r="B723" s="2"/>
      <c r="C723" s="2"/>
      <c r="D723" s="2"/>
      <c r="E723" s="2"/>
    </row>
    <row r="724" spans="1:5" x14ac:dyDescent="0.25">
      <c r="A724" s="2" t="str">
        <f>IF(B724&lt;&gt;"",IF(_xlfn.IFNA(VLOOKUP(B724,OmsControlTable!T:T,1,0),"尚未處理")&lt;&gt;"尚未處理","已處理","尚未處理"),"")</f>
        <v/>
      </c>
      <c r="B724" s="2"/>
      <c r="C724" s="2"/>
      <c r="D724" s="2"/>
      <c r="E724" s="2"/>
    </row>
    <row r="725" spans="1:5" x14ac:dyDescent="0.25">
      <c r="A725" s="2" t="str">
        <f>IF(B725&lt;&gt;"",IF(_xlfn.IFNA(VLOOKUP(B725,OmsControlTable!T:T,1,0),"尚未處理")&lt;&gt;"尚未處理","已處理","尚未處理"),"")</f>
        <v/>
      </c>
      <c r="B725" s="2"/>
      <c r="C725" s="2"/>
      <c r="D725" s="2"/>
      <c r="E725" s="2"/>
    </row>
    <row r="726" spans="1:5" x14ac:dyDescent="0.25">
      <c r="A726" s="2" t="str">
        <f>IF(B726&lt;&gt;"",IF(_xlfn.IFNA(VLOOKUP(B726,OmsControlTable!T:T,1,0),"尚未處理")&lt;&gt;"尚未處理","已處理","尚未處理"),"")</f>
        <v/>
      </c>
      <c r="B726" s="2"/>
      <c r="C726" s="2"/>
      <c r="D726" s="2"/>
      <c r="E726" s="2"/>
    </row>
    <row r="727" spans="1:5" x14ac:dyDescent="0.25">
      <c r="A727" s="2" t="str">
        <f>IF(B727&lt;&gt;"",IF(_xlfn.IFNA(VLOOKUP(B727,OmsControlTable!T:T,1,0),"尚未處理")&lt;&gt;"尚未處理","已處理","尚未處理"),"")</f>
        <v/>
      </c>
      <c r="B727" s="2"/>
      <c r="C727" s="2"/>
      <c r="D727" s="2"/>
      <c r="E727" s="2"/>
    </row>
    <row r="728" spans="1:5" x14ac:dyDescent="0.25">
      <c r="A728" s="2" t="str">
        <f>IF(B728&lt;&gt;"",IF(_xlfn.IFNA(VLOOKUP(B728,OmsControlTable!T:T,1,0),"尚未處理")&lt;&gt;"尚未處理","已處理","尚未處理"),"")</f>
        <v/>
      </c>
      <c r="B728" s="2"/>
      <c r="C728" s="2"/>
      <c r="D728" s="2"/>
      <c r="E728" s="2"/>
    </row>
    <row r="729" spans="1:5" x14ac:dyDescent="0.25">
      <c r="A729" s="2" t="str">
        <f>IF(B729&lt;&gt;"",IF(_xlfn.IFNA(VLOOKUP(B729,OmsControlTable!T:T,1,0),"尚未處理")&lt;&gt;"尚未處理","已處理","尚未處理"),"")</f>
        <v/>
      </c>
      <c r="B729" s="2"/>
      <c r="C729" s="2"/>
      <c r="D729" s="2"/>
      <c r="E729" s="2"/>
    </row>
    <row r="730" spans="1:5" x14ac:dyDescent="0.25">
      <c r="A730" s="2" t="str">
        <f>IF(B730&lt;&gt;"",IF(_xlfn.IFNA(VLOOKUP(B730,OmsControlTable!T:T,1,0),"尚未處理")&lt;&gt;"尚未處理","已處理","尚未處理"),"")</f>
        <v/>
      </c>
      <c r="B730" s="2"/>
      <c r="C730" s="2"/>
      <c r="D730" s="2"/>
      <c r="E730" s="2"/>
    </row>
    <row r="731" spans="1:5" x14ac:dyDescent="0.25">
      <c r="A731" s="2" t="str">
        <f>IF(B731&lt;&gt;"",IF(_xlfn.IFNA(VLOOKUP(B731,OmsControlTable!T:T,1,0),"尚未處理")&lt;&gt;"尚未處理","已處理","尚未處理"),"")</f>
        <v/>
      </c>
      <c r="B731" s="2"/>
      <c r="C731" s="2"/>
      <c r="D731" s="2"/>
      <c r="E731" s="2"/>
    </row>
    <row r="732" spans="1:5" x14ac:dyDescent="0.25">
      <c r="A732" s="2" t="str">
        <f>IF(B732&lt;&gt;"",IF(_xlfn.IFNA(VLOOKUP(B732,OmsControlTable!T:T,1,0),"尚未處理")&lt;&gt;"尚未處理","已處理","尚未處理"),"")</f>
        <v/>
      </c>
      <c r="B732" s="2"/>
      <c r="C732" s="2"/>
      <c r="D732" s="2"/>
      <c r="E732" s="2"/>
    </row>
    <row r="733" spans="1:5" x14ac:dyDescent="0.25">
      <c r="A733" s="2" t="str">
        <f>IF(B733&lt;&gt;"",IF(_xlfn.IFNA(VLOOKUP(B733,OmsControlTable!T:T,1,0),"尚未處理")&lt;&gt;"尚未處理","已處理","尚未處理"),"")</f>
        <v/>
      </c>
      <c r="B733" s="2"/>
      <c r="C733" s="2"/>
      <c r="D733" s="2"/>
      <c r="E733" s="2"/>
    </row>
    <row r="734" spans="1:5" x14ac:dyDescent="0.25">
      <c r="A734" s="2" t="str">
        <f>IF(B734&lt;&gt;"",IF(_xlfn.IFNA(VLOOKUP(B734,OmsControlTable!T:T,1,0),"尚未處理")&lt;&gt;"尚未處理","已處理","尚未處理"),"")</f>
        <v/>
      </c>
      <c r="B734" s="2"/>
      <c r="C734" s="2"/>
      <c r="D734" s="2"/>
      <c r="E734" s="2"/>
    </row>
    <row r="735" spans="1:5" x14ac:dyDescent="0.25">
      <c r="A735" s="2" t="str">
        <f>IF(B735&lt;&gt;"",IF(_xlfn.IFNA(VLOOKUP(B735,OmsControlTable!T:T,1,0),"尚未處理")&lt;&gt;"尚未處理","已處理","尚未處理"),"")</f>
        <v/>
      </c>
      <c r="B735" s="2"/>
      <c r="C735" s="2"/>
      <c r="D735" s="2"/>
      <c r="E735" s="2"/>
    </row>
    <row r="736" spans="1:5" x14ac:dyDescent="0.25">
      <c r="A736" s="2" t="str">
        <f>IF(B736&lt;&gt;"",IF(_xlfn.IFNA(VLOOKUP(B736,OmsControlTable!T:T,1,0),"尚未處理")&lt;&gt;"尚未處理","已處理","尚未處理"),"")</f>
        <v/>
      </c>
      <c r="B736" s="2"/>
      <c r="C736" s="2"/>
      <c r="D736" s="2"/>
      <c r="E736" s="2"/>
    </row>
    <row r="737" spans="1:5" x14ac:dyDescent="0.25">
      <c r="A737" s="2" t="str">
        <f>IF(B737&lt;&gt;"",IF(_xlfn.IFNA(VLOOKUP(B737,OmsControlTable!T:T,1,0),"尚未處理")&lt;&gt;"尚未處理","已處理","尚未處理"),"")</f>
        <v/>
      </c>
      <c r="B737" s="2"/>
      <c r="C737" s="2"/>
      <c r="D737" s="2"/>
      <c r="E737" s="2"/>
    </row>
    <row r="738" spans="1:5" x14ac:dyDescent="0.25">
      <c r="A738" s="2" t="str">
        <f>IF(B738&lt;&gt;"",IF(_xlfn.IFNA(VLOOKUP(B738,OmsControlTable!T:T,1,0),"尚未處理")&lt;&gt;"尚未處理","已處理","尚未處理"),"")</f>
        <v/>
      </c>
      <c r="B738" s="2"/>
      <c r="C738" s="2"/>
      <c r="D738" s="2"/>
      <c r="E738" s="2"/>
    </row>
    <row r="739" spans="1:5" x14ac:dyDescent="0.25">
      <c r="A739" s="2" t="str">
        <f>IF(B739&lt;&gt;"",IF(_xlfn.IFNA(VLOOKUP(B739,OmsControlTable!T:T,1,0),"尚未處理")&lt;&gt;"尚未處理","已處理","尚未處理"),"")</f>
        <v/>
      </c>
      <c r="B739" s="2"/>
      <c r="C739" s="2"/>
      <c r="D739" s="2"/>
      <c r="E739" s="2"/>
    </row>
    <row r="740" spans="1:5" x14ac:dyDescent="0.25">
      <c r="A740" s="2" t="str">
        <f>IF(B740&lt;&gt;"",IF(_xlfn.IFNA(VLOOKUP(B740,OmsControlTable!T:T,1,0),"尚未處理")&lt;&gt;"尚未處理","已處理","尚未處理"),"")</f>
        <v/>
      </c>
      <c r="B740" s="2"/>
      <c r="C740" s="2"/>
      <c r="D740" s="2"/>
      <c r="E740" s="2"/>
    </row>
    <row r="741" spans="1:5" x14ac:dyDescent="0.25">
      <c r="A741" s="2" t="str">
        <f>IF(B741&lt;&gt;"",IF(_xlfn.IFNA(VLOOKUP(B741,OmsControlTable!T:T,1,0),"尚未處理")&lt;&gt;"尚未處理","已處理","尚未處理"),"")</f>
        <v/>
      </c>
      <c r="B741" s="2"/>
      <c r="C741" s="2"/>
      <c r="D741" s="2"/>
      <c r="E741" s="2"/>
    </row>
    <row r="742" spans="1:5" x14ac:dyDescent="0.25">
      <c r="A742" s="2" t="str">
        <f>IF(B742&lt;&gt;"",IF(_xlfn.IFNA(VLOOKUP(B742,OmsControlTable!T:T,1,0),"尚未處理")&lt;&gt;"尚未處理","已處理","尚未處理"),"")</f>
        <v/>
      </c>
      <c r="B742" s="2"/>
      <c r="C742" s="2"/>
      <c r="D742" s="2"/>
      <c r="E742" s="2"/>
    </row>
    <row r="743" spans="1:5" x14ac:dyDescent="0.25">
      <c r="A743" s="2" t="str">
        <f>IF(B743&lt;&gt;"",IF(_xlfn.IFNA(VLOOKUP(B743,OmsControlTable!T:T,1,0),"尚未處理")&lt;&gt;"尚未處理","已處理","尚未處理"),"")</f>
        <v/>
      </c>
      <c r="B743" s="2"/>
      <c r="C743" s="2"/>
      <c r="D743" s="2"/>
      <c r="E743" s="2"/>
    </row>
    <row r="744" spans="1:5" x14ac:dyDescent="0.25">
      <c r="A744" s="2" t="str">
        <f>IF(B744&lt;&gt;"",IF(_xlfn.IFNA(VLOOKUP(B744,OmsControlTable!T:T,1,0),"尚未處理")&lt;&gt;"尚未處理","已處理","尚未處理"),"")</f>
        <v/>
      </c>
      <c r="B744" s="2"/>
      <c r="C744" s="2"/>
      <c r="D744" s="2"/>
      <c r="E744" s="2"/>
    </row>
    <row r="745" spans="1:5" x14ac:dyDescent="0.25">
      <c r="A745" s="2" t="str">
        <f>IF(B745&lt;&gt;"",IF(_xlfn.IFNA(VLOOKUP(B745,OmsControlTable!T:T,1,0),"尚未處理")&lt;&gt;"尚未處理","已處理","尚未處理"),"")</f>
        <v/>
      </c>
      <c r="B745" s="2"/>
      <c r="C745" s="2"/>
      <c r="D745" s="2"/>
      <c r="E745" s="2"/>
    </row>
    <row r="746" spans="1:5" x14ac:dyDescent="0.25">
      <c r="A746" s="2" t="str">
        <f>IF(B746&lt;&gt;"",IF(_xlfn.IFNA(VLOOKUP(B746,OmsControlTable!T:T,1,0),"尚未處理")&lt;&gt;"尚未處理","已處理","尚未處理"),"")</f>
        <v/>
      </c>
      <c r="B746" s="2"/>
      <c r="C746" s="2"/>
      <c r="D746" s="2"/>
      <c r="E746" s="2"/>
    </row>
    <row r="747" spans="1:5" x14ac:dyDescent="0.25">
      <c r="A747" s="2" t="str">
        <f>IF(B747&lt;&gt;"",IF(_xlfn.IFNA(VLOOKUP(B747,OmsControlTable!T:T,1,0),"尚未處理")&lt;&gt;"尚未處理","已處理","尚未處理"),"")</f>
        <v/>
      </c>
      <c r="B747" s="2"/>
      <c r="C747" s="2"/>
      <c r="D747" s="2"/>
      <c r="E747" s="2"/>
    </row>
    <row r="748" spans="1:5" x14ac:dyDescent="0.25">
      <c r="A748" s="2" t="str">
        <f>IF(B748&lt;&gt;"",IF(_xlfn.IFNA(VLOOKUP(B748,OmsControlTable!T:T,1,0),"尚未處理")&lt;&gt;"尚未處理","已處理","尚未處理"),"")</f>
        <v/>
      </c>
      <c r="B748" s="2"/>
      <c r="C748" s="2"/>
      <c r="D748" s="2"/>
      <c r="E748" s="2"/>
    </row>
    <row r="749" spans="1:5" x14ac:dyDescent="0.25">
      <c r="A749" s="2" t="str">
        <f>IF(B749&lt;&gt;"",IF(_xlfn.IFNA(VLOOKUP(B749,OmsControlTable!T:T,1,0),"尚未處理")&lt;&gt;"尚未處理","已處理","尚未處理"),"")</f>
        <v/>
      </c>
      <c r="B749" s="2"/>
      <c r="C749" s="2"/>
      <c r="D749" s="2"/>
      <c r="E749" s="2"/>
    </row>
    <row r="750" spans="1:5" x14ac:dyDescent="0.25">
      <c r="A750" s="2" t="str">
        <f>IF(B750&lt;&gt;"",IF(_xlfn.IFNA(VLOOKUP(B750,OmsControlTable!T:T,1,0),"尚未處理")&lt;&gt;"尚未處理","已處理","尚未處理"),"")</f>
        <v/>
      </c>
      <c r="B750" s="2"/>
      <c r="C750" s="2"/>
      <c r="D750" s="2"/>
      <c r="E750" s="2"/>
    </row>
    <row r="751" spans="1:5" x14ac:dyDescent="0.25">
      <c r="A751" s="2" t="str">
        <f>IF(B751&lt;&gt;"",IF(_xlfn.IFNA(VLOOKUP(B751,OmsControlTable!T:T,1,0),"尚未處理")&lt;&gt;"尚未處理","已處理","尚未處理"),"")</f>
        <v/>
      </c>
      <c r="B751" s="2"/>
      <c r="C751" s="2"/>
      <c r="D751" s="2"/>
      <c r="E751" s="2"/>
    </row>
    <row r="752" spans="1:5" x14ac:dyDescent="0.25">
      <c r="A752" s="2" t="str">
        <f>IF(B752&lt;&gt;"",IF(_xlfn.IFNA(VLOOKUP(B752,OmsControlTable!T:T,1,0),"尚未處理")&lt;&gt;"尚未處理","已處理","尚未處理"),"")</f>
        <v/>
      </c>
      <c r="B752" s="2"/>
      <c r="C752" s="2"/>
      <c r="D752" s="2"/>
      <c r="E752" s="2"/>
    </row>
    <row r="753" spans="1:5" x14ac:dyDescent="0.25">
      <c r="A753" s="2" t="str">
        <f>IF(B753&lt;&gt;"",IF(_xlfn.IFNA(VLOOKUP(B753,OmsControlTable!T:T,1,0),"尚未處理")&lt;&gt;"尚未處理","已處理","尚未處理"),"")</f>
        <v/>
      </c>
      <c r="B753" s="2"/>
      <c r="C753" s="2"/>
      <c r="D753" s="2"/>
      <c r="E753" s="2"/>
    </row>
    <row r="754" spans="1:5" x14ac:dyDescent="0.25">
      <c r="A754" s="2" t="str">
        <f>IF(B754&lt;&gt;"",IF(_xlfn.IFNA(VLOOKUP(B754,OmsControlTable!T:T,1,0),"尚未處理")&lt;&gt;"尚未處理","已處理","尚未處理"),"")</f>
        <v/>
      </c>
      <c r="B754" s="2"/>
      <c r="C754" s="2"/>
      <c r="D754" s="2"/>
      <c r="E754" s="2"/>
    </row>
    <row r="755" spans="1:5" x14ac:dyDescent="0.25">
      <c r="A755" s="2" t="str">
        <f>IF(B755&lt;&gt;"",IF(_xlfn.IFNA(VLOOKUP(B755,OmsControlTable!T:T,1,0),"尚未處理")&lt;&gt;"尚未處理","已處理","尚未處理"),"")</f>
        <v/>
      </c>
      <c r="B755" s="2"/>
      <c r="C755" s="2"/>
      <c r="D755" s="2"/>
      <c r="E755" s="2"/>
    </row>
    <row r="756" spans="1:5" x14ac:dyDescent="0.25">
      <c r="A756" s="2" t="str">
        <f>IF(B756&lt;&gt;"",IF(_xlfn.IFNA(VLOOKUP(B756,OmsControlTable!T:T,1,0),"尚未處理")&lt;&gt;"尚未處理","已處理","尚未處理"),"")</f>
        <v/>
      </c>
      <c r="B756" s="2"/>
      <c r="C756" s="2"/>
      <c r="D756" s="2"/>
      <c r="E756" s="2"/>
    </row>
    <row r="757" spans="1:5" x14ac:dyDescent="0.25">
      <c r="A757" s="2" t="str">
        <f>IF(B757&lt;&gt;"",IF(_xlfn.IFNA(VLOOKUP(B757,OmsControlTable!T:T,1,0),"尚未處理")&lt;&gt;"尚未處理","已處理","尚未處理"),"")</f>
        <v/>
      </c>
      <c r="B757" s="2"/>
      <c r="C757" s="2"/>
      <c r="D757" s="2"/>
      <c r="E757" s="2"/>
    </row>
    <row r="758" spans="1:5" x14ac:dyDescent="0.25">
      <c r="A758" s="2" t="str">
        <f>IF(B758&lt;&gt;"",IF(_xlfn.IFNA(VLOOKUP(B758,OmsControlTable!T:T,1,0),"尚未處理")&lt;&gt;"尚未處理","已處理","尚未處理"),"")</f>
        <v/>
      </c>
      <c r="B758" s="2"/>
      <c r="C758" s="2"/>
      <c r="D758" s="2"/>
      <c r="E758" s="2"/>
    </row>
    <row r="759" spans="1:5" x14ac:dyDescent="0.25">
      <c r="A759" s="2" t="str">
        <f>IF(B759&lt;&gt;"",IF(_xlfn.IFNA(VLOOKUP(B759,OmsControlTable!T:T,1,0),"尚未處理")&lt;&gt;"尚未處理","已處理","尚未處理"),"")</f>
        <v/>
      </c>
      <c r="B759" s="2"/>
      <c r="C759" s="2"/>
      <c r="D759" s="2"/>
      <c r="E759" s="2"/>
    </row>
    <row r="760" spans="1:5" x14ac:dyDescent="0.25">
      <c r="A760" s="2" t="str">
        <f>IF(B760&lt;&gt;"",IF(_xlfn.IFNA(VLOOKUP(B760,OmsControlTable!T:T,1,0),"尚未處理")&lt;&gt;"尚未處理","已處理","尚未處理"),"")</f>
        <v/>
      </c>
      <c r="B760" s="2"/>
      <c r="C760" s="2"/>
      <c r="D760" s="2"/>
      <c r="E760" s="2"/>
    </row>
    <row r="761" spans="1:5" x14ac:dyDescent="0.25">
      <c r="A761" s="2" t="str">
        <f>IF(B761&lt;&gt;"",IF(_xlfn.IFNA(VLOOKUP(B761,OmsControlTable!T:T,1,0),"尚未處理")&lt;&gt;"尚未處理","已處理","尚未處理"),"")</f>
        <v/>
      </c>
      <c r="B761" s="2"/>
      <c r="C761" s="2"/>
      <c r="D761" s="2"/>
      <c r="E761" s="2"/>
    </row>
    <row r="762" spans="1:5" x14ac:dyDescent="0.25">
      <c r="A762" s="2" t="str">
        <f>IF(B762&lt;&gt;"",IF(_xlfn.IFNA(VLOOKUP(B762,OmsControlTable!T:T,1,0),"尚未處理")&lt;&gt;"尚未處理","已處理","尚未處理"),"")</f>
        <v/>
      </c>
      <c r="B762" s="2"/>
      <c r="C762" s="2"/>
      <c r="D762" s="2"/>
      <c r="E762" s="2"/>
    </row>
    <row r="763" spans="1:5" x14ac:dyDescent="0.25">
      <c r="A763" s="2" t="str">
        <f>IF(B763&lt;&gt;"",IF(_xlfn.IFNA(VLOOKUP(B763,OmsControlTable!T:T,1,0),"尚未處理")&lt;&gt;"尚未處理","已處理","尚未處理"),"")</f>
        <v/>
      </c>
      <c r="B763" s="2"/>
      <c r="C763" s="2"/>
      <c r="D763" s="2"/>
      <c r="E763" s="2"/>
    </row>
    <row r="764" spans="1:5" x14ac:dyDescent="0.25">
      <c r="A764" s="2" t="str">
        <f>IF(B764&lt;&gt;"",IF(_xlfn.IFNA(VLOOKUP(B764,OmsControlTable!T:T,1,0),"尚未處理")&lt;&gt;"尚未處理","已處理","尚未處理"),"")</f>
        <v/>
      </c>
      <c r="B764" s="2"/>
      <c r="C764" s="2"/>
      <c r="D764" s="2"/>
      <c r="E764" s="2"/>
    </row>
    <row r="765" spans="1:5" x14ac:dyDescent="0.25">
      <c r="A765" s="2" t="str">
        <f>IF(B765&lt;&gt;"",IF(_xlfn.IFNA(VLOOKUP(B765,OmsControlTable!T:T,1,0),"尚未處理")&lt;&gt;"尚未處理","已處理","尚未處理"),"")</f>
        <v/>
      </c>
      <c r="B765" s="2"/>
      <c r="C765" s="2"/>
      <c r="D765" s="2"/>
      <c r="E765" s="2"/>
    </row>
    <row r="766" spans="1:5" x14ac:dyDescent="0.25">
      <c r="A766" s="2" t="str">
        <f>IF(B766&lt;&gt;"",IF(_xlfn.IFNA(VLOOKUP(B766,OmsControlTable!T:T,1,0),"尚未處理")&lt;&gt;"尚未處理","已處理","尚未處理"),"")</f>
        <v/>
      </c>
      <c r="B766" s="2"/>
      <c r="C766" s="2"/>
      <c r="D766" s="2"/>
      <c r="E766" s="2"/>
    </row>
    <row r="767" spans="1:5" x14ac:dyDescent="0.25">
      <c r="A767" s="2" t="str">
        <f>IF(B767&lt;&gt;"",IF(_xlfn.IFNA(VLOOKUP(B767,OmsControlTable!T:T,1,0),"尚未處理")&lt;&gt;"尚未處理","已處理","尚未處理"),"")</f>
        <v/>
      </c>
      <c r="B767" s="2"/>
      <c r="C767" s="2"/>
      <c r="D767" s="2"/>
      <c r="E767" s="2"/>
    </row>
    <row r="768" spans="1:5" x14ac:dyDescent="0.25">
      <c r="A768" s="2" t="str">
        <f>IF(B768&lt;&gt;"",IF(_xlfn.IFNA(VLOOKUP(B768,OmsControlTable!T:T,1,0),"尚未處理")&lt;&gt;"尚未處理","已處理","尚未處理"),"")</f>
        <v/>
      </c>
      <c r="B768" s="2"/>
      <c r="C768" s="2"/>
      <c r="D768" s="2"/>
      <c r="E768" s="2"/>
    </row>
    <row r="769" spans="1:5" x14ac:dyDescent="0.25">
      <c r="A769" s="2" t="str">
        <f>IF(B769&lt;&gt;"",IF(_xlfn.IFNA(VLOOKUP(B769,OmsControlTable!T:T,1,0),"尚未處理")&lt;&gt;"尚未處理","已處理","尚未處理"),"")</f>
        <v/>
      </c>
      <c r="B769" s="2"/>
      <c r="C769" s="2"/>
      <c r="D769" s="2"/>
      <c r="E769" s="2"/>
    </row>
    <row r="770" spans="1:5" x14ac:dyDescent="0.25">
      <c r="A770" s="2" t="str">
        <f>IF(B770&lt;&gt;"",IF(_xlfn.IFNA(VLOOKUP(B770,OmsControlTable!T:T,1,0),"尚未處理")&lt;&gt;"尚未處理","已處理","尚未處理"),"")</f>
        <v/>
      </c>
      <c r="B770" s="2"/>
      <c r="C770" s="2"/>
      <c r="D770" s="2"/>
      <c r="E770" s="2"/>
    </row>
    <row r="771" spans="1:5" x14ac:dyDescent="0.25">
      <c r="A771" s="2" t="str">
        <f>IF(B771&lt;&gt;"",IF(_xlfn.IFNA(VLOOKUP(B771,OmsControlTable!T:T,1,0),"尚未處理")&lt;&gt;"尚未處理","已處理","尚未處理"),"")</f>
        <v/>
      </c>
      <c r="B771" s="2"/>
      <c r="C771" s="2"/>
      <c r="D771" s="2"/>
      <c r="E771" s="2"/>
    </row>
    <row r="772" spans="1:5" x14ac:dyDescent="0.25">
      <c r="A772" s="2" t="str">
        <f>IF(B772&lt;&gt;"",IF(_xlfn.IFNA(VLOOKUP(B772,OmsControlTable!T:T,1,0),"尚未處理")&lt;&gt;"尚未處理","已處理","尚未處理"),"")</f>
        <v/>
      </c>
      <c r="B772" s="2"/>
      <c r="C772" s="2"/>
      <c r="D772" s="2"/>
      <c r="E772" s="2"/>
    </row>
    <row r="773" spans="1:5" x14ac:dyDescent="0.25">
      <c r="A773" s="2" t="str">
        <f>IF(B773&lt;&gt;"",IF(_xlfn.IFNA(VLOOKUP(B773,OmsControlTable!T:T,1,0),"尚未處理")&lt;&gt;"尚未處理","已處理","尚未處理"),"")</f>
        <v/>
      </c>
      <c r="B773" s="2"/>
      <c r="C773" s="2"/>
      <c r="D773" s="2"/>
      <c r="E773" s="2"/>
    </row>
    <row r="774" spans="1:5" x14ac:dyDescent="0.25">
      <c r="A774" s="2" t="str">
        <f>IF(B774&lt;&gt;"",IF(_xlfn.IFNA(VLOOKUP(B774,OmsControlTable!T:T,1,0),"尚未處理")&lt;&gt;"尚未處理","已處理","尚未處理"),"")</f>
        <v/>
      </c>
      <c r="B774" s="2"/>
      <c r="C774" s="2"/>
      <c r="D774" s="2"/>
      <c r="E774" s="2"/>
    </row>
    <row r="775" spans="1:5" x14ac:dyDescent="0.25">
      <c r="A775" s="2" t="str">
        <f>IF(B775&lt;&gt;"",IF(_xlfn.IFNA(VLOOKUP(B775,OmsControlTable!T:T,1,0),"尚未處理")&lt;&gt;"尚未處理","已處理","尚未處理"),"")</f>
        <v/>
      </c>
      <c r="B775" s="2"/>
      <c r="C775" s="2"/>
      <c r="D775" s="2"/>
      <c r="E775" s="2"/>
    </row>
    <row r="776" spans="1:5" x14ac:dyDescent="0.25">
      <c r="A776" s="2" t="str">
        <f>IF(B776&lt;&gt;"",IF(_xlfn.IFNA(VLOOKUP(B776,OmsControlTable!T:T,1,0),"尚未處理")&lt;&gt;"尚未處理","已處理","尚未處理"),"")</f>
        <v/>
      </c>
      <c r="B776" s="2"/>
      <c r="C776" s="2"/>
      <c r="D776" s="2"/>
      <c r="E776" s="2"/>
    </row>
    <row r="777" spans="1:5" x14ac:dyDescent="0.25">
      <c r="A777" s="2" t="str">
        <f>IF(B777&lt;&gt;"",IF(_xlfn.IFNA(VLOOKUP(B777,OmsControlTable!T:T,1,0),"尚未處理")&lt;&gt;"尚未處理","已處理","尚未處理"),"")</f>
        <v/>
      </c>
      <c r="B777" s="2"/>
      <c r="C777" s="2"/>
      <c r="D777" s="2"/>
      <c r="E777" s="2"/>
    </row>
    <row r="778" spans="1:5" x14ac:dyDescent="0.25">
      <c r="A778" s="2" t="str">
        <f>IF(B778&lt;&gt;"",IF(_xlfn.IFNA(VLOOKUP(B778,OmsControlTable!T:T,1,0),"尚未處理")&lt;&gt;"尚未處理","已處理","尚未處理"),"")</f>
        <v/>
      </c>
      <c r="B778" s="2"/>
      <c r="C778" s="2"/>
      <c r="D778" s="2"/>
      <c r="E778" s="2"/>
    </row>
    <row r="779" spans="1:5" x14ac:dyDescent="0.25">
      <c r="A779" s="2" t="str">
        <f>IF(B779&lt;&gt;"",IF(_xlfn.IFNA(VLOOKUP(B779,OmsControlTable!T:T,1,0),"尚未處理")&lt;&gt;"尚未處理","已處理","尚未處理"),"")</f>
        <v/>
      </c>
      <c r="B779" s="2"/>
      <c r="C779" s="2"/>
      <c r="D779" s="2"/>
      <c r="E779" s="2"/>
    </row>
    <row r="780" spans="1:5" x14ac:dyDescent="0.25">
      <c r="A780" s="2" t="str">
        <f>IF(B780&lt;&gt;"",IF(_xlfn.IFNA(VLOOKUP(B780,OmsControlTable!T:T,1,0),"尚未處理")&lt;&gt;"尚未處理","已處理","尚未處理"),"")</f>
        <v/>
      </c>
      <c r="B780" s="2"/>
      <c r="C780" s="2"/>
      <c r="D780" s="2"/>
      <c r="E780" s="2"/>
    </row>
    <row r="781" spans="1:5" x14ac:dyDescent="0.25">
      <c r="A781" s="2" t="str">
        <f>IF(B781&lt;&gt;"",IF(_xlfn.IFNA(VLOOKUP(B781,OmsControlTable!T:T,1,0),"尚未處理")&lt;&gt;"尚未處理","已處理","尚未處理"),"")</f>
        <v/>
      </c>
      <c r="B781" s="2"/>
      <c r="C781" s="2"/>
      <c r="D781" s="2"/>
      <c r="E781" s="2"/>
    </row>
    <row r="782" spans="1:5" x14ac:dyDescent="0.25">
      <c r="A782" s="2" t="str">
        <f>IF(B782&lt;&gt;"",IF(_xlfn.IFNA(VLOOKUP(B782,OmsControlTable!T:T,1,0),"尚未處理")&lt;&gt;"尚未處理","已處理","尚未處理"),"")</f>
        <v/>
      </c>
      <c r="B782" s="2"/>
      <c r="C782" s="2"/>
      <c r="D782" s="2"/>
      <c r="E782" s="2"/>
    </row>
    <row r="783" spans="1:5" x14ac:dyDescent="0.25">
      <c r="A783" s="2" t="str">
        <f>IF(B783&lt;&gt;"",IF(_xlfn.IFNA(VLOOKUP(B783,OmsControlTable!T:T,1,0),"尚未處理")&lt;&gt;"尚未處理","已處理","尚未處理"),"")</f>
        <v/>
      </c>
      <c r="B783" s="2"/>
      <c r="C783" s="2"/>
      <c r="D783" s="2"/>
      <c r="E783" s="2"/>
    </row>
    <row r="784" spans="1:5" x14ac:dyDescent="0.25">
      <c r="A784" s="2" t="str">
        <f>IF(B784&lt;&gt;"",IF(_xlfn.IFNA(VLOOKUP(B784,OmsControlTable!T:T,1,0),"尚未處理")&lt;&gt;"尚未處理","已處理","尚未處理"),"")</f>
        <v/>
      </c>
      <c r="B784" s="2"/>
      <c r="C784" s="2"/>
      <c r="D784" s="2"/>
      <c r="E784" s="2"/>
    </row>
    <row r="785" spans="1:5" x14ac:dyDescent="0.25">
      <c r="A785" s="2" t="str">
        <f>IF(B785&lt;&gt;"",IF(_xlfn.IFNA(VLOOKUP(B785,OmsControlTable!T:T,1,0),"尚未處理")&lt;&gt;"尚未處理","已處理","尚未處理"),"")</f>
        <v/>
      </c>
      <c r="B785" s="2"/>
      <c r="C785" s="2"/>
      <c r="D785" s="2"/>
      <c r="E785" s="2"/>
    </row>
    <row r="786" spans="1:5" x14ac:dyDescent="0.25">
      <c r="A786" s="2" t="str">
        <f>IF(B786&lt;&gt;"",IF(_xlfn.IFNA(VLOOKUP(B786,OmsControlTable!T:T,1,0),"尚未處理")&lt;&gt;"尚未處理","已處理","尚未處理"),"")</f>
        <v/>
      </c>
      <c r="B786" s="2"/>
      <c r="C786" s="2"/>
      <c r="D786" s="2"/>
      <c r="E786" s="2"/>
    </row>
    <row r="787" spans="1:5" x14ac:dyDescent="0.25">
      <c r="A787" s="2" t="str">
        <f>IF(B787&lt;&gt;"",IF(_xlfn.IFNA(VLOOKUP(B787,OmsControlTable!T:T,1,0),"尚未處理")&lt;&gt;"尚未處理","已處理","尚未處理"),"")</f>
        <v/>
      </c>
      <c r="B787" s="2"/>
      <c r="C787" s="2"/>
      <c r="D787" s="2"/>
      <c r="E787" s="2"/>
    </row>
    <row r="788" spans="1:5" x14ac:dyDescent="0.25">
      <c r="A788" s="2" t="str">
        <f>IF(B788&lt;&gt;"",IF(_xlfn.IFNA(VLOOKUP(B788,OmsControlTable!T:T,1,0),"尚未處理")&lt;&gt;"尚未處理","已處理","尚未處理"),"")</f>
        <v/>
      </c>
      <c r="B788" s="2"/>
      <c r="C788" s="2"/>
      <c r="D788" s="2"/>
      <c r="E788" s="2"/>
    </row>
    <row r="789" spans="1:5" x14ac:dyDescent="0.25">
      <c r="A789" s="2" t="str">
        <f>IF(B789&lt;&gt;"",IF(_xlfn.IFNA(VLOOKUP(B789,OmsControlTable!T:T,1,0),"尚未處理")&lt;&gt;"尚未處理","已處理","尚未處理"),"")</f>
        <v/>
      </c>
      <c r="B789" s="2"/>
      <c r="C789" s="2"/>
      <c r="D789" s="2"/>
      <c r="E789" s="2"/>
    </row>
    <row r="790" spans="1:5" x14ac:dyDescent="0.25">
      <c r="A790" s="2" t="str">
        <f>IF(B790&lt;&gt;"",IF(_xlfn.IFNA(VLOOKUP(B790,OmsControlTable!T:T,1,0),"尚未處理")&lt;&gt;"尚未處理","已處理","尚未處理"),"")</f>
        <v/>
      </c>
      <c r="B790" s="2"/>
      <c r="C790" s="2"/>
      <c r="D790" s="2"/>
      <c r="E790" s="2"/>
    </row>
    <row r="791" spans="1:5" x14ac:dyDescent="0.25">
      <c r="A791" s="2" t="str">
        <f>IF(B791&lt;&gt;"",IF(_xlfn.IFNA(VLOOKUP(B791,OmsControlTable!T:T,1,0),"尚未處理")&lt;&gt;"尚未處理","已處理","尚未處理"),"")</f>
        <v/>
      </c>
      <c r="B791" s="2"/>
      <c r="C791" s="2"/>
      <c r="D791" s="2"/>
      <c r="E791" s="2"/>
    </row>
    <row r="792" spans="1:5" x14ac:dyDescent="0.25">
      <c r="A792" s="2" t="str">
        <f>IF(B792&lt;&gt;"",IF(_xlfn.IFNA(VLOOKUP(B792,OmsControlTable!T:T,1,0),"尚未處理")&lt;&gt;"尚未處理","已處理","尚未處理"),"")</f>
        <v/>
      </c>
      <c r="B792" s="2"/>
      <c r="C792" s="2"/>
      <c r="D792" s="2"/>
      <c r="E792" s="2"/>
    </row>
    <row r="793" spans="1:5" x14ac:dyDescent="0.25">
      <c r="A793" s="2" t="str">
        <f>IF(B793&lt;&gt;"",IF(_xlfn.IFNA(VLOOKUP(B793,OmsControlTable!T:T,1,0),"尚未處理")&lt;&gt;"尚未處理","已處理","尚未處理"),"")</f>
        <v/>
      </c>
      <c r="B793" s="2"/>
      <c r="C793" s="2"/>
      <c r="D793" s="2"/>
      <c r="E793" s="2"/>
    </row>
    <row r="794" spans="1:5" x14ac:dyDescent="0.25">
      <c r="A794" s="2" t="str">
        <f>IF(B794&lt;&gt;"",IF(_xlfn.IFNA(VLOOKUP(B794,OmsControlTable!T:T,1,0),"尚未處理")&lt;&gt;"尚未處理","已處理","尚未處理"),"")</f>
        <v/>
      </c>
      <c r="B794" s="2"/>
      <c r="C794" s="2"/>
      <c r="D794" s="2"/>
      <c r="E794" s="2"/>
    </row>
    <row r="795" spans="1:5" x14ac:dyDescent="0.25">
      <c r="A795" s="2" t="str">
        <f>IF(B795&lt;&gt;"",IF(_xlfn.IFNA(VLOOKUP(B795,OmsControlTable!T:T,1,0),"尚未處理")&lt;&gt;"尚未處理","已處理","尚未處理"),"")</f>
        <v/>
      </c>
      <c r="B795" s="2"/>
      <c r="C795" s="2"/>
      <c r="D795" s="2"/>
      <c r="E795" s="2"/>
    </row>
    <row r="796" spans="1:5" x14ac:dyDescent="0.25">
      <c r="A796" s="2" t="str">
        <f>IF(B796&lt;&gt;"",IF(_xlfn.IFNA(VLOOKUP(B796,OmsControlTable!T:T,1,0),"尚未處理")&lt;&gt;"尚未處理","已處理","尚未處理"),"")</f>
        <v/>
      </c>
      <c r="B796" s="2"/>
      <c r="C796" s="2"/>
      <c r="D796" s="2"/>
      <c r="E796" s="2"/>
    </row>
    <row r="797" spans="1:5" x14ac:dyDescent="0.25">
      <c r="A797" s="2" t="str">
        <f>IF(B797&lt;&gt;"",IF(_xlfn.IFNA(VLOOKUP(B797,OmsControlTable!T:T,1,0),"尚未處理")&lt;&gt;"尚未處理","已處理","尚未處理"),"")</f>
        <v/>
      </c>
      <c r="B797" s="2"/>
      <c r="C797" s="2"/>
      <c r="D797" s="2"/>
      <c r="E797" s="2"/>
    </row>
    <row r="798" spans="1:5" x14ac:dyDescent="0.25">
      <c r="A798" s="2" t="str">
        <f>IF(B798&lt;&gt;"",IF(_xlfn.IFNA(VLOOKUP(B798,OmsControlTable!T:T,1,0),"尚未處理")&lt;&gt;"尚未處理","已處理","尚未處理"),"")</f>
        <v/>
      </c>
      <c r="B798" s="2"/>
      <c r="C798" s="2"/>
      <c r="D798" s="2"/>
      <c r="E798" s="2"/>
    </row>
    <row r="799" spans="1:5" x14ac:dyDescent="0.25">
      <c r="A799" s="2" t="str">
        <f>IF(B799&lt;&gt;"",IF(_xlfn.IFNA(VLOOKUP(B799,OmsControlTable!T:T,1,0),"尚未處理")&lt;&gt;"尚未處理","已處理","尚未處理"),"")</f>
        <v/>
      </c>
      <c r="B799" s="2"/>
      <c r="C799" s="2"/>
      <c r="D799" s="2"/>
      <c r="E799" s="2"/>
    </row>
    <row r="800" spans="1:5" x14ac:dyDescent="0.25">
      <c r="A800" s="2" t="str">
        <f>IF(B800&lt;&gt;"",IF(_xlfn.IFNA(VLOOKUP(B800,OmsControlTable!T:T,1,0),"尚未處理")&lt;&gt;"尚未處理","已處理","尚未處理"),"")</f>
        <v/>
      </c>
      <c r="B800" s="2"/>
      <c r="C800" s="2"/>
      <c r="D800" s="2"/>
      <c r="E800" s="2"/>
    </row>
    <row r="801" spans="1:5" x14ac:dyDescent="0.25">
      <c r="A801" s="2" t="str">
        <f>IF(B801&lt;&gt;"",IF(_xlfn.IFNA(VLOOKUP(B801,OmsControlTable!T:T,1,0),"尚未處理")&lt;&gt;"尚未處理","已處理","尚未處理"),"")</f>
        <v/>
      </c>
      <c r="B801" s="2"/>
      <c r="C801" s="2"/>
      <c r="D801" s="2"/>
      <c r="E801" s="2"/>
    </row>
    <row r="802" spans="1:5" x14ac:dyDescent="0.25">
      <c r="A802" s="2" t="str">
        <f>IF(B802&lt;&gt;"",IF(_xlfn.IFNA(VLOOKUP(B802,OmsControlTable!T:T,1,0),"尚未處理")&lt;&gt;"尚未處理","已處理","尚未處理"),"")</f>
        <v/>
      </c>
      <c r="B802" s="2"/>
      <c r="C802" s="2"/>
      <c r="D802" s="2"/>
      <c r="E802" s="2"/>
    </row>
    <row r="803" spans="1:5" x14ac:dyDescent="0.25">
      <c r="A803" s="2" t="str">
        <f>IF(B803&lt;&gt;"",IF(_xlfn.IFNA(VLOOKUP(B803,OmsControlTable!T:T,1,0),"尚未處理")&lt;&gt;"尚未處理","已處理","尚未處理"),"")</f>
        <v/>
      </c>
      <c r="B803" s="2"/>
      <c r="C803" s="2"/>
      <c r="D803" s="2"/>
      <c r="E803" s="2"/>
    </row>
    <row r="804" spans="1:5" x14ac:dyDescent="0.25">
      <c r="A804" s="2" t="str">
        <f>IF(B804&lt;&gt;"",IF(_xlfn.IFNA(VLOOKUP(B804,OmsControlTable!T:T,1,0),"尚未處理")&lt;&gt;"尚未處理","已處理","尚未處理"),"")</f>
        <v/>
      </c>
      <c r="B804" s="2"/>
      <c r="C804" s="2"/>
      <c r="D804" s="2"/>
      <c r="E804" s="2"/>
    </row>
    <row r="805" spans="1:5" x14ac:dyDescent="0.25">
      <c r="A805" s="2" t="str">
        <f>IF(B805&lt;&gt;"",IF(_xlfn.IFNA(VLOOKUP(B805,OmsControlTable!T:T,1,0),"尚未處理")&lt;&gt;"尚未處理","已處理","尚未處理"),"")</f>
        <v/>
      </c>
      <c r="B805" s="2"/>
      <c r="C805" s="2"/>
      <c r="D805" s="2"/>
      <c r="E805" s="2"/>
    </row>
    <row r="806" spans="1:5" x14ac:dyDescent="0.25">
      <c r="A806" s="2" t="str">
        <f>IF(B806&lt;&gt;"",IF(_xlfn.IFNA(VLOOKUP(B806,OmsControlTable!T:T,1,0),"尚未處理")&lt;&gt;"尚未處理","已處理","尚未處理"),"")</f>
        <v/>
      </c>
      <c r="B806" s="2"/>
      <c r="C806" s="2"/>
      <c r="D806" s="2"/>
      <c r="E806" s="2"/>
    </row>
    <row r="807" spans="1:5" x14ac:dyDescent="0.25">
      <c r="A807" s="2" t="str">
        <f>IF(B807&lt;&gt;"",IF(_xlfn.IFNA(VLOOKUP(B807,OmsControlTable!T:T,1,0),"尚未處理")&lt;&gt;"尚未處理","已處理","尚未處理"),"")</f>
        <v/>
      </c>
      <c r="B807" s="2"/>
      <c r="C807" s="2"/>
      <c r="D807" s="2"/>
      <c r="E807" s="2"/>
    </row>
    <row r="808" spans="1:5" x14ac:dyDescent="0.25">
      <c r="A808" s="2" t="str">
        <f>IF(B808&lt;&gt;"",IF(_xlfn.IFNA(VLOOKUP(B808,OmsControlTable!T:T,1,0),"尚未處理")&lt;&gt;"尚未處理","已處理","尚未處理"),"")</f>
        <v/>
      </c>
      <c r="B808" s="2"/>
      <c r="C808" s="2"/>
      <c r="D808" s="2"/>
      <c r="E808" s="2"/>
    </row>
    <row r="809" spans="1:5" x14ac:dyDescent="0.25">
      <c r="A809" s="2" t="str">
        <f>IF(B809&lt;&gt;"",IF(_xlfn.IFNA(VLOOKUP(B809,OmsControlTable!T:T,1,0),"尚未處理")&lt;&gt;"尚未處理","已處理","尚未處理"),"")</f>
        <v/>
      </c>
      <c r="B809" s="2"/>
      <c r="C809" s="2"/>
      <c r="D809" s="2"/>
      <c r="E809" s="2"/>
    </row>
    <row r="810" spans="1:5" x14ac:dyDescent="0.25">
      <c r="A810" s="2" t="str">
        <f>IF(B810&lt;&gt;"",IF(_xlfn.IFNA(VLOOKUP(B810,OmsControlTable!T:T,1,0),"尚未處理")&lt;&gt;"尚未處理","已處理","尚未處理"),"")</f>
        <v/>
      </c>
      <c r="B810" s="2"/>
      <c r="C810" s="2"/>
      <c r="D810" s="2"/>
      <c r="E810" s="2"/>
    </row>
    <row r="811" spans="1:5" x14ac:dyDescent="0.25">
      <c r="A811" s="2" t="str">
        <f>IF(B811&lt;&gt;"",IF(_xlfn.IFNA(VLOOKUP(B811,OmsControlTable!T:T,1,0),"尚未處理")&lt;&gt;"尚未處理","已處理","尚未處理"),"")</f>
        <v/>
      </c>
      <c r="B811" s="2"/>
      <c r="C811" s="2"/>
      <c r="D811" s="2"/>
      <c r="E811" s="2"/>
    </row>
    <row r="812" spans="1:5" x14ac:dyDescent="0.25">
      <c r="A812" s="2" t="str">
        <f>IF(B812&lt;&gt;"",IF(_xlfn.IFNA(VLOOKUP(B812,OmsControlTable!T:T,1,0),"尚未處理")&lt;&gt;"尚未處理","已處理","尚未處理"),"")</f>
        <v/>
      </c>
      <c r="B812" s="2"/>
      <c r="C812" s="2"/>
      <c r="D812" s="2"/>
      <c r="E812" s="2"/>
    </row>
    <row r="813" spans="1:5" x14ac:dyDescent="0.25">
      <c r="A813" s="2" t="str">
        <f>IF(B813&lt;&gt;"",IF(_xlfn.IFNA(VLOOKUP(B813,OmsControlTable!T:T,1,0),"尚未處理")&lt;&gt;"尚未處理","已處理","尚未處理"),"")</f>
        <v/>
      </c>
      <c r="B813" s="2"/>
      <c r="C813" s="2"/>
      <c r="D813" s="2"/>
      <c r="E813" s="2"/>
    </row>
    <row r="814" spans="1:5" x14ac:dyDescent="0.25">
      <c r="A814" s="2" t="str">
        <f>IF(B814&lt;&gt;"",IF(_xlfn.IFNA(VLOOKUP(B814,OmsControlTable!T:T,1,0),"尚未處理")&lt;&gt;"尚未處理","已處理","尚未處理"),"")</f>
        <v/>
      </c>
      <c r="B814" s="2"/>
      <c r="C814" s="2"/>
      <c r="D814" s="2"/>
      <c r="E814" s="2"/>
    </row>
    <row r="815" spans="1:5" x14ac:dyDescent="0.25">
      <c r="A815" s="2" t="str">
        <f>IF(B815&lt;&gt;"",IF(_xlfn.IFNA(VLOOKUP(B815,OmsControlTable!T:T,1,0),"尚未處理")&lt;&gt;"尚未處理","已處理","尚未處理"),"")</f>
        <v/>
      </c>
      <c r="B815" s="2"/>
      <c r="C815" s="2"/>
      <c r="D815" s="2"/>
      <c r="E815" s="2"/>
    </row>
    <row r="816" spans="1:5" x14ac:dyDescent="0.25">
      <c r="A816" s="2" t="str">
        <f>IF(B816&lt;&gt;"",IF(_xlfn.IFNA(VLOOKUP(B816,OmsControlTable!T:T,1,0),"尚未處理")&lt;&gt;"尚未處理","已處理","尚未處理"),"")</f>
        <v/>
      </c>
      <c r="B816" s="2"/>
      <c r="C816" s="2"/>
      <c r="D816" s="2"/>
      <c r="E816" s="2"/>
    </row>
    <row r="817" spans="1:5" x14ac:dyDescent="0.25">
      <c r="A817" s="2" t="str">
        <f>IF(B817&lt;&gt;"",IF(_xlfn.IFNA(VLOOKUP(B817,OmsControlTable!T:T,1,0),"尚未處理")&lt;&gt;"尚未處理","已處理","尚未處理"),"")</f>
        <v/>
      </c>
      <c r="B817" s="2"/>
      <c r="C817" s="2"/>
      <c r="D817" s="2"/>
      <c r="E817" s="2"/>
    </row>
    <row r="818" spans="1:5" x14ac:dyDescent="0.25">
      <c r="A818" s="2" t="str">
        <f>IF(B818&lt;&gt;"",IF(_xlfn.IFNA(VLOOKUP(B818,OmsControlTable!T:T,1,0),"尚未處理")&lt;&gt;"尚未處理","已處理","尚未處理"),"")</f>
        <v/>
      </c>
      <c r="B818" s="2"/>
      <c r="C818" s="2"/>
      <c r="D818" s="2"/>
      <c r="E818" s="2"/>
    </row>
    <row r="819" spans="1:5" x14ac:dyDescent="0.25">
      <c r="A819" s="2" t="str">
        <f>IF(B819&lt;&gt;"",IF(_xlfn.IFNA(VLOOKUP(B819,OmsControlTable!T:T,1,0),"尚未處理")&lt;&gt;"尚未處理","已處理","尚未處理"),"")</f>
        <v/>
      </c>
      <c r="B819" s="2"/>
      <c r="C819" s="2"/>
      <c r="D819" s="2"/>
      <c r="E819" s="2"/>
    </row>
    <row r="820" spans="1:5" x14ac:dyDescent="0.25">
      <c r="A820" s="2" t="str">
        <f>IF(B820&lt;&gt;"",IF(_xlfn.IFNA(VLOOKUP(B820,OmsControlTable!T:T,1,0),"尚未處理")&lt;&gt;"尚未處理","已處理","尚未處理"),"")</f>
        <v/>
      </c>
      <c r="B820" s="2"/>
      <c r="C820" s="2"/>
      <c r="D820" s="2"/>
      <c r="E820" s="2"/>
    </row>
    <row r="821" spans="1:5" x14ac:dyDescent="0.25">
      <c r="A821" s="2" t="str">
        <f>IF(B821&lt;&gt;"",IF(_xlfn.IFNA(VLOOKUP(B821,OmsControlTable!T:T,1,0),"尚未處理")&lt;&gt;"尚未處理","已處理","尚未處理"),"")</f>
        <v/>
      </c>
      <c r="B821" s="2"/>
      <c r="C821" s="2"/>
      <c r="D821" s="2"/>
      <c r="E821" s="2"/>
    </row>
    <row r="822" spans="1:5" x14ac:dyDescent="0.25">
      <c r="A822" s="2" t="str">
        <f>IF(B822&lt;&gt;"",IF(_xlfn.IFNA(VLOOKUP(B822,OmsControlTable!T:T,1,0),"尚未處理")&lt;&gt;"尚未處理","已處理","尚未處理"),"")</f>
        <v/>
      </c>
      <c r="B822" s="2"/>
      <c r="C822" s="2"/>
      <c r="D822" s="2"/>
      <c r="E822" s="2"/>
    </row>
    <row r="823" spans="1:5" x14ac:dyDescent="0.25">
      <c r="A823" s="2" t="str">
        <f>IF(B823&lt;&gt;"",IF(_xlfn.IFNA(VLOOKUP(B823,OmsControlTable!T:T,1,0),"尚未處理")&lt;&gt;"尚未處理","已處理","尚未處理"),"")</f>
        <v/>
      </c>
      <c r="B823" s="2"/>
      <c r="C823" s="2"/>
      <c r="D823" s="2"/>
      <c r="E823" s="2"/>
    </row>
    <row r="824" spans="1:5" x14ac:dyDescent="0.25">
      <c r="A824" s="2" t="str">
        <f>IF(B824&lt;&gt;"",IF(_xlfn.IFNA(VLOOKUP(B824,OmsControlTable!T:T,1,0),"尚未處理")&lt;&gt;"尚未處理","已處理","尚未處理"),"")</f>
        <v/>
      </c>
      <c r="B824" s="2"/>
      <c r="C824" s="2"/>
      <c r="D824" s="2"/>
      <c r="E824" s="2"/>
    </row>
    <row r="825" spans="1:5" x14ac:dyDescent="0.25">
      <c r="A825" s="2" t="str">
        <f>IF(B825&lt;&gt;"",IF(_xlfn.IFNA(VLOOKUP(B825,OmsControlTable!T:T,1,0),"尚未處理")&lt;&gt;"尚未處理","已處理","尚未處理"),"")</f>
        <v/>
      </c>
      <c r="B825" s="2"/>
      <c r="C825" s="2"/>
      <c r="D825" s="2"/>
      <c r="E825" s="2"/>
    </row>
    <row r="826" spans="1:5" x14ac:dyDescent="0.25">
      <c r="A826" s="2" t="str">
        <f>IF(B826&lt;&gt;"",IF(_xlfn.IFNA(VLOOKUP(B826,OmsControlTable!T:T,1,0),"尚未處理")&lt;&gt;"尚未處理","已處理","尚未處理"),"")</f>
        <v/>
      </c>
      <c r="B826" s="2"/>
      <c r="C826" s="2"/>
      <c r="D826" s="2"/>
      <c r="E826" s="2"/>
    </row>
    <row r="827" spans="1:5" x14ac:dyDescent="0.25">
      <c r="A827" s="2" t="str">
        <f>IF(B827&lt;&gt;"",IF(_xlfn.IFNA(VLOOKUP(B827,OmsControlTable!T:T,1,0),"尚未處理")&lt;&gt;"尚未處理","已處理","尚未處理"),"")</f>
        <v/>
      </c>
      <c r="B827" s="2"/>
      <c r="C827" s="2"/>
      <c r="D827" s="2"/>
      <c r="E827" s="2"/>
    </row>
    <row r="828" spans="1:5" x14ac:dyDescent="0.25">
      <c r="A828" s="2" t="str">
        <f>IF(B828&lt;&gt;"",IF(_xlfn.IFNA(VLOOKUP(B828,OmsControlTable!T:T,1,0),"尚未處理")&lt;&gt;"尚未處理","已處理","尚未處理"),"")</f>
        <v/>
      </c>
      <c r="B828" s="2"/>
      <c r="C828" s="2"/>
      <c r="D828" s="2"/>
      <c r="E828" s="2"/>
    </row>
    <row r="829" spans="1:5" x14ac:dyDescent="0.25">
      <c r="A829" s="2" t="str">
        <f>IF(B829&lt;&gt;"",IF(_xlfn.IFNA(VLOOKUP(B829,OmsControlTable!T:T,1,0),"尚未處理")&lt;&gt;"尚未處理","已處理","尚未處理"),"")</f>
        <v/>
      </c>
      <c r="B829" s="2"/>
      <c r="C829" s="2"/>
      <c r="D829" s="2"/>
      <c r="E829" s="2"/>
    </row>
    <row r="830" spans="1:5" x14ac:dyDescent="0.25">
      <c r="A830" s="2" t="str">
        <f>IF(B830&lt;&gt;"",IF(_xlfn.IFNA(VLOOKUP(B830,OmsControlTable!T:T,1,0),"尚未處理")&lt;&gt;"尚未處理","已處理","尚未處理"),"")</f>
        <v/>
      </c>
      <c r="B830" s="2"/>
      <c r="C830" s="2"/>
      <c r="D830" s="2"/>
      <c r="E830" s="2"/>
    </row>
    <row r="831" spans="1:5" x14ac:dyDescent="0.25">
      <c r="A831" s="2" t="str">
        <f>IF(B831&lt;&gt;"",IF(_xlfn.IFNA(VLOOKUP(B831,OmsControlTable!T:T,1,0),"尚未處理")&lt;&gt;"尚未處理","已處理","尚未處理"),"")</f>
        <v/>
      </c>
      <c r="B831" s="2"/>
      <c r="C831" s="2"/>
      <c r="D831" s="2"/>
      <c r="E831" s="2"/>
    </row>
    <row r="832" spans="1:5" x14ac:dyDescent="0.25">
      <c r="A832" s="2" t="str">
        <f>IF(B832&lt;&gt;"",IF(_xlfn.IFNA(VLOOKUP(B832,OmsControlTable!T:T,1,0),"尚未處理")&lt;&gt;"尚未處理","已處理","尚未處理"),"")</f>
        <v/>
      </c>
      <c r="B832" s="2"/>
      <c r="C832" s="2"/>
      <c r="D832" s="2"/>
      <c r="E832" s="2"/>
    </row>
    <row r="833" spans="1:5" x14ac:dyDescent="0.25">
      <c r="A833" s="2" t="str">
        <f>IF(B833&lt;&gt;"",IF(_xlfn.IFNA(VLOOKUP(B833,OmsControlTable!T:T,1,0),"尚未處理")&lt;&gt;"尚未處理","已處理","尚未處理"),"")</f>
        <v/>
      </c>
      <c r="B833" s="2"/>
      <c r="C833" s="2"/>
      <c r="D833" s="2"/>
      <c r="E833" s="2"/>
    </row>
    <row r="834" spans="1:5" x14ac:dyDescent="0.25">
      <c r="A834" s="2" t="str">
        <f>IF(B834&lt;&gt;"",IF(_xlfn.IFNA(VLOOKUP(B834,OmsControlTable!T:T,1,0),"尚未處理")&lt;&gt;"尚未處理","已處理","尚未處理"),"")</f>
        <v/>
      </c>
      <c r="B834" s="2"/>
      <c r="C834" s="2"/>
      <c r="D834" s="2"/>
      <c r="E834" s="2"/>
    </row>
    <row r="835" spans="1:5" x14ac:dyDescent="0.25">
      <c r="A835" s="2" t="str">
        <f>IF(B835&lt;&gt;"",IF(_xlfn.IFNA(VLOOKUP(B835,OmsControlTable!T:T,1,0),"尚未處理")&lt;&gt;"尚未處理","已處理","尚未處理"),"")</f>
        <v/>
      </c>
      <c r="B835" s="2"/>
      <c r="C835" s="2"/>
      <c r="D835" s="2"/>
      <c r="E835" s="2"/>
    </row>
    <row r="836" spans="1:5" x14ac:dyDescent="0.25">
      <c r="A836" s="2" t="str">
        <f>IF(B836&lt;&gt;"",IF(_xlfn.IFNA(VLOOKUP(B836,OmsControlTable!T:T,1,0),"尚未處理")&lt;&gt;"尚未處理","已處理","尚未處理"),"")</f>
        <v/>
      </c>
      <c r="B836" s="2"/>
      <c r="C836" s="2"/>
      <c r="D836" s="2"/>
      <c r="E836" s="2"/>
    </row>
    <row r="837" spans="1:5" x14ac:dyDescent="0.25">
      <c r="A837" s="2" t="str">
        <f>IF(B837&lt;&gt;"",IF(_xlfn.IFNA(VLOOKUP(B837,OmsControlTable!T:T,1,0),"尚未處理")&lt;&gt;"尚未處理","已處理","尚未處理"),"")</f>
        <v/>
      </c>
      <c r="B837" s="2"/>
      <c r="C837" s="2"/>
      <c r="D837" s="2"/>
      <c r="E837" s="2"/>
    </row>
    <row r="838" spans="1:5" x14ac:dyDescent="0.25">
      <c r="A838" s="2" t="str">
        <f>IF(B838&lt;&gt;"",IF(_xlfn.IFNA(VLOOKUP(B838,OmsControlTable!T:T,1,0),"尚未處理")&lt;&gt;"尚未處理","已處理","尚未處理"),"")</f>
        <v/>
      </c>
      <c r="B838" s="2"/>
      <c r="C838" s="2"/>
      <c r="D838" s="2"/>
      <c r="E838" s="2"/>
    </row>
    <row r="839" spans="1:5" x14ac:dyDescent="0.25">
      <c r="A839" s="2" t="str">
        <f>IF(B839&lt;&gt;"",IF(_xlfn.IFNA(VLOOKUP(B839,OmsControlTable!T:T,1,0),"尚未處理")&lt;&gt;"尚未處理","已處理","尚未處理"),"")</f>
        <v/>
      </c>
      <c r="B839" s="2"/>
      <c r="C839" s="2"/>
      <c r="D839" s="2"/>
      <c r="E839" s="2"/>
    </row>
    <row r="840" spans="1:5" x14ac:dyDescent="0.25">
      <c r="A840" s="2" t="str">
        <f>IF(B840&lt;&gt;"",IF(_xlfn.IFNA(VLOOKUP(B840,OmsControlTable!T:T,1,0),"尚未處理")&lt;&gt;"尚未處理","已處理","尚未處理"),"")</f>
        <v/>
      </c>
      <c r="B840" s="2"/>
      <c r="C840" s="2"/>
      <c r="D840" s="2"/>
      <c r="E840" s="2"/>
    </row>
    <row r="841" spans="1:5" x14ac:dyDescent="0.25">
      <c r="A841" s="2" t="str">
        <f>IF(B841&lt;&gt;"",IF(_xlfn.IFNA(VLOOKUP(B841,OmsControlTable!T:T,1,0),"尚未處理")&lt;&gt;"尚未處理","已處理","尚未處理"),"")</f>
        <v/>
      </c>
      <c r="B841" s="2"/>
      <c r="C841" s="2"/>
      <c r="D841" s="2"/>
      <c r="E841" s="2"/>
    </row>
    <row r="842" spans="1:5" x14ac:dyDescent="0.25">
      <c r="A842" s="2" t="str">
        <f>IF(B842&lt;&gt;"",IF(_xlfn.IFNA(VLOOKUP(B842,OmsControlTable!T:T,1,0),"尚未處理")&lt;&gt;"尚未處理","已處理","尚未處理"),"")</f>
        <v/>
      </c>
      <c r="B842" s="2"/>
      <c r="C842" s="2"/>
      <c r="D842" s="2"/>
      <c r="E842" s="2"/>
    </row>
    <row r="843" spans="1:5" x14ac:dyDescent="0.25">
      <c r="A843" s="2" t="str">
        <f>IF(B843&lt;&gt;"",IF(_xlfn.IFNA(VLOOKUP(B843,OmsControlTable!T:T,1,0),"尚未處理")&lt;&gt;"尚未處理","已處理","尚未處理"),"")</f>
        <v/>
      </c>
      <c r="B843" s="2"/>
      <c r="C843" s="2"/>
      <c r="D843" s="2"/>
      <c r="E843" s="2"/>
    </row>
    <row r="844" spans="1:5" x14ac:dyDescent="0.25">
      <c r="A844" s="2" t="str">
        <f>IF(B844&lt;&gt;"",IF(_xlfn.IFNA(VLOOKUP(B844,OmsControlTable!T:T,1,0),"尚未處理")&lt;&gt;"尚未處理","已處理","尚未處理"),"")</f>
        <v/>
      </c>
      <c r="B844" s="2"/>
      <c r="C844" s="2"/>
      <c r="D844" s="2"/>
      <c r="E844" s="2"/>
    </row>
    <row r="845" spans="1:5" x14ac:dyDescent="0.25">
      <c r="A845" s="2" t="str">
        <f>IF(B845&lt;&gt;"",IF(_xlfn.IFNA(VLOOKUP(B845,OmsControlTable!T:T,1,0),"尚未處理")&lt;&gt;"尚未處理","已處理","尚未處理"),"")</f>
        <v/>
      </c>
      <c r="B845" s="2"/>
      <c r="C845" s="2"/>
      <c r="D845" s="2"/>
      <c r="E845" s="2"/>
    </row>
    <row r="846" spans="1:5" x14ac:dyDescent="0.25">
      <c r="A846" s="2" t="str">
        <f>IF(B846&lt;&gt;"",IF(_xlfn.IFNA(VLOOKUP(B846,OmsControlTable!T:T,1,0),"尚未處理")&lt;&gt;"尚未處理","已處理","尚未處理"),"")</f>
        <v/>
      </c>
      <c r="B846" s="2"/>
      <c r="C846" s="2"/>
      <c r="D846" s="2"/>
      <c r="E846" s="2"/>
    </row>
    <row r="847" spans="1:5" x14ac:dyDescent="0.25">
      <c r="A847" s="2" t="str">
        <f>IF(B847&lt;&gt;"",IF(_xlfn.IFNA(VLOOKUP(B847,OmsControlTable!T:T,1,0),"尚未處理")&lt;&gt;"尚未處理","已處理","尚未處理"),"")</f>
        <v/>
      </c>
      <c r="B847" s="2"/>
      <c r="C847" s="2"/>
      <c r="D847" s="2"/>
      <c r="E847" s="2"/>
    </row>
    <row r="848" spans="1:5" x14ac:dyDescent="0.25">
      <c r="A848" s="2" t="str">
        <f>IF(B848&lt;&gt;"",IF(_xlfn.IFNA(VLOOKUP(B848,OmsControlTable!T:T,1,0),"尚未處理")&lt;&gt;"尚未處理","已處理","尚未處理"),"")</f>
        <v/>
      </c>
      <c r="B848" s="2"/>
      <c r="C848" s="2"/>
      <c r="D848" s="2"/>
      <c r="E848" s="2"/>
    </row>
    <row r="849" spans="1:5" x14ac:dyDescent="0.25">
      <c r="A849" s="2" t="str">
        <f>IF(B849&lt;&gt;"",IF(_xlfn.IFNA(VLOOKUP(B849,OmsControlTable!T:T,1,0),"尚未處理")&lt;&gt;"尚未處理","已處理","尚未處理"),"")</f>
        <v/>
      </c>
      <c r="B849" s="2"/>
      <c r="C849" s="2"/>
      <c r="D849" s="2"/>
      <c r="E849" s="2"/>
    </row>
    <row r="850" spans="1:5" x14ac:dyDescent="0.25">
      <c r="A850" s="2" t="str">
        <f>IF(B850&lt;&gt;"",IF(_xlfn.IFNA(VLOOKUP(B850,OmsControlTable!T:T,1,0),"尚未處理")&lt;&gt;"尚未處理","已處理","尚未處理"),"")</f>
        <v/>
      </c>
      <c r="B850" s="2"/>
      <c r="C850" s="2"/>
      <c r="D850" s="2"/>
      <c r="E850" s="2"/>
    </row>
    <row r="851" spans="1:5" x14ac:dyDescent="0.25">
      <c r="A851" s="2" t="str">
        <f>IF(B851&lt;&gt;"",IF(_xlfn.IFNA(VLOOKUP(B851,OmsControlTable!T:T,1,0),"尚未處理")&lt;&gt;"尚未處理","已處理","尚未處理"),"")</f>
        <v/>
      </c>
      <c r="B851" s="2"/>
      <c r="C851" s="2"/>
      <c r="D851" s="2"/>
      <c r="E851" s="2"/>
    </row>
    <row r="852" spans="1:5" x14ac:dyDescent="0.25">
      <c r="A852" s="2" t="str">
        <f>IF(B852&lt;&gt;"",IF(_xlfn.IFNA(VLOOKUP(B852,OmsControlTable!T:T,1,0),"尚未處理")&lt;&gt;"尚未處理","已處理","尚未處理"),"")</f>
        <v/>
      </c>
      <c r="B852" s="2"/>
      <c r="C852" s="2"/>
      <c r="D852" s="2"/>
      <c r="E852" s="2"/>
    </row>
    <row r="853" spans="1:5" x14ac:dyDescent="0.25">
      <c r="A853" s="2" t="str">
        <f>IF(B853&lt;&gt;"",IF(_xlfn.IFNA(VLOOKUP(B853,OmsControlTable!T:T,1,0),"尚未處理")&lt;&gt;"尚未處理","已處理","尚未處理"),"")</f>
        <v/>
      </c>
      <c r="B853" s="2"/>
      <c r="C853" s="2"/>
      <c r="D853" s="2"/>
      <c r="E853" s="2"/>
    </row>
    <row r="854" spans="1:5" x14ac:dyDescent="0.25">
      <c r="A854" s="2" t="str">
        <f>IF(B854&lt;&gt;"",IF(_xlfn.IFNA(VLOOKUP(B854,OmsControlTable!T:T,1,0),"尚未處理")&lt;&gt;"尚未處理","已處理","尚未處理"),"")</f>
        <v/>
      </c>
      <c r="B854" s="2"/>
      <c r="C854" s="2"/>
      <c r="D854" s="2"/>
      <c r="E854" s="2"/>
    </row>
    <row r="855" spans="1:5" x14ac:dyDescent="0.25">
      <c r="A855" s="2" t="str">
        <f>IF(B855&lt;&gt;"",IF(_xlfn.IFNA(VLOOKUP(B855,OmsControlTable!T:T,1,0),"尚未處理")&lt;&gt;"尚未處理","已處理","尚未處理"),"")</f>
        <v/>
      </c>
      <c r="B855" s="2"/>
      <c r="C855" s="2"/>
      <c r="D855" s="2"/>
      <c r="E855" s="2"/>
    </row>
    <row r="856" spans="1:5" x14ac:dyDescent="0.25">
      <c r="A856" s="2" t="str">
        <f>IF(B856&lt;&gt;"",IF(_xlfn.IFNA(VLOOKUP(B856,OmsControlTable!T:T,1,0),"尚未處理")&lt;&gt;"尚未處理","已處理","尚未處理"),"")</f>
        <v/>
      </c>
      <c r="B856" s="2"/>
      <c r="C856" s="2"/>
      <c r="D856" s="2"/>
      <c r="E856" s="2"/>
    </row>
    <row r="857" spans="1:5" x14ac:dyDescent="0.25">
      <c r="A857" s="2" t="str">
        <f>IF(B857&lt;&gt;"",IF(_xlfn.IFNA(VLOOKUP(B857,OmsControlTable!T:T,1,0),"尚未處理")&lt;&gt;"尚未處理","已處理","尚未處理"),"")</f>
        <v/>
      </c>
      <c r="B857" s="2"/>
      <c r="C857" s="2"/>
      <c r="D857" s="2"/>
      <c r="E857" s="2"/>
    </row>
    <row r="858" spans="1:5" x14ac:dyDescent="0.25">
      <c r="A858" s="2" t="str">
        <f>IF(B858&lt;&gt;"",IF(_xlfn.IFNA(VLOOKUP(B858,OmsControlTable!T:T,1,0),"尚未處理")&lt;&gt;"尚未處理","已處理","尚未處理"),"")</f>
        <v/>
      </c>
      <c r="B858" s="2"/>
      <c r="C858" s="2"/>
      <c r="D858" s="2"/>
      <c r="E858" s="2"/>
    </row>
    <row r="859" spans="1:5" x14ac:dyDescent="0.25">
      <c r="A859" s="2" t="str">
        <f>IF(B859&lt;&gt;"",IF(_xlfn.IFNA(VLOOKUP(B859,OmsControlTable!T:T,1,0),"尚未處理")&lt;&gt;"尚未處理","已處理","尚未處理"),"")</f>
        <v/>
      </c>
      <c r="B859" s="2"/>
      <c r="C859" s="2"/>
      <c r="D859" s="2"/>
      <c r="E859" s="2"/>
    </row>
    <row r="860" spans="1:5" x14ac:dyDescent="0.25">
      <c r="A860" s="2" t="str">
        <f>IF(B860&lt;&gt;"",IF(_xlfn.IFNA(VLOOKUP(B860,OmsControlTable!T:T,1,0),"尚未處理")&lt;&gt;"尚未處理","已處理","尚未處理"),"")</f>
        <v/>
      </c>
      <c r="B860" s="2"/>
      <c r="C860" s="2"/>
      <c r="D860" s="2"/>
      <c r="E860" s="2"/>
    </row>
    <row r="861" spans="1:5" x14ac:dyDescent="0.25">
      <c r="A861" s="2" t="str">
        <f>IF(B861&lt;&gt;"",IF(_xlfn.IFNA(VLOOKUP(B861,OmsControlTable!T:T,1,0),"尚未處理")&lt;&gt;"尚未處理","已處理","尚未處理"),"")</f>
        <v/>
      </c>
      <c r="B861" s="2"/>
      <c r="C861" s="2"/>
      <c r="D861" s="2"/>
      <c r="E861" s="2"/>
    </row>
    <row r="862" spans="1:5" x14ac:dyDescent="0.25">
      <c r="A862" s="2" t="str">
        <f>IF(B862&lt;&gt;"",IF(_xlfn.IFNA(VLOOKUP(B862,OmsControlTable!T:T,1,0),"尚未處理")&lt;&gt;"尚未處理","已處理","尚未處理"),"")</f>
        <v/>
      </c>
      <c r="B862" s="2"/>
      <c r="C862" s="2"/>
      <c r="D862" s="2"/>
      <c r="E862" s="2"/>
    </row>
    <row r="863" spans="1:5" x14ac:dyDescent="0.25">
      <c r="A863" s="2" t="str">
        <f>IF(B863&lt;&gt;"",IF(_xlfn.IFNA(VLOOKUP(B863,OmsControlTable!T:T,1,0),"尚未處理")&lt;&gt;"尚未處理","已處理","尚未處理"),"")</f>
        <v/>
      </c>
      <c r="B863" s="2"/>
      <c r="C863" s="2"/>
      <c r="D863" s="2"/>
      <c r="E863" s="2"/>
    </row>
    <row r="864" spans="1:5" x14ac:dyDescent="0.25">
      <c r="A864" s="2" t="str">
        <f>IF(B864&lt;&gt;"",IF(_xlfn.IFNA(VLOOKUP(B864,OmsControlTable!T:T,1,0),"尚未處理")&lt;&gt;"尚未處理","已處理","尚未處理"),"")</f>
        <v/>
      </c>
      <c r="B864" s="2"/>
      <c r="C864" s="2"/>
      <c r="D864" s="2"/>
      <c r="E864" s="2"/>
    </row>
    <row r="865" spans="1:5" x14ac:dyDescent="0.25">
      <c r="A865" s="2" t="str">
        <f>IF(B865&lt;&gt;"",IF(_xlfn.IFNA(VLOOKUP(B865,OmsControlTable!T:T,1,0),"尚未處理")&lt;&gt;"尚未處理","已處理","尚未處理"),"")</f>
        <v/>
      </c>
      <c r="B865" s="2"/>
      <c r="C865" s="2"/>
      <c r="D865" s="2"/>
      <c r="E865" s="2"/>
    </row>
    <row r="866" spans="1:5" x14ac:dyDescent="0.25">
      <c r="A866" s="2" t="str">
        <f>IF(B866&lt;&gt;"",IF(_xlfn.IFNA(VLOOKUP(B866,OmsControlTable!T:T,1,0),"尚未處理")&lt;&gt;"尚未處理","已處理","尚未處理"),"")</f>
        <v/>
      </c>
      <c r="B866" s="2"/>
      <c r="C866" s="2"/>
      <c r="D866" s="2"/>
      <c r="E866" s="2"/>
    </row>
    <row r="867" spans="1:5" x14ac:dyDescent="0.25">
      <c r="A867" s="2" t="str">
        <f>IF(B867&lt;&gt;"",IF(_xlfn.IFNA(VLOOKUP(B867,OmsControlTable!T:T,1,0),"尚未處理")&lt;&gt;"尚未處理","已處理","尚未處理"),"")</f>
        <v/>
      </c>
      <c r="B867" s="2"/>
      <c r="C867" s="2"/>
      <c r="D867" s="2"/>
      <c r="E867" s="2"/>
    </row>
    <row r="868" spans="1:5" x14ac:dyDescent="0.25">
      <c r="A868" s="2" t="str">
        <f>IF(B868&lt;&gt;"",IF(_xlfn.IFNA(VLOOKUP(B868,OmsControlTable!T:T,1,0),"尚未處理")&lt;&gt;"尚未處理","已處理","尚未處理"),"")</f>
        <v/>
      </c>
      <c r="B868" s="2"/>
      <c r="C868" s="2"/>
      <c r="D868" s="2"/>
      <c r="E868" s="2"/>
    </row>
    <row r="869" spans="1:5" x14ac:dyDescent="0.25">
      <c r="A869" s="2" t="str">
        <f>IF(B869&lt;&gt;"",IF(_xlfn.IFNA(VLOOKUP(B869,OmsControlTable!T:T,1,0),"尚未處理")&lt;&gt;"尚未處理","已處理","尚未處理"),"")</f>
        <v/>
      </c>
      <c r="B869" s="2"/>
      <c r="C869" s="2"/>
      <c r="D869" s="2"/>
      <c r="E869" s="2"/>
    </row>
    <row r="870" spans="1:5" x14ac:dyDescent="0.25">
      <c r="A870" s="2" t="str">
        <f>IF(B870&lt;&gt;"",IF(_xlfn.IFNA(VLOOKUP(B870,OmsControlTable!T:T,1,0),"尚未處理")&lt;&gt;"尚未處理","已處理","尚未處理"),"")</f>
        <v/>
      </c>
      <c r="B870" s="2"/>
      <c r="C870" s="2"/>
      <c r="D870" s="2"/>
      <c r="E870" s="2"/>
    </row>
    <row r="871" spans="1:5" x14ac:dyDescent="0.25">
      <c r="A871" s="2" t="str">
        <f>IF(B871&lt;&gt;"",IF(_xlfn.IFNA(VLOOKUP(B871,OmsControlTable!T:T,1,0),"尚未處理")&lt;&gt;"尚未處理","已處理","尚未處理"),"")</f>
        <v/>
      </c>
      <c r="B871" s="2"/>
      <c r="C871" s="2"/>
      <c r="D871" s="2"/>
      <c r="E871" s="2"/>
    </row>
    <row r="872" spans="1:5" x14ac:dyDescent="0.25">
      <c r="A872" s="2" t="str">
        <f>IF(B872&lt;&gt;"",IF(_xlfn.IFNA(VLOOKUP(B872,OmsControlTable!T:T,1,0),"尚未處理")&lt;&gt;"尚未處理","已處理","尚未處理"),"")</f>
        <v/>
      </c>
      <c r="B872" s="2"/>
      <c r="C872" s="2"/>
      <c r="D872" s="2"/>
      <c r="E872" s="2"/>
    </row>
    <row r="873" spans="1:5" x14ac:dyDescent="0.25">
      <c r="A873" s="2" t="str">
        <f>IF(B873&lt;&gt;"",IF(_xlfn.IFNA(VLOOKUP(B873,OmsControlTable!T:T,1,0),"尚未處理")&lt;&gt;"尚未處理","已處理","尚未處理"),"")</f>
        <v/>
      </c>
      <c r="B873" s="2"/>
      <c r="C873" s="2"/>
      <c r="D873" s="2"/>
      <c r="E873" s="2"/>
    </row>
    <row r="874" spans="1:5" x14ac:dyDescent="0.25">
      <c r="A874" s="2" t="str">
        <f>IF(B874&lt;&gt;"",IF(_xlfn.IFNA(VLOOKUP(B874,OmsControlTable!T:T,1,0),"尚未處理")&lt;&gt;"尚未處理","已處理","尚未處理"),"")</f>
        <v/>
      </c>
      <c r="B874" s="2"/>
      <c r="C874" s="2"/>
      <c r="D874" s="2"/>
      <c r="E874" s="2"/>
    </row>
    <row r="875" spans="1:5" x14ac:dyDescent="0.25">
      <c r="A875" s="2" t="str">
        <f>IF(B875&lt;&gt;"",IF(_xlfn.IFNA(VLOOKUP(B875,OmsControlTable!T:T,1,0),"尚未處理")&lt;&gt;"尚未處理","已處理","尚未處理"),"")</f>
        <v/>
      </c>
      <c r="B875" s="2"/>
      <c r="C875" s="2"/>
      <c r="D875" s="2"/>
      <c r="E875" s="2"/>
    </row>
    <row r="876" spans="1:5" x14ac:dyDescent="0.25">
      <c r="A876" s="2" t="str">
        <f>IF(B876&lt;&gt;"",IF(_xlfn.IFNA(VLOOKUP(B876,OmsControlTable!T:T,1,0),"尚未處理")&lt;&gt;"尚未處理","已處理","尚未處理"),"")</f>
        <v/>
      </c>
      <c r="B876" s="2"/>
      <c r="C876" s="2"/>
      <c r="D876" s="2"/>
      <c r="E876" s="2"/>
    </row>
    <row r="877" spans="1:5" x14ac:dyDescent="0.25">
      <c r="A877" s="2" t="str">
        <f>IF(B877&lt;&gt;"",IF(_xlfn.IFNA(VLOOKUP(B877,OmsControlTable!T:T,1,0),"尚未處理")&lt;&gt;"尚未處理","已處理","尚未處理"),"")</f>
        <v/>
      </c>
      <c r="B877" s="2"/>
      <c r="C877" s="2"/>
      <c r="D877" s="2"/>
      <c r="E877" s="2"/>
    </row>
    <row r="878" spans="1:5" x14ac:dyDescent="0.25">
      <c r="A878" s="2" t="str">
        <f>IF(B878&lt;&gt;"",IF(_xlfn.IFNA(VLOOKUP(B878,OmsControlTable!T:T,1,0),"尚未處理")&lt;&gt;"尚未處理","已處理","尚未處理"),"")</f>
        <v/>
      </c>
      <c r="B878" s="2"/>
      <c r="C878" s="2"/>
      <c r="D878" s="2"/>
      <c r="E878" s="2"/>
    </row>
    <row r="879" spans="1:5" x14ac:dyDescent="0.25">
      <c r="A879" s="2" t="str">
        <f>IF(B879&lt;&gt;"",IF(_xlfn.IFNA(VLOOKUP(B879,OmsControlTable!T:T,1,0),"尚未處理")&lt;&gt;"尚未處理","已處理","尚未處理"),"")</f>
        <v/>
      </c>
      <c r="B879" s="2"/>
      <c r="C879" s="2"/>
      <c r="D879" s="2"/>
      <c r="E879" s="2"/>
    </row>
    <row r="880" spans="1:5" x14ac:dyDescent="0.25">
      <c r="A880" s="2" t="str">
        <f>IF(B880&lt;&gt;"",IF(_xlfn.IFNA(VLOOKUP(B880,OmsControlTable!T:T,1,0),"尚未處理")&lt;&gt;"尚未處理","已處理","尚未處理"),"")</f>
        <v/>
      </c>
      <c r="B880" s="2"/>
      <c r="C880" s="2"/>
      <c r="D880" s="2"/>
      <c r="E880" s="2"/>
    </row>
    <row r="881" spans="1:5" x14ac:dyDescent="0.25">
      <c r="A881" s="2" t="str">
        <f>IF(B881&lt;&gt;"",IF(_xlfn.IFNA(VLOOKUP(B881,OmsControlTable!T:T,1,0),"尚未處理")&lt;&gt;"尚未處理","已處理","尚未處理"),"")</f>
        <v/>
      </c>
      <c r="B881" s="2"/>
      <c r="C881" s="2"/>
      <c r="D881" s="2"/>
      <c r="E881" s="2"/>
    </row>
    <row r="882" spans="1:5" x14ac:dyDescent="0.25">
      <c r="A882" s="2" t="str">
        <f>IF(B882&lt;&gt;"",IF(_xlfn.IFNA(VLOOKUP(B882,OmsControlTable!T:T,1,0),"尚未處理")&lt;&gt;"尚未處理","已處理","尚未處理"),"")</f>
        <v/>
      </c>
      <c r="B882" s="2"/>
      <c r="C882" s="2"/>
      <c r="D882" s="2"/>
      <c r="E882" s="2"/>
    </row>
    <row r="883" spans="1:5" x14ac:dyDescent="0.25">
      <c r="A883" s="2" t="str">
        <f>IF(B883&lt;&gt;"",IF(_xlfn.IFNA(VLOOKUP(B883,OmsControlTable!T:T,1,0),"尚未處理")&lt;&gt;"尚未處理","已處理","尚未處理"),"")</f>
        <v/>
      </c>
      <c r="B883" s="2"/>
      <c r="C883" s="2"/>
      <c r="D883" s="2"/>
      <c r="E883" s="2"/>
    </row>
    <row r="884" spans="1:5" x14ac:dyDescent="0.25">
      <c r="A884" s="2" t="str">
        <f>IF(B884&lt;&gt;"",IF(_xlfn.IFNA(VLOOKUP(B884,OmsControlTable!T:T,1,0),"尚未處理")&lt;&gt;"尚未處理","已處理","尚未處理"),"")</f>
        <v/>
      </c>
      <c r="B884" s="2"/>
      <c r="C884" s="2"/>
      <c r="D884" s="2"/>
      <c r="E884" s="2"/>
    </row>
    <row r="885" spans="1:5" x14ac:dyDescent="0.25">
      <c r="A885" s="2" t="str">
        <f>IF(B885&lt;&gt;"",IF(_xlfn.IFNA(VLOOKUP(B885,OmsControlTable!T:T,1,0),"尚未處理")&lt;&gt;"尚未處理","已處理","尚未處理"),"")</f>
        <v/>
      </c>
      <c r="B885" s="2"/>
      <c r="C885" s="2"/>
      <c r="D885" s="2"/>
      <c r="E885" s="2"/>
    </row>
    <row r="886" spans="1:5" x14ac:dyDescent="0.25">
      <c r="A886" s="2" t="str">
        <f>IF(B886&lt;&gt;"",IF(_xlfn.IFNA(VLOOKUP(B886,OmsControlTable!T:T,1,0),"尚未處理")&lt;&gt;"尚未處理","已處理","尚未處理"),"")</f>
        <v/>
      </c>
      <c r="B886" s="2"/>
      <c r="C886" s="2"/>
      <c r="D886" s="2"/>
      <c r="E886" s="2"/>
    </row>
    <row r="887" spans="1:5" x14ac:dyDescent="0.25">
      <c r="A887" s="2" t="str">
        <f>IF(B887&lt;&gt;"",IF(_xlfn.IFNA(VLOOKUP(B887,OmsControlTable!T:T,1,0),"尚未處理")&lt;&gt;"尚未處理","已處理","尚未處理"),"")</f>
        <v/>
      </c>
      <c r="B887" s="2"/>
      <c r="C887" s="2"/>
      <c r="D887" s="2"/>
      <c r="E887" s="2"/>
    </row>
    <row r="888" spans="1:5" x14ac:dyDescent="0.25">
      <c r="A888" s="2" t="str">
        <f>IF(B888&lt;&gt;"",IF(_xlfn.IFNA(VLOOKUP(B888,OmsControlTable!T:T,1,0),"尚未處理")&lt;&gt;"尚未處理","已處理","尚未處理"),"")</f>
        <v/>
      </c>
      <c r="B888" s="2"/>
      <c r="C888" s="2"/>
      <c r="D888" s="2"/>
      <c r="E888" s="2"/>
    </row>
    <row r="889" spans="1:5" x14ac:dyDescent="0.25">
      <c r="A889" s="2" t="str">
        <f>IF(B889&lt;&gt;"",IF(_xlfn.IFNA(VLOOKUP(B889,OmsControlTable!T:T,1,0),"尚未處理")&lt;&gt;"尚未處理","已處理","尚未處理"),"")</f>
        <v/>
      </c>
      <c r="B889" s="2"/>
      <c r="C889" s="2"/>
      <c r="D889" s="2"/>
      <c r="E889" s="2"/>
    </row>
    <row r="890" spans="1:5" x14ac:dyDescent="0.25">
      <c r="A890" s="2" t="str">
        <f>IF(B890&lt;&gt;"",IF(_xlfn.IFNA(VLOOKUP(B890,OmsControlTable!T:T,1,0),"尚未處理")&lt;&gt;"尚未處理","已處理","尚未處理"),"")</f>
        <v/>
      </c>
      <c r="B890" s="2"/>
      <c r="C890" s="2"/>
      <c r="D890" s="2"/>
      <c r="E890" s="2"/>
    </row>
    <row r="891" spans="1:5" x14ac:dyDescent="0.25">
      <c r="A891" s="2" t="str">
        <f>IF(B891&lt;&gt;"",IF(_xlfn.IFNA(VLOOKUP(B891,OmsControlTable!T:T,1,0),"尚未處理")&lt;&gt;"尚未處理","已處理","尚未處理"),"")</f>
        <v/>
      </c>
      <c r="B891" s="2"/>
      <c r="C891" s="2"/>
      <c r="D891" s="2"/>
      <c r="E891" s="2"/>
    </row>
    <row r="892" spans="1:5" x14ac:dyDescent="0.25">
      <c r="A892" s="2" t="str">
        <f>IF(B892&lt;&gt;"",IF(_xlfn.IFNA(VLOOKUP(B892,OmsControlTable!T:T,1,0),"尚未處理")&lt;&gt;"尚未處理","已處理","尚未處理"),"")</f>
        <v/>
      </c>
      <c r="B892" s="2"/>
      <c r="C892" s="2"/>
      <c r="D892" s="2"/>
      <c r="E892" s="2"/>
    </row>
    <row r="893" spans="1:5" x14ac:dyDescent="0.25">
      <c r="A893" s="2" t="str">
        <f>IF(B893&lt;&gt;"",IF(_xlfn.IFNA(VLOOKUP(B893,OmsControlTable!T:T,1,0),"尚未處理")&lt;&gt;"尚未處理","已處理","尚未處理"),"")</f>
        <v/>
      </c>
      <c r="B893" s="2"/>
      <c r="C893" s="2"/>
      <c r="D893" s="2"/>
      <c r="E893" s="2"/>
    </row>
    <row r="894" spans="1:5" x14ac:dyDescent="0.25">
      <c r="A894" s="2" t="str">
        <f>IF(B894&lt;&gt;"",IF(_xlfn.IFNA(VLOOKUP(B894,OmsControlTable!T:T,1,0),"尚未處理")&lt;&gt;"尚未處理","已處理","尚未處理"),"")</f>
        <v/>
      </c>
      <c r="B894" s="2"/>
      <c r="C894" s="2"/>
      <c r="D894" s="2"/>
      <c r="E894" s="2"/>
    </row>
    <row r="895" spans="1:5" x14ac:dyDescent="0.25">
      <c r="A895" s="2" t="str">
        <f>IF(B895&lt;&gt;"",IF(_xlfn.IFNA(VLOOKUP(B895,OmsControlTable!T:T,1,0),"尚未處理")&lt;&gt;"尚未處理","已處理","尚未處理"),"")</f>
        <v/>
      </c>
      <c r="B895" s="2"/>
      <c r="C895" s="2"/>
      <c r="D895" s="2"/>
      <c r="E895" s="2"/>
    </row>
    <row r="896" spans="1:5" x14ac:dyDescent="0.25">
      <c r="A896" s="2" t="str">
        <f>IF(B896&lt;&gt;"",IF(_xlfn.IFNA(VLOOKUP(B896,OmsControlTable!T:T,1,0),"尚未處理")&lt;&gt;"尚未處理","已處理","尚未處理"),"")</f>
        <v/>
      </c>
      <c r="B896" s="2"/>
      <c r="C896" s="2"/>
      <c r="D896" s="2"/>
      <c r="E896" s="2"/>
    </row>
    <row r="897" spans="1:5" x14ac:dyDescent="0.25">
      <c r="A897" s="2" t="str">
        <f>IF(B897&lt;&gt;"",IF(_xlfn.IFNA(VLOOKUP(B897,OmsControlTable!T:T,1,0),"尚未處理")&lt;&gt;"尚未處理","已處理","尚未處理"),"")</f>
        <v/>
      </c>
      <c r="B897" s="2"/>
      <c r="C897" s="2"/>
      <c r="D897" s="2"/>
      <c r="E897" s="2"/>
    </row>
    <row r="898" spans="1:5" x14ac:dyDescent="0.25">
      <c r="A898" s="2" t="str">
        <f>IF(B898&lt;&gt;"",IF(_xlfn.IFNA(VLOOKUP(B898,OmsControlTable!T:T,1,0),"尚未處理")&lt;&gt;"尚未處理","已處理","尚未處理"),"")</f>
        <v/>
      </c>
      <c r="B898" s="2"/>
      <c r="C898" s="2"/>
      <c r="D898" s="2"/>
      <c r="E898" s="2"/>
    </row>
    <row r="899" spans="1:5" x14ac:dyDescent="0.25">
      <c r="A899" s="2" t="str">
        <f>IF(B899&lt;&gt;"",IF(_xlfn.IFNA(VLOOKUP(B899,OmsControlTable!T:T,1,0),"尚未處理")&lt;&gt;"尚未處理","已處理","尚未處理"),"")</f>
        <v/>
      </c>
      <c r="B899" s="2"/>
      <c r="C899" s="2"/>
      <c r="D899" s="2"/>
      <c r="E899" s="2"/>
    </row>
    <row r="900" spans="1:5" x14ac:dyDescent="0.25">
      <c r="A900" s="2" t="str">
        <f>IF(B900&lt;&gt;"",IF(_xlfn.IFNA(VLOOKUP(B900,OmsControlTable!T:T,1,0),"尚未處理")&lt;&gt;"尚未處理","已處理","尚未處理"),"")</f>
        <v/>
      </c>
      <c r="B900" s="2"/>
      <c r="C900" s="2"/>
      <c r="D900" s="2"/>
      <c r="E900" s="2"/>
    </row>
    <row r="901" spans="1:5" x14ac:dyDescent="0.25">
      <c r="A901" s="2" t="str">
        <f>IF(B901&lt;&gt;"",IF(_xlfn.IFNA(VLOOKUP(B901,OmsControlTable!T:T,1,0),"尚未處理")&lt;&gt;"尚未處理","已處理","尚未處理"),"")</f>
        <v/>
      </c>
      <c r="B901" s="2"/>
      <c r="C901" s="2"/>
      <c r="D901" s="2"/>
      <c r="E901" s="2"/>
    </row>
    <row r="902" spans="1:5" x14ac:dyDescent="0.25">
      <c r="A902" s="2" t="str">
        <f>IF(B902&lt;&gt;"",IF(_xlfn.IFNA(VLOOKUP(B902,OmsControlTable!T:T,1,0),"尚未處理")&lt;&gt;"尚未處理","已處理","尚未處理"),"")</f>
        <v/>
      </c>
      <c r="B902" s="2"/>
      <c r="C902" s="2"/>
      <c r="D902" s="2"/>
      <c r="E902" s="2"/>
    </row>
    <row r="903" spans="1:5" x14ac:dyDescent="0.25">
      <c r="A903" s="2" t="str">
        <f>IF(B903&lt;&gt;"",IF(_xlfn.IFNA(VLOOKUP(B903,OmsControlTable!T:T,1,0),"尚未處理")&lt;&gt;"尚未處理","已處理","尚未處理"),"")</f>
        <v/>
      </c>
      <c r="B903" s="2"/>
      <c r="C903" s="2"/>
      <c r="D903" s="2"/>
      <c r="E903" s="2"/>
    </row>
    <row r="904" spans="1:5" x14ac:dyDescent="0.25">
      <c r="A904" s="2" t="str">
        <f>IF(B904&lt;&gt;"",IF(_xlfn.IFNA(VLOOKUP(B904,OmsControlTable!T:T,1,0),"尚未處理")&lt;&gt;"尚未處理","已處理","尚未處理"),"")</f>
        <v/>
      </c>
      <c r="B904" s="2"/>
      <c r="C904" s="2"/>
      <c r="D904" s="2"/>
      <c r="E904" s="2"/>
    </row>
    <row r="905" spans="1:5" x14ac:dyDescent="0.25">
      <c r="A905" s="2" t="str">
        <f>IF(B905&lt;&gt;"",IF(_xlfn.IFNA(VLOOKUP(B905,OmsControlTable!T:T,1,0),"尚未處理")&lt;&gt;"尚未處理","已處理","尚未處理"),"")</f>
        <v/>
      </c>
      <c r="B905" s="2"/>
      <c r="C905" s="2"/>
      <c r="D905" s="2"/>
      <c r="E905" s="2"/>
    </row>
    <row r="906" spans="1:5" x14ac:dyDescent="0.25">
      <c r="A906" s="2" t="str">
        <f>IF(B906&lt;&gt;"",IF(_xlfn.IFNA(VLOOKUP(B906,OmsControlTable!T:T,1,0),"尚未處理")&lt;&gt;"尚未處理","已處理","尚未處理"),"")</f>
        <v/>
      </c>
      <c r="B906" s="2"/>
      <c r="C906" s="2"/>
      <c r="D906" s="2"/>
      <c r="E906" s="2"/>
    </row>
    <row r="907" spans="1:5" x14ac:dyDescent="0.25">
      <c r="A907" s="2" t="str">
        <f>IF(B907&lt;&gt;"",IF(_xlfn.IFNA(VLOOKUP(B907,OmsControlTable!T:T,1,0),"尚未處理")&lt;&gt;"尚未處理","已處理","尚未處理"),"")</f>
        <v/>
      </c>
      <c r="B907" s="2"/>
      <c r="C907" s="2"/>
      <c r="D907" s="2"/>
      <c r="E907" s="2"/>
    </row>
    <row r="908" spans="1:5" x14ac:dyDescent="0.25">
      <c r="A908" s="2" t="str">
        <f>IF(B908&lt;&gt;"",IF(_xlfn.IFNA(VLOOKUP(B908,OmsControlTable!T:T,1,0),"尚未處理")&lt;&gt;"尚未處理","已處理","尚未處理"),"")</f>
        <v/>
      </c>
      <c r="B908" s="2"/>
      <c r="C908" s="2"/>
      <c r="D908" s="2"/>
      <c r="E908" s="2"/>
    </row>
    <row r="909" spans="1:5" x14ac:dyDescent="0.25">
      <c r="A909" s="2" t="str">
        <f>IF(B909&lt;&gt;"",IF(_xlfn.IFNA(VLOOKUP(B909,OmsControlTable!T:T,1,0),"尚未處理")&lt;&gt;"尚未處理","已處理","尚未處理"),"")</f>
        <v/>
      </c>
      <c r="B909" s="2"/>
      <c r="C909" s="2"/>
      <c r="D909" s="2"/>
      <c r="E909" s="2"/>
    </row>
    <row r="910" spans="1:5" x14ac:dyDescent="0.25">
      <c r="A910" s="2" t="str">
        <f>IF(B910&lt;&gt;"",IF(_xlfn.IFNA(VLOOKUP(B910,OmsControlTable!T:T,1,0),"尚未處理")&lt;&gt;"尚未處理","已處理","尚未處理"),"")</f>
        <v/>
      </c>
      <c r="B910" s="2"/>
      <c r="C910" s="2"/>
      <c r="D910" s="2"/>
      <c r="E910" s="2"/>
    </row>
    <row r="911" spans="1:5" x14ac:dyDescent="0.25">
      <c r="A911" s="2" t="str">
        <f>IF(B911&lt;&gt;"",IF(_xlfn.IFNA(VLOOKUP(B911,OmsControlTable!T:T,1,0),"尚未處理")&lt;&gt;"尚未處理","已處理","尚未處理"),"")</f>
        <v/>
      </c>
      <c r="B911" s="2"/>
      <c r="C911" s="2"/>
      <c r="D911" s="2"/>
      <c r="E911" s="2"/>
    </row>
    <row r="912" spans="1:5" x14ac:dyDescent="0.25">
      <c r="A912" s="2" t="str">
        <f>IF(B912&lt;&gt;"",IF(_xlfn.IFNA(VLOOKUP(B912,OmsControlTable!T:T,1,0),"尚未處理")&lt;&gt;"尚未處理","已處理","尚未處理"),"")</f>
        <v/>
      </c>
      <c r="B912" s="2"/>
      <c r="C912" s="2"/>
      <c r="D912" s="2"/>
      <c r="E912" s="2"/>
    </row>
    <row r="913" spans="1:5" x14ac:dyDescent="0.25">
      <c r="A913" s="2" t="str">
        <f>IF(B913&lt;&gt;"",IF(_xlfn.IFNA(VLOOKUP(B913,OmsControlTable!T:T,1,0),"尚未處理")&lt;&gt;"尚未處理","已處理","尚未處理"),"")</f>
        <v/>
      </c>
      <c r="B913" s="2"/>
      <c r="C913" s="2"/>
      <c r="D913" s="2"/>
      <c r="E913" s="2"/>
    </row>
    <row r="914" spans="1:5" x14ac:dyDescent="0.25">
      <c r="A914" s="2" t="str">
        <f>IF(B914&lt;&gt;"",IF(_xlfn.IFNA(VLOOKUP(B914,OmsControlTable!T:T,1,0),"尚未處理")&lt;&gt;"尚未處理","已處理","尚未處理"),"")</f>
        <v/>
      </c>
      <c r="B914" s="2"/>
      <c r="C914" s="2"/>
      <c r="D914" s="2"/>
      <c r="E914" s="2"/>
    </row>
    <row r="915" spans="1:5" x14ac:dyDescent="0.25">
      <c r="A915" s="2" t="str">
        <f>IF(B915&lt;&gt;"",IF(_xlfn.IFNA(VLOOKUP(B915,OmsControlTable!T:T,1,0),"尚未處理")&lt;&gt;"尚未處理","已處理","尚未處理"),"")</f>
        <v/>
      </c>
      <c r="B915" s="2"/>
      <c r="C915" s="2"/>
      <c r="D915" s="2"/>
      <c r="E915" s="2"/>
    </row>
    <row r="916" spans="1:5" x14ac:dyDescent="0.25">
      <c r="A916" s="2" t="str">
        <f>IF(B916&lt;&gt;"",IF(_xlfn.IFNA(VLOOKUP(B916,OmsControlTable!T:T,1,0),"尚未處理")&lt;&gt;"尚未處理","已處理","尚未處理"),"")</f>
        <v/>
      </c>
      <c r="B916" s="2"/>
      <c r="C916" s="2"/>
      <c r="D916" s="2"/>
      <c r="E916" s="2"/>
    </row>
    <row r="917" spans="1:5" x14ac:dyDescent="0.25">
      <c r="A917" s="2" t="str">
        <f>IF(B917&lt;&gt;"",IF(_xlfn.IFNA(VLOOKUP(B917,OmsControlTable!T:T,1,0),"尚未處理")&lt;&gt;"尚未處理","已處理","尚未處理"),"")</f>
        <v/>
      </c>
      <c r="B917" s="2"/>
      <c r="C917" s="2"/>
      <c r="D917" s="2"/>
      <c r="E917" s="2"/>
    </row>
    <row r="918" spans="1:5" x14ac:dyDescent="0.25">
      <c r="A918" s="2" t="str">
        <f>IF(B918&lt;&gt;"",IF(_xlfn.IFNA(VLOOKUP(B918,OmsControlTable!T:T,1,0),"尚未處理")&lt;&gt;"尚未處理","已處理","尚未處理"),"")</f>
        <v/>
      </c>
      <c r="B918" s="2"/>
      <c r="C918" s="2"/>
      <c r="D918" s="2"/>
      <c r="E918" s="2"/>
    </row>
    <row r="919" spans="1:5" x14ac:dyDescent="0.25">
      <c r="A919" s="2" t="str">
        <f>IF(B919&lt;&gt;"",IF(_xlfn.IFNA(VLOOKUP(B919,OmsControlTable!T:T,1,0),"尚未處理")&lt;&gt;"尚未處理","已處理","尚未處理"),"")</f>
        <v/>
      </c>
      <c r="B919" s="2"/>
      <c r="C919" s="2"/>
      <c r="D919" s="2"/>
      <c r="E919" s="2"/>
    </row>
    <row r="920" spans="1:5" x14ac:dyDescent="0.25">
      <c r="A920" s="2" t="str">
        <f>IF(B920&lt;&gt;"",IF(_xlfn.IFNA(VLOOKUP(B920,OmsControlTable!T:T,1,0),"尚未處理")&lt;&gt;"尚未處理","已處理","尚未處理"),"")</f>
        <v/>
      </c>
      <c r="B920" s="2"/>
      <c r="C920" s="2"/>
      <c r="D920" s="2"/>
      <c r="E920" s="2"/>
    </row>
    <row r="921" spans="1:5" x14ac:dyDescent="0.25">
      <c r="A921" s="2" t="str">
        <f>IF(B921&lt;&gt;"",IF(_xlfn.IFNA(VLOOKUP(B921,OmsControlTable!T:T,1,0),"尚未處理")&lt;&gt;"尚未處理","已處理","尚未處理"),"")</f>
        <v/>
      </c>
      <c r="B921" s="2"/>
      <c r="C921" s="2"/>
      <c r="D921" s="2"/>
      <c r="E921" s="2"/>
    </row>
    <row r="922" spans="1:5" x14ac:dyDescent="0.25">
      <c r="A922" s="2" t="str">
        <f>IF(B922&lt;&gt;"",IF(_xlfn.IFNA(VLOOKUP(B922,OmsControlTable!T:T,1,0),"尚未處理")&lt;&gt;"尚未處理","已處理","尚未處理"),"")</f>
        <v/>
      </c>
      <c r="B922" s="2"/>
      <c r="C922" s="2"/>
      <c r="D922" s="2"/>
      <c r="E922" s="2"/>
    </row>
    <row r="923" spans="1:5" x14ac:dyDescent="0.25">
      <c r="A923" s="2" t="str">
        <f>IF(B923&lt;&gt;"",IF(_xlfn.IFNA(VLOOKUP(B923,OmsControlTable!T:T,1,0),"尚未處理")&lt;&gt;"尚未處理","已處理","尚未處理"),"")</f>
        <v/>
      </c>
      <c r="B923" s="2"/>
      <c r="C923" s="2"/>
      <c r="D923" s="2"/>
      <c r="E923" s="2"/>
    </row>
    <row r="924" spans="1:5" x14ac:dyDescent="0.25">
      <c r="A924" s="2" t="str">
        <f>IF(B924&lt;&gt;"",IF(_xlfn.IFNA(VLOOKUP(B924,OmsControlTable!T:T,1,0),"尚未處理")&lt;&gt;"尚未處理","已處理","尚未處理"),"")</f>
        <v/>
      </c>
      <c r="B924" s="2"/>
      <c r="C924" s="2"/>
      <c r="D924" s="2"/>
      <c r="E924" s="2"/>
    </row>
    <row r="925" spans="1:5" x14ac:dyDescent="0.25">
      <c r="A925" s="2" t="str">
        <f>IF(B925&lt;&gt;"",IF(_xlfn.IFNA(VLOOKUP(B925,OmsControlTable!T:T,1,0),"尚未處理")&lt;&gt;"尚未處理","已處理","尚未處理"),"")</f>
        <v/>
      </c>
      <c r="B925" s="2"/>
      <c r="C925" s="2"/>
      <c r="D925" s="2"/>
      <c r="E925" s="2"/>
    </row>
    <row r="926" spans="1:5" x14ac:dyDescent="0.25">
      <c r="A926" s="2" t="str">
        <f>IF(B926&lt;&gt;"",IF(_xlfn.IFNA(VLOOKUP(B926,OmsControlTable!T:T,1,0),"尚未處理")&lt;&gt;"尚未處理","已處理","尚未處理"),"")</f>
        <v/>
      </c>
      <c r="B926" s="2"/>
      <c r="C926" s="2"/>
      <c r="D926" s="2"/>
      <c r="E926" s="2"/>
    </row>
    <row r="927" spans="1:5" x14ac:dyDescent="0.25">
      <c r="A927" s="2" t="str">
        <f>IF(B927&lt;&gt;"",IF(_xlfn.IFNA(VLOOKUP(B927,OmsControlTable!T:T,1,0),"尚未處理")&lt;&gt;"尚未處理","已處理","尚未處理"),"")</f>
        <v/>
      </c>
      <c r="B927" s="2"/>
      <c r="C927" s="2"/>
      <c r="D927" s="2"/>
      <c r="E927" s="2"/>
    </row>
    <row r="928" spans="1:5" x14ac:dyDescent="0.25">
      <c r="A928" s="2" t="str">
        <f>IF(B928&lt;&gt;"",IF(_xlfn.IFNA(VLOOKUP(B928,OmsControlTable!T:T,1,0),"尚未處理")&lt;&gt;"尚未處理","已處理","尚未處理"),"")</f>
        <v/>
      </c>
      <c r="B928" s="2"/>
      <c r="C928" s="2"/>
      <c r="D928" s="2"/>
      <c r="E928" s="2"/>
    </row>
    <row r="929" spans="1:5" x14ac:dyDescent="0.25">
      <c r="A929" s="2" t="str">
        <f>IF(B929&lt;&gt;"",IF(_xlfn.IFNA(VLOOKUP(B929,OmsControlTable!T:T,1,0),"尚未處理")&lt;&gt;"尚未處理","已處理","尚未處理"),"")</f>
        <v/>
      </c>
      <c r="B929" s="2"/>
      <c r="C929" s="2"/>
      <c r="D929" s="2"/>
      <c r="E929" s="2"/>
    </row>
    <row r="930" spans="1:5" x14ac:dyDescent="0.25">
      <c r="A930" s="2" t="str">
        <f>IF(B930&lt;&gt;"",IF(_xlfn.IFNA(VLOOKUP(B930,OmsControlTable!T:T,1,0),"尚未處理")&lt;&gt;"尚未處理","已處理","尚未處理"),"")</f>
        <v/>
      </c>
      <c r="B930" s="2"/>
      <c r="C930" s="2"/>
      <c r="D930" s="2"/>
      <c r="E930" s="2"/>
    </row>
    <row r="931" spans="1:5" x14ac:dyDescent="0.25">
      <c r="A931" s="2" t="str">
        <f>IF(B931&lt;&gt;"",IF(_xlfn.IFNA(VLOOKUP(B931,OmsControlTable!T:T,1,0),"尚未處理")&lt;&gt;"尚未處理","已處理","尚未處理"),"")</f>
        <v/>
      </c>
      <c r="B931" s="2"/>
      <c r="C931" s="2"/>
      <c r="D931" s="2"/>
      <c r="E931" s="2"/>
    </row>
    <row r="932" spans="1:5" x14ac:dyDescent="0.25">
      <c r="A932" s="2" t="str">
        <f>IF(B932&lt;&gt;"",IF(_xlfn.IFNA(VLOOKUP(B932,OmsControlTable!T:T,1,0),"尚未處理")&lt;&gt;"尚未處理","已處理","尚未處理"),"")</f>
        <v/>
      </c>
      <c r="B932" s="2"/>
      <c r="C932" s="2"/>
      <c r="D932" s="2"/>
      <c r="E932" s="2"/>
    </row>
    <row r="933" spans="1:5" x14ac:dyDescent="0.25">
      <c r="A933" s="2" t="str">
        <f>IF(B933&lt;&gt;"",IF(_xlfn.IFNA(VLOOKUP(B933,OmsControlTable!T:T,1,0),"尚未處理")&lt;&gt;"尚未處理","已處理","尚未處理"),"")</f>
        <v/>
      </c>
      <c r="B933" s="2"/>
      <c r="C933" s="2"/>
      <c r="D933" s="2"/>
      <c r="E933" s="2"/>
    </row>
    <row r="934" spans="1:5" x14ac:dyDescent="0.25">
      <c r="A934" s="2" t="str">
        <f>IF(B934&lt;&gt;"",IF(_xlfn.IFNA(VLOOKUP(B934,OmsControlTable!T:T,1,0),"尚未處理")&lt;&gt;"尚未處理","已處理","尚未處理"),"")</f>
        <v/>
      </c>
      <c r="B934" s="2"/>
      <c r="C934" s="2"/>
      <c r="D934" s="2"/>
      <c r="E934" s="2"/>
    </row>
    <row r="935" spans="1:5" x14ac:dyDescent="0.25">
      <c r="A935" s="2" t="str">
        <f>IF(B935&lt;&gt;"",IF(_xlfn.IFNA(VLOOKUP(B935,OmsControlTable!T:T,1,0),"尚未處理")&lt;&gt;"尚未處理","已處理","尚未處理"),"")</f>
        <v/>
      </c>
      <c r="B935" s="2"/>
      <c r="C935" s="2"/>
      <c r="D935" s="2"/>
      <c r="E935" s="2"/>
    </row>
    <row r="936" spans="1:5" x14ac:dyDescent="0.25">
      <c r="A936" s="2" t="str">
        <f>IF(B936&lt;&gt;"",IF(_xlfn.IFNA(VLOOKUP(B936,OmsControlTable!T:T,1,0),"尚未處理")&lt;&gt;"尚未處理","已處理","尚未處理"),"")</f>
        <v/>
      </c>
      <c r="B936" s="2"/>
      <c r="C936" s="2"/>
      <c r="D936" s="2"/>
      <c r="E936" s="2"/>
    </row>
    <row r="937" spans="1:5" x14ac:dyDescent="0.25">
      <c r="A937" s="2" t="str">
        <f>IF(B937&lt;&gt;"",IF(_xlfn.IFNA(VLOOKUP(B937,OmsControlTable!T:T,1,0),"尚未處理")&lt;&gt;"尚未處理","已處理","尚未處理"),"")</f>
        <v/>
      </c>
      <c r="B937" s="2"/>
      <c r="C937" s="2"/>
      <c r="D937" s="2"/>
      <c r="E937" s="2"/>
    </row>
    <row r="938" spans="1:5" x14ac:dyDescent="0.25">
      <c r="A938" s="2" t="str">
        <f>IF(B938&lt;&gt;"",IF(_xlfn.IFNA(VLOOKUP(B938,OmsControlTable!T:T,1,0),"尚未處理")&lt;&gt;"尚未處理","已處理","尚未處理"),"")</f>
        <v/>
      </c>
      <c r="B938" s="2"/>
      <c r="C938" s="2"/>
      <c r="D938" s="2"/>
      <c r="E938" s="2"/>
    </row>
    <row r="939" spans="1:5" x14ac:dyDescent="0.25">
      <c r="A939" s="2" t="str">
        <f>IF(B939&lt;&gt;"",IF(_xlfn.IFNA(VLOOKUP(B939,OmsControlTable!T:T,1,0),"尚未處理")&lt;&gt;"尚未處理","已處理","尚未處理"),"")</f>
        <v/>
      </c>
      <c r="B939" s="2"/>
      <c r="C939" s="2"/>
      <c r="D939" s="2"/>
      <c r="E939" s="2"/>
    </row>
    <row r="940" spans="1:5" x14ac:dyDescent="0.25">
      <c r="A940" s="2" t="str">
        <f>IF(B940&lt;&gt;"",IF(_xlfn.IFNA(VLOOKUP(B940,OmsControlTable!T:T,1,0),"尚未處理")&lt;&gt;"尚未處理","已處理","尚未處理"),"")</f>
        <v/>
      </c>
      <c r="B940" s="2"/>
      <c r="C940" s="2"/>
      <c r="D940" s="2"/>
      <c r="E940" s="2"/>
    </row>
    <row r="941" spans="1:5" x14ac:dyDescent="0.25">
      <c r="A941" s="2" t="str">
        <f>IF(B941&lt;&gt;"",IF(_xlfn.IFNA(VLOOKUP(B941,OmsControlTable!T:T,1,0),"尚未處理")&lt;&gt;"尚未處理","已處理","尚未處理"),"")</f>
        <v/>
      </c>
      <c r="B941" s="2"/>
      <c r="C941" s="2"/>
      <c r="D941" s="2"/>
      <c r="E941" s="2"/>
    </row>
    <row r="942" spans="1:5" x14ac:dyDescent="0.25">
      <c r="A942" s="2" t="str">
        <f>IF(B942&lt;&gt;"",IF(_xlfn.IFNA(VLOOKUP(B942,OmsControlTable!T:T,1,0),"尚未處理")&lt;&gt;"尚未處理","已處理","尚未處理"),"")</f>
        <v/>
      </c>
      <c r="B942" s="2"/>
      <c r="C942" s="2"/>
      <c r="D942" s="2"/>
      <c r="E942" s="2"/>
    </row>
    <row r="943" spans="1:5" x14ac:dyDescent="0.25">
      <c r="A943" s="2" t="str">
        <f>IF(B943&lt;&gt;"",IF(_xlfn.IFNA(VLOOKUP(B943,OmsControlTable!T:T,1,0),"尚未處理")&lt;&gt;"尚未處理","已處理","尚未處理"),"")</f>
        <v/>
      </c>
      <c r="B943" s="2"/>
      <c r="C943" s="2"/>
      <c r="D943" s="2"/>
      <c r="E943" s="2"/>
    </row>
    <row r="944" spans="1:5" x14ac:dyDescent="0.25">
      <c r="A944" s="2" t="str">
        <f>IF(B944&lt;&gt;"",IF(_xlfn.IFNA(VLOOKUP(B944,OmsControlTable!T:T,1,0),"尚未處理")&lt;&gt;"尚未處理","已處理","尚未處理"),"")</f>
        <v/>
      </c>
      <c r="B944" s="2"/>
      <c r="C944" s="2"/>
      <c r="D944" s="2"/>
      <c r="E944" s="2"/>
    </row>
    <row r="945" spans="1:5" x14ac:dyDescent="0.25">
      <c r="A945" s="2" t="str">
        <f>IF(B945&lt;&gt;"",IF(_xlfn.IFNA(VLOOKUP(B945,OmsControlTable!T:T,1,0),"尚未處理")&lt;&gt;"尚未處理","已處理","尚未處理"),"")</f>
        <v/>
      </c>
      <c r="B945" s="2"/>
      <c r="C945" s="2"/>
      <c r="D945" s="2"/>
      <c r="E945" s="2"/>
    </row>
    <row r="946" spans="1:5" x14ac:dyDescent="0.25">
      <c r="A946" s="2" t="str">
        <f>IF(B946&lt;&gt;"",IF(_xlfn.IFNA(VLOOKUP(B946,OmsControlTable!T:T,1,0),"尚未處理")&lt;&gt;"尚未處理","已處理","尚未處理"),"")</f>
        <v/>
      </c>
      <c r="B946" s="2"/>
      <c r="C946" s="2"/>
      <c r="D946" s="2"/>
      <c r="E946" s="2"/>
    </row>
    <row r="947" spans="1:5" x14ac:dyDescent="0.25">
      <c r="A947" s="2" t="str">
        <f>IF(B947&lt;&gt;"",IF(_xlfn.IFNA(VLOOKUP(B947,OmsControlTable!T:T,1,0),"尚未處理")&lt;&gt;"尚未處理","已處理","尚未處理"),"")</f>
        <v/>
      </c>
      <c r="B947" s="2"/>
      <c r="C947" s="2"/>
      <c r="D947" s="2"/>
      <c r="E947" s="2"/>
    </row>
    <row r="948" spans="1:5" x14ac:dyDescent="0.25">
      <c r="A948" s="2" t="str">
        <f>IF(B948&lt;&gt;"",IF(_xlfn.IFNA(VLOOKUP(B948,OmsControlTable!T:T,1,0),"尚未處理")&lt;&gt;"尚未處理","已處理","尚未處理"),"")</f>
        <v/>
      </c>
      <c r="B948" s="2"/>
      <c r="C948" s="2"/>
      <c r="D948" s="2"/>
      <c r="E948" s="2"/>
    </row>
    <row r="949" spans="1:5" x14ac:dyDescent="0.25">
      <c r="A949" s="2" t="str">
        <f>IF(B949&lt;&gt;"",IF(_xlfn.IFNA(VLOOKUP(B949,OmsControlTable!T:T,1,0),"尚未處理")&lt;&gt;"尚未處理","已處理","尚未處理"),"")</f>
        <v/>
      </c>
      <c r="B949" s="2"/>
      <c r="C949" s="2"/>
      <c r="D949" s="2"/>
      <c r="E949" s="2"/>
    </row>
    <row r="950" spans="1:5" x14ac:dyDescent="0.25">
      <c r="A950" s="2" t="str">
        <f>IF(B950&lt;&gt;"",IF(_xlfn.IFNA(VLOOKUP(B950,OmsControlTable!T:T,1,0),"尚未處理")&lt;&gt;"尚未處理","已處理","尚未處理"),"")</f>
        <v/>
      </c>
      <c r="B950" s="2"/>
      <c r="C950" s="2"/>
      <c r="D950" s="2"/>
      <c r="E950" s="2"/>
    </row>
    <row r="951" spans="1:5" x14ac:dyDescent="0.25">
      <c r="A951" s="2" t="str">
        <f>IF(B951&lt;&gt;"",IF(_xlfn.IFNA(VLOOKUP(B951,OmsControlTable!T:T,1,0),"尚未處理")&lt;&gt;"尚未處理","已處理","尚未處理"),"")</f>
        <v/>
      </c>
      <c r="B951" s="2"/>
      <c r="C951" s="2"/>
      <c r="D951" s="2"/>
      <c r="E951" s="2"/>
    </row>
    <row r="952" spans="1:5" x14ac:dyDescent="0.25">
      <c r="A952" s="2" t="str">
        <f>IF(B952&lt;&gt;"",IF(_xlfn.IFNA(VLOOKUP(B952,OmsControlTable!T:T,1,0),"尚未處理")&lt;&gt;"尚未處理","已處理","尚未處理"),"")</f>
        <v/>
      </c>
      <c r="B952" s="2"/>
      <c r="C952" s="2"/>
      <c r="D952" s="2"/>
      <c r="E952" s="2"/>
    </row>
    <row r="953" spans="1:5" x14ac:dyDescent="0.25">
      <c r="A953" s="2" t="str">
        <f>IF(B953&lt;&gt;"",IF(_xlfn.IFNA(VLOOKUP(B953,OmsControlTable!T:T,1,0),"尚未處理")&lt;&gt;"尚未處理","已處理","尚未處理"),"")</f>
        <v/>
      </c>
      <c r="B953" s="2"/>
      <c r="C953" s="2"/>
      <c r="D953" s="2"/>
      <c r="E953" s="2"/>
    </row>
    <row r="954" spans="1:5" x14ac:dyDescent="0.25">
      <c r="A954" s="2" t="str">
        <f>IF(B954&lt;&gt;"",IF(_xlfn.IFNA(VLOOKUP(B954,OmsControlTable!T:T,1,0),"尚未處理")&lt;&gt;"尚未處理","已處理","尚未處理"),"")</f>
        <v/>
      </c>
      <c r="B954" s="2"/>
      <c r="C954" s="2"/>
      <c r="D954" s="2"/>
      <c r="E954" s="2"/>
    </row>
    <row r="955" spans="1:5" x14ac:dyDescent="0.25">
      <c r="A955" s="2" t="str">
        <f>IF(B955&lt;&gt;"",IF(_xlfn.IFNA(VLOOKUP(B955,OmsControlTable!T:T,1,0),"尚未處理")&lt;&gt;"尚未處理","已處理","尚未處理"),"")</f>
        <v/>
      </c>
      <c r="B955" s="2"/>
      <c r="C955" s="2"/>
      <c r="D955" s="2"/>
      <c r="E955" s="2"/>
    </row>
    <row r="956" spans="1:5" x14ac:dyDescent="0.25">
      <c r="A956" s="2" t="str">
        <f>IF(B956&lt;&gt;"",IF(_xlfn.IFNA(VLOOKUP(B956,OmsControlTable!T:T,1,0),"尚未處理")&lt;&gt;"尚未處理","已處理","尚未處理"),"")</f>
        <v/>
      </c>
      <c r="B956" s="2"/>
      <c r="C956" s="2"/>
      <c r="D956" s="2"/>
      <c r="E956" s="2"/>
    </row>
    <row r="957" spans="1:5" x14ac:dyDescent="0.25">
      <c r="A957" s="2" t="str">
        <f>IF(B957&lt;&gt;"",IF(_xlfn.IFNA(VLOOKUP(B957,OmsControlTable!T:T,1,0),"尚未處理")&lt;&gt;"尚未處理","已處理","尚未處理"),"")</f>
        <v/>
      </c>
      <c r="B957" s="2"/>
      <c r="C957" s="2"/>
      <c r="D957" s="2"/>
      <c r="E957" s="2"/>
    </row>
    <row r="958" spans="1:5" x14ac:dyDescent="0.25">
      <c r="A958" s="2" t="str">
        <f>IF(B958&lt;&gt;"",IF(_xlfn.IFNA(VLOOKUP(B958,OmsControlTable!T:T,1,0),"尚未處理")&lt;&gt;"尚未處理","已處理","尚未處理"),"")</f>
        <v/>
      </c>
      <c r="B958" s="2"/>
      <c r="C958" s="2"/>
      <c r="D958" s="2"/>
      <c r="E958" s="2"/>
    </row>
    <row r="959" spans="1:5" x14ac:dyDescent="0.25">
      <c r="A959" s="2" t="str">
        <f>IF(B959&lt;&gt;"",IF(_xlfn.IFNA(VLOOKUP(B959,OmsControlTable!T:T,1,0),"尚未處理")&lt;&gt;"尚未處理","已處理","尚未處理"),"")</f>
        <v/>
      </c>
      <c r="B959" s="2"/>
      <c r="C959" s="2"/>
      <c r="D959" s="2"/>
      <c r="E959" s="2"/>
    </row>
    <row r="960" spans="1:5" x14ac:dyDescent="0.25">
      <c r="A960" s="2" t="str">
        <f>IF(B960&lt;&gt;"",IF(_xlfn.IFNA(VLOOKUP(B960,OmsControlTable!T:T,1,0),"尚未處理")&lt;&gt;"尚未處理","已處理","尚未處理"),"")</f>
        <v/>
      </c>
      <c r="B960" s="2"/>
      <c r="C960" s="2"/>
      <c r="D960" s="2"/>
      <c r="E960" s="2"/>
    </row>
    <row r="961" spans="1:5" x14ac:dyDescent="0.25">
      <c r="A961" s="2" t="str">
        <f>IF(B961&lt;&gt;"",IF(_xlfn.IFNA(VLOOKUP(B961,OmsControlTable!T:T,1,0),"尚未處理")&lt;&gt;"尚未處理","已處理","尚未處理"),"")</f>
        <v/>
      </c>
      <c r="B961" s="2"/>
      <c r="C961" s="2"/>
      <c r="D961" s="2"/>
      <c r="E961" s="2"/>
    </row>
    <row r="962" spans="1:5" x14ac:dyDescent="0.25">
      <c r="A962" s="2" t="str">
        <f>IF(B962&lt;&gt;"",IF(_xlfn.IFNA(VLOOKUP(B962,OmsControlTable!T:T,1,0),"尚未處理")&lt;&gt;"尚未處理","已處理","尚未處理"),"")</f>
        <v/>
      </c>
      <c r="B962" s="2"/>
      <c r="C962" s="2"/>
      <c r="D962" s="2"/>
      <c r="E962" s="2"/>
    </row>
    <row r="963" spans="1:5" x14ac:dyDescent="0.25">
      <c r="A963" s="2" t="str">
        <f>IF(B963&lt;&gt;"",IF(_xlfn.IFNA(VLOOKUP(B963,OmsControlTable!T:T,1,0),"尚未處理")&lt;&gt;"尚未處理","已處理","尚未處理"),"")</f>
        <v/>
      </c>
      <c r="B963" s="2"/>
      <c r="C963" s="2"/>
      <c r="D963" s="2"/>
      <c r="E963" s="2"/>
    </row>
    <row r="964" spans="1:5" x14ac:dyDescent="0.25">
      <c r="A964" s="2" t="str">
        <f>IF(B964&lt;&gt;"",IF(_xlfn.IFNA(VLOOKUP(B964,OmsControlTable!T:T,1,0),"尚未處理")&lt;&gt;"尚未處理","已處理","尚未處理"),"")</f>
        <v/>
      </c>
      <c r="B964" s="2"/>
      <c r="C964" s="2"/>
      <c r="D964" s="2"/>
      <c r="E964" s="2"/>
    </row>
    <row r="965" spans="1:5" x14ac:dyDescent="0.25">
      <c r="A965" s="2" t="str">
        <f>IF(B965&lt;&gt;"",IF(_xlfn.IFNA(VLOOKUP(B965,OmsControlTable!T:T,1,0),"尚未處理")&lt;&gt;"尚未處理","已處理","尚未處理"),"")</f>
        <v/>
      </c>
      <c r="B965" s="2"/>
      <c r="C965" s="2"/>
      <c r="D965" s="2"/>
      <c r="E965" s="2"/>
    </row>
    <row r="966" spans="1:5" x14ac:dyDescent="0.25">
      <c r="A966" s="2" t="str">
        <f>IF(B966&lt;&gt;"",IF(_xlfn.IFNA(VLOOKUP(B966,OmsControlTable!T:T,1,0),"尚未處理")&lt;&gt;"尚未處理","已處理","尚未處理"),"")</f>
        <v/>
      </c>
      <c r="B966" s="2"/>
      <c r="C966" s="2"/>
      <c r="D966" s="2"/>
      <c r="E966" s="2"/>
    </row>
    <row r="967" spans="1:5" x14ac:dyDescent="0.25">
      <c r="A967" s="2" t="str">
        <f>IF(B967&lt;&gt;"",IF(_xlfn.IFNA(VLOOKUP(B967,OmsControlTable!T:T,1,0),"尚未處理")&lt;&gt;"尚未處理","已處理","尚未處理"),"")</f>
        <v/>
      </c>
      <c r="B967" s="2"/>
      <c r="C967" s="2"/>
      <c r="D967" s="2"/>
      <c r="E967" s="2"/>
    </row>
    <row r="968" spans="1:5" x14ac:dyDescent="0.25">
      <c r="A968" s="2" t="str">
        <f>IF(B968&lt;&gt;"",IF(_xlfn.IFNA(VLOOKUP(B968,OmsControlTable!T:T,1,0),"尚未處理")&lt;&gt;"尚未處理","已處理","尚未處理"),"")</f>
        <v/>
      </c>
      <c r="B968" s="2"/>
      <c r="C968" s="2"/>
      <c r="D968" s="2"/>
      <c r="E968" s="2"/>
    </row>
    <row r="969" spans="1:5" x14ac:dyDescent="0.25">
      <c r="A969" s="2" t="str">
        <f>IF(B969&lt;&gt;"",IF(_xlfn.IFNA(VLOOKUP(B969,OmsControlTable!T:T,1,0),"尚未處理")&lt;&gt;"尚未處理","已處理","尚未處理"),"")</f>
        <v/>
      </c>
      <c r="B969" s="2"/>
      <c r="C969" s="2"/>
      <c r="D969" s="2"/>
      <c r="E969" s="2"/>
    </row>
    <row r="970" spans="1:5" x14ac:dyDescent="0.25">
      <c r="A970" s="2" t="str">
        <f>IF(B970&lt;&gt;"",IF(_xlfn.IFNA(VLOOKUP(B970,OmsControlTable!T:T,1,0),"尚未處理")&lt;&gt;"尚未處理","已處理","尚未處理"),"")</f>
        <v/>
      </c>
      <c r="B970" s="2"/>
      <c r="C970" s="2"/>
      <c r="D970" s="2"/>
      <c r="E970" s="2"/>
    </row>
    <row r="971" spans="1:5" x14ac:dyDescent="0.25">
      <c r="A971" s="2" t="str">
        <f>IF(B971&lt;&gt;"",IF(_xlfn.IFNA(VLOOKUP(B971,OmsControlTable!T:T,1,0),"尚未處理")&lt;&gt;"尚未處理","已處理","尚未處理"),"")</f>
        <v/>
      </c>
      <c r="B971" s="2"/>
      <c r="C971" s="2"/>
      <c r="D971" s="2"/>
      <c r="E971" s="2"/>
    </row>
    <row r="972" spans="1:5" x14ac:dyDescent="0.25">
      <c r="A972" s="2" t="str">
        <f>IF(B972&lt;&gt;"",IF(_xlfn.IFNA(VLOOKUP(B972,OmsControlTable!T:T,1,0),"尚未處理")&lt;&gt;"尚未處理","已處理","尚未處理"),"")</f>
        <v/>
      </c>
      <c r="B972" s="2"/>
      <c r="C972" s="2"/>
      <c r="D972" s="2"/>
      <c r="E972" s="2"/>
    </row>
    <row r="973" spans="1:5" x14ac:dyDescent="0.25">
      <c r="A973" s="2" t="str">
        <f>IF(B973&lt;&gt;"",IF(_xlfn.IFNA(VLOOKUP(B973,OmsControlTable!T:T,1,0),"尚未處理")&lt;&gt;"尚未處理","已處理","尚未處理"),"")</f>
        <v/>
      </c>
      <c r="B973" s="2"/>
      <c r="C973" s="2"/>
      <c r="D973" s="2"/>
      <c r="E973" s="2"/>
    </row>
    <row r="974" spans="1:5" x14ac:dyDescent="0.25">
      <c r="A974" s="2" t="str">
        <f>IF(B974&lt;&gt;"",IF(_xlfn.IFNA(VLOOKUP(B974,OmsControlTable!T:T,1,0),"尚未處理")&lt;&gt;"尚未處理","已處理","尚未處理"),"")</f>
        <v/>
      </c>
      <c r="B974" s="2"/>
      <c r="C974" s="2"/>
      <c r="D974" s="2"/>
      <c r="E974" s="2"/>
    </row>
    <row r="975" spans="1:5" x14ac:dyDescent="0.25">
      <c r="A975" s="2" t="str">
        <f>IF(B975&lt;&gt;"",IF(_xlfn.IFNA(VLOOKUP(B975,OmsControlTable!T:T,1,0),"尚未處理")&lt;&gt;"尚未處理","已處理","尚未處理"),"")</f>
        <v/>
      </c>
      <c r="B975" s="2"/>
      <c r="C975" s="2"/>
      <c r="D975" s="2"/>
      <c r="E975" s="2"/>
    </row>
    <row r="976" spans="1:5" x14ac:dyDescent="0.25">
      <c r="A976" s="2" t="str">
        <f>IF(B976&lt;&gt;"",IF(_xlfn.IFNA(VLOOKUP(B976,OmsControlTable!T:T,1,0),"尚未處理")&lt;&gt;"尚未處理","已處理","尚未處理"),"")</f>
        <v/>
      </c>
      <c r="B976" s="2"/>
      <c r="C976" s="2"/>
      <c r="D976" s="2"/>
      <c r="E976" s="2"/>
    </row>
    <row r="977" spans="1:5" x14ac:dyDescent="0.25">
      <c r="A977" s="2" t="str">
        <f>IF(B977&lt;&gt;"",IF(_xlfn.IFNA(VLOOKUP(B977,OmsControlTable!T:T,1,0),"尚未處理")&lt;&gt;"尚未處理","已處理","尚未處理"),"")</f>
        <v/>
      </c>
      <c r="B977" s="2"/>
      <c r="C977" s="2"/>
      <c r="D977" s="2"/>
      <c r="E977" s="2"/>
    </row>
    <row r="978" spans="1:5" x14ac:dyDescent="0.25">
      <c r="A978" s="2" t="str">
        <f>IF(B978&lt;&gt;"",IF(_xlfn.IFNA(VLOOKUP(B978,OmsControlTable!T:T,1,0),"尚未處理")&lt;&gt;"尚未處理","已處理","尚未處理"),"")</f>
        <v/>
      </c>
      <c r="B978" s="2"/>
      <c r="C978" s="2"/>
      <c r="D978" s="2"/>
      <c r="E978" s="2"/>
    </row>
    <row r="979" spans="1:5" x14ac:dyDescent="0.25">
      <c r="A979" s="2" t="str">
        <f>IF(B979&lt;&gt;"",IF(_xlfn.IFNA(VLOOKUP(B979,OmsControlTable!T:T,1,0),"尚未處理")&lt;&gt;"尚未處理","已處理","尚未處理"),"")</f>
        <v/>
      </c>
      <c r="B979" s="2"/>
      <c r="C979" s="2"/>
      <c r="D979" s="2"/>
      <c r="E979" s="2"/>
    </row>
    <row r="980" spans="1:5" x14ac:dyDescent="0.25">
      <c r="A980" s="2" t="str">
        <f>IF(B980&lt;&gt;"",IF(_xlfn.IFNA(VLOOKUP(B980,OmsControlTable!T:T,1,0),"尚未處理")&lt;&gt;"尚未處理","已處理","尚未處理"),"")</f>
        <v/>
      </c>
      <c r="B980" s="2"/>
      <c r="C980" s="2"/>
      <c r="D980" s="2"/>
      <c r="E980" s="2"/>
    </row>
    <row r="981" spans="1:5" x14ac:dyDescent="0.25">
      <c r="A981" s="2" t="str">
        <f>IF(B981&lt;&gt;"",IF(_xlfn.IFNA(VLOOKUP(B981,OmsControlTable!T:T,1,0),"尚未處理")&lt;&gt;"尚未處理","已處理","尚未處理"),"")</f>
        <v/>
      </c>
      <c r="B981" s="2"/>
      <c r="C981" s="2"/>
      <c r="D981" s="2"/>
      <c r="E981" s="2"/>
    </row>
    <row r="982" spans="1:5" x14ac:dyDescent="0.25">
      <c r="A982" s="2" t="str">
        <f>IF(B982&lt;&gt;"",IF(_xlfn.IFNA(VLOOKUP(B982,OmsControlTable!T:T,1,0),"尚未處理")&lt;&gt;"尚未處理","已處理","尚未處理"),"")</f>
        <v/>
      </c>
      <c r="B982" s="2"/>
      <c r="C982" s="2"/>
      <c r="D982" s="2"/>
      <c r="E982" s="2"/>
    </row>
    <row r="983" spans="1:5" x14ac:dyDescent="0.25">
      <c r="A983" s="2" t="str">
        <f>IF(B983&lt;&gt;"",IF(_xlfn.IFNA(VLOOKUP(B983,OmsControlTable!T:T,1,0),"尚未處理")&lt;&gt;"尚未處理","已處理","尚未處理"),"")</f>
        <v/>
      </c>
      <c r="B983" s="2"/>
      <c r="C983" s="2"/>
      <c r="D983" s="2"/>
      <c r="E983" s="2"/>
    </row>
    <row r="984" spans="1:5" x14ac:dyDescent="0.25">
      <c r="A984" s="2" t="str">
        <f>IF(B984&lt;&gt;"",IF(_xlfn.IFNA(VLOOKUP(B984,OmsControlTable!T:T,1,0),"尚未處理")&lt;&gt;"尚未處理","已處理","尚未處理"),"")</f>
        <v/>
      </c>
      <c r="B984" s="2"/>
      <c r="C984" s="2"/>
      <c r="D984" s="2"/>
      <c r="E984" s="2"/>
    </row>
    <row r="985" spans="1:5" x14ac:dyDescent="0.25">
      <c r="A985" s="2" t="str">
        <f>IF(B985&lt;&gt;"",IF(_xlfn.IFNA(VLOOKUP(B985,OmsControlTable!T:T,1,0),"尚未處理")&lt;&gt;"尚未處理","已處理","尚未處理"),"")</f>
        <v/>
      </c>
      <c r="B985" s="2"/>
      <c r="C985" s="2"/>
      <c r="D985" s="2"/>
      <c r="E985" s="2"/>
    </row>
    <row r="986" spans="1:5" x14ac:dyDescent="0.25">
      <c r="A986" s="2" t="str">
        <f>IF(B986&lt;&gt;"",IF(_xlfn.IFNA(VLOOKUP(B986,OmsControlTable!T:T,1,0),"尚未處理")&lt;&gt;"尚未處理","已處理","尚未處理"),"")</f>
        <v/>
      </c>
      <c r="B986" s="2"/>
      <c r="C986" s="2"/>
      <c r="D986" s="2"/>
      <c r="E986" s="2"/>
    </row>
    <row r="987" spans="1:5" x14ac:dyDescent="0.25">
      <c r="A987" s="2" t="str">
        <f>IF(B987&lt;&gt;"",IF(_xlfn.IFNA(VLOOKUP(B987,OmsControlTable!T:T,1,0),"尚未處理")&lt;&gt;"尚未處理","已處理","尚未處理"),"")</f>
        <v/>
      </c>
      <c r="B987" s="2"/>
      <c r="C987" s="2"/>
      <c r="D987" s="2"/>
      <c r="E987" s="2"/>
    </row>
    <row r="988" spans="1:5" x14ac:dyDescent="0.25">
      <c r="A988" s="2" t="str">
        <f>IF(B988&lt;&gt;"",IF(_xlfn.IFNA(VLOOKUP(B988,OmsControlTable!T:T,1,0),"尚未處理")&lt;&gt;"尚未處理","已處理","尚未處理"),"")</f>
        <v/>
      </c>
      <c r="B988" s="2"/>
      <c r="C988" s="2"/>
      <c r="D988" s="2"/>
      <c r="E988" s="2"/>
    </row>
    <row r="989" spans="1:5" x14ac:dyDescent="0.25">
      <c r="A989" s="2" t="str">
        <f>IF(B989&lt;&gt;"",IF(_xlfn.IFNA(VLOOKUP(B989,OmsControlTable!T:T,1,0),"尚未處理")&lt;&gt;"尚未處理","已處理","尚未處理"),"")</f>
        <v/>
      </c>
      <c r="B989" s="2"/>
      <c r="C989" s="2"/>
      <c r="D989" s="2"/>
      <c r="E989" s="2"/>
    </row>
    <row r="990" spans="1:5" x14ac:dyDescent="0.25">
      <c r="A990" s="2" t="str">
        <f>IF(B990&lt;&gt;"",IF(_xlfn.IFNA(VLOOKUP(B990,OmsControlTable!T:T,1,0),"尚未處理")&lt;&gt;"尚未處理","已處理","尚未處理"),"")</f>
        <v/>
      </c>
      <c r="B990" s="2"/>
      <c r="C990" s="2"/>
      <c r="D990" s="2"/>
      <c r="E990" s="2"/>
    </row>
    <row r="991" spans="1:5" x14ac:dyDescent="0.25">
      <c r="A991" s="2" t="str">
        <f>IF(B991&lt;&gt;"",IF(_xlfn.IFNA(VLOOKUP(B991,OmsControlTable!T:T,1,0),"尚未處理")&lt;&gt;"尚未處理","已處理","尚未處理"),"")</f>
        <v/>
      </c>
      <c r="B991" s="2"/>
      <c r="C991" s="2"/>
      <c r="D991" s="2"/>
      <c r="E991" s="2"/>
    </row>
    <row r="992" spans="1:5" x14ac:dyDescent="0.25">
      <c r="A992" s="2" t="str">
        <f>IF(B992&lt;&gt;"",IF(_xlfn.IFNA(VLOOKUP(B992,OmsControlTable!T:T,1,0),"尚未處理")&lt;&gt;"尚未處理","已處理","尚未處理"),"")</f>
        <v/>
      </c>
      <c r="B992" s="2"/>
      <c r="C992" s="2"/>
      <c r="D992" s="2"/>
      <c r="E992" s="2"/>
    </row>
    <row r="993" spans="1:5" x14ac:dyDescent="0.25">
      <c r="A993" s="2" t="str">
        <f>IF(B993&lt;&gt;"",IF(_xlfn.IFNA(VLOOKUP(B993,OmsControlTable!T:T,1,0),"尚未處理")&lt;&gt;"尚未處理","已處理","尚未處理"),"")</f>
        <v/>
      </c>
      <c r="B993" s="2"/>
      <c r="C993" s="2"/>
      <c r="D993" s="2"/>
      <c r="E993" s="2"/>
    </row>
    <row r="994" spans="1:5" x14ac:dyDescent="0.25">
      <c r="A994" s="2" t="str">
        <f>IF(B994&lt;&gt;"",IF(_xlfn.IFNA(VLOOKUP(B994,OmsControlTable!T:T,1,0),"尚未處理")&lt;&gt;"尚未處理","已處理","尚未處理"),"")</f>
        <v/>
      </c>
      <c r="B994" s="2"/>
      <c r="C994" s="2"/>
      <c r="D994" s="2"/>
      <c r="E994" s="2"/>
    </row>
    <row r="995" spans="1:5" x14ac:dyDescent="0.25">
      <c r="A995" s="2" t="str">
        <f>IF(B995&lt;&gt;"",IF(_xlfn.IFNA(VLOOKUP(B995,OmsControlTable!T:T,1,0),"尚未處理")&lt;&gt;"尚未處理","已處理","尚未處理"),"")</f>
        <v/>
      </c>
      <c r="B995" s="2"/>
      <c r="C995" s="2"/>
      <c r="D995" s="2"/>
      <c r="E995" s="2"/>
    </row>
    <row r="996" spans="1:5" x14ac:dyDescent="0.25">
      <c r="A996" s="2" t="str">
        <f>IF(B996&lt;&gt;"",IF(_xlfn.IFNA(VLOOKUP(B996,OmsControlTable!T:T,1,0),"尚未處理")&lt;&gt;"尚未處理","已處理","尚未處理"),"")</f>
        <v/>
      </c>
      <c r="B996" s="2"/>
      <c r="C996" s="2"/>
      <c r="D996" s="2"/>
      <c r="E996" s="2"/>
    </row>
    <row r="997" spans="1:5" x14ac:dyDescent="0.25">
      <c r="A997" s="2" t="str">
        <f>IF(B997&lt;&gt;"",IF(_xlfn.IFNA(VLOOKUP(B997,OmsControlTable!T:T,1,0),"尚未處理")&lt;&gt;"尚未處理","已處理","尚未處理"),"")</f>
        <v/>
      </c>
      <c r="B997" s="2"/>
      <c r="C997" s="2"/>
      <c r="D997" s="2"/>
      <c r="E997" s="2"/>
    </row>
    <row r="998" spans="1:5" x14ac:dyDescent="0.25">
      <c r="A998" s="2" t="str">
        <f>IF(B998&lt;&gt;"",IF(_xlfn.IFNA(VLOOKUP(B998,OmsControlTable!T:T,1,0),"尚未處理")&lt;&gt;"尚未處理","已處理","尚未處理"),"")</f>
        <v/>
      </c>
      <c r="B998" s="2"/>
      <c r="C998" s="2"/>
      <c r="D998" s="2"/>
      <c r="E998" s="2"/>
    </row>
    <row r="999" spans="1:5" x14ac:dyDescent="0.25">
      <c r="A999" s="2" t="str">
        <f>IF(B999&lt;&gt;"",IF(_xlfn.IFNA(VLOOKUP(B999,OmsControlTable!T:T,1,0),"尚未處理")&lt;&gt;"尚未處理","已處理","尚未處理"),"")</f>
        <v/>
      </c>
      <c r="B999" s="2"/>
      <c r="C999" s="2"/>
      <c r="D999" s="2"/>
      <c r="E999" s="2"/>
    </row>
    <row r="1000" spans="1:5" x14ac:dyDescent="0.25">
      <c r="A1000" s="2" t="str">
        <f>IF(B1000&lt;&gt;"",IF(_xlfn.IFNA(VLOOKUP(B1000,OmsControlTable!T:T,1,0),"尚未處理")&lt;&gt;"尚未處理","已處理","尚未處理"),"")</f>
        <v/>
      </c>
      <c r="B1000" s="2"/>
      <c r="C1000" s="2"/>
      <c r="D1000" s="2"/>
      <c r="E1000" s="2"/>
    </row>
    <row r="1001" spans="1:5" x14ac:dyDescent="0.25">
      <c r="A1001" s="2" t="str">
        <f>IF(B1001&lt;&gt;"",IF(_xlfn.IFNA(VLOOKUP(B1001,OmsControlTable!T:T,1,0),"尚未處理")&lt;&gt;"尚未處理","已處理","尚未處理"),"")</f>
        <v/>
      </c>
      <c r="B1001" s="2"/>
      <c r="C1001" s="2"/>
      <c r="D1001" s="2"/>
      <c r="E1001" s="2"/>
    </row>
    <row r="1002" spans="1:5" x14ac:dyDescent="0.25">
      <c r="A1002" s="2" t="str">
        <f>IF(B1002&lt;&gt;"",IF(_xlfn.IFNA(VLOOKUP(B1002,OmsControlTable!T:T,1,0),"尚未處理")&lt;&gt;"尚未處理","已處理","尚未處理"),"")</f>
        <v/>
      </c>
      <c r="B1002" s="2"/>
      <c r="C1002" s="2"/>
      <c r="D1002" s="2"/>
      <c r="E1002" s="2"/>
    </row>
    <row r="1003" spans="1:5" x14ac:dyDescent="0.25">
      <c r="A1003" s="2" t="str">
        <f>IF(B1003&lt;&gt;"",IF(_xlfn.IFNA(VLOOKUP(B1003,OmsControlTable!T:T,1,0),"尚未處理")&lt;&gt;"尚未處理","已處理","尚未處理"),"")</f>
        <v/>
      </c>
      <c r="B1003" s="2"/>
      <c r="C1003" s="2"/>
      <c r="D1003" s="2"/>
      <c r="E1003" s="2"/>
    </row>
    <row r="1004" spans="1:5" x14ac:dyDescent="0.25">
      <c r="A1004" s="2" t="str">
        <f>IF(B1004&lt;&gt;"",IF(_xlfn.IFNA(VLOOKUP(B1004,OmsControlTable!T:T,1,0),"尚未處理")&lt;&gt;"尚未處理","已處理","尚未處理"),"")</f>
        <v/>
      </c>
      <c r="B1004" s="2"/>
      <c r="C1004" s="2"/>
      <c r="D1004" s="2"/>
      <c r="E1004" s="2"/>
    </row>
    <row r="1005" spans="1:5" x14ac:dyDescent="0.25">
      <c r="A1005" s="2" t="str">
        <f>IF(B1005&lt;&gt;"",IF(_xlfn.IFNA(VLOOKUP(B1005,OmsControlTable!T:T,1,0),"尚未處理")&lt;&gt;"尚未處理","已處理","尚未處理"),"")</f>
        <v/>
      </c>
      <c r="B1005" s="2"/>
      <c r="C1005" s="2"/>
      <c r="D1005" s="2"/>
      <c r="E1005" s="2"/>
    </row>
    <row r="1006" spans="1:5" x14ac:dyDescent="0.25">
      <c r="A1006" s="2" t="str">
        <f>IF(B1006&lt;&gt;"",IF(_xlfn.IFNA(VLOOKUP(B1006,OmsControlTable!T:T,1,0),"尚未處理")&lt;&gt;"尚未處理","已處理","尚未處理"),"")</f>
        <v/>
      </c>
      <c r="B1006" s="2"/>
      <c r="C1006" s="2"/>
      <c r="D1006" s="2"/>
      <c r="E1006" s="2"/>
    </row>
    <row r="1007" spans="1:5" x14ac:dyDescent="0.25">
      <c r="A1007" s="2" t="str">
        <f>IF(B1007&lt;&gt;"",IF(_xlfn.IFNA(VLOOKUP(B1007,OmsControlTable!T:T,1,0),"尚未處理")&lt;&gt;"尚未處理","已處理","尚未處理"),"")</f>
        <v/>
      </c>
      <c r="B1007" s="2"/>
      <c r="C1007" s="2"/>
      <c r="D1007" s="2"/>
      <c r="E1007" s="2"/>
    </row>
    <row r="1008" spans="1:5" x14ac:dyDescent="0.25">
      <c r="A1008" s="2" t="str">
        <f>IF(B1008&lt;&gt;"",IF(_xlfn.IFNA(VLOOKUP(B1008,OmsControlTable!T:T,1,0),"尚未處理")&lt;&gt;"尚未處理","已處理","尚未處理"),"")</f>
        <v/>
      </c>
      <c r="B1008" s="2"/>
      <c r="C1008" s="2"/>
      <c r="D1008" s="2"/>
      <c r="E1008" s="2"/>
    </row>
    <row r="1009" spans="1:5" x14ac:dyDescent="0.25">
      <c r="A1009" s="2" t="str">
        <f>IF(B1009&lt;&gt;"",IF(_xlfn.IFNA(VLOOKUP(B1009,OmsControlTable!T:T,1,0),"尚未處理")&lt;&gt;"尚未處理","已處理","尚未處理"),"")</f>
        <v/>
      </c>
      <c r="B1009" s="2"/>
      <c r="C1009" s="2"/>
      <c r="D1009" s="2"/>
      <c r="E1009" s="2"/>
    </row>
    <row r="1010" spans="1:5" x14ac:dyDescent="0.25">
      <c r="A1010" s="2" t="str">
        <f>IF(B1010&lt;&gt;"",IF(_xlfn.IFNA(VLOOKUP(B1010,OmsControlTable!T:T,1,0),"尚未處理")&lt;&gt;"尚未處理","已處理","尚未處理"),"")</f>
        <v/>
      </c>
      <c r="B1010" s="2"/>
      <c r="C1010" s="2"/>
      <c r="D1010" s="2"/>
      <c r="E1010" s="2"/>
    </row>
    <row r="1011" spans="1:5" x14ac:dyDescent="0.25">
      <c r="A1011" s="2" t="str">
        <f>IF(B1011&lt;&gt;"",IF(_xlfn.IFNA(VLOOKUP(B1011,OmsControlTable!T:T,1,0),"尚未處理")&lt;&gt;"尚未處理","已處理","尚未處理"),"")</f>
        <v/>
      </c>
      <c r="B1011" s="2"/>
      <c r="C1011" s="2"/>
      <c r="D1011" s="2"/>
      <c r="E1011" s="2"/>
    </row>
    <row r="1012" spans="1:5" x14ac:dyDescent="0.25">
      <c r="A1012" s="2" t="str">
        <f>IF(B1012&lt;&gt;"",IF(_xlfn.IFNA(VLOOKUP(B1012,OmsControlTable!T:T,1,0),"尚未處理")&lt;&gt;"尚未處理","已處理","尚未處理"),"")</f>
        <v/>
      </c>
      <c r="B1012" s="2"/>
      <c r="C1012" s="2"/>
      <c r="D1012" s="2"/>
      <c r="E1012" s="2"/>
    </row>
    <row r="1013" spans="1:5" x14ac:dyDescent="0.25">
      <c r="A1013" s="2" t="str">
        <f>IF(B1013&lt;&gt;"",IF(_xlfn.IFNA(VLOOKUP(B1013,OmsControlTable!T:T,1,0),"尚未處理")&lt;&gt;"尚未處理","已處理","尚未處理"),"")</f>
        <v/>
      </c>
      <c r="B1013" s="2"/>
      <c r="C1013" s="2"/>
      <c r="D1013" s="2"/>
      <c r="E1013" s="2"/>
    </row>
    <row r="1014" spans="1:5" x14ac:dyDescent="0.25">
      <c r="A1014" s="2" t="str">
        <f>IF(B1014&lt;&gt;"",IF(_xlfn.IFNA(VLOOKUP(B1014,OmsControlTable!T:T,1,0),"尚未處理")&lt;&gt;"尚未處理","已處理","尚未處理"),"")</f>
        <v/>
      </c>
      <c r="B1014" s="2"/>
      <c r="C1014" s="2"/>
      <c r="D1014" s="2"/>
      <c r="E1014" s="2"/>
    </row>
    <row r="1015" spans="1:5" x14ac:dyDescent="0.25">
      <c r="A1015" s="2" t="str">
        <f>IF(B1015&lt;&gt;"",IF(_xlfn.IFNA(VLOOKUP(B1015,OmsControlTable!T:T,1,0),"尚未處理")&lt;&gt;"尚未處理","已處理","尚未處理"),"")</f>
        <v/>
      </c>
      <c r="B1015" s="2"/>
      <c r="C1015" s="2"/>
      <c r="D1015" s="2"/>
      <c r="E1015" s="2"/>
    </row>
    <row r="1016" spans="1:5" x14ac:dyDescent="0.25">
      <c r="A1016" s="2" t="str">
        <f>IF(B1016&lt;&gt;"",IF(_xlfn.IFNA(VLOOKUP(B1016,OmsControlTable!T:T,1,0),"尚未處理")&lt;&gt;"尚未處理","已處理","尚未處理"),"")</f>
        <v/>
      </c>
      <c r="B1016" s="2"/>
      <c r="C1016" s="2"/>
      <c r="D1016" s="2"/>
      <c r="E1016" s="2"/>
    </row>
    <row r="1017" spans="1:5" x14ac:dyDescent="0.25">
      <c r="A1017" s="2" t="str">
        <f>IF(B1017&lt;&gt;"",IF(_xlfn.IFNA(VLOOKUP(B1017,OmsControlTable!T:T,1,0),"尚未處理")&lt;&gt;"尚未處理","已處理","尚未處理"),"")</f>
        <v/>
      </c>
      <c r="B1017" s="2"/>
      <c r="C1017" s="2"/>
      <c r="D1017" s="2"/>
      <c r="E1017" s="2"/>
    </row>
    <row r="1018" spans="1:5" x14ac:dyDescent="0.25">
      <c r="A1018" s="2" t="str">
        <f>IF(B1018&lt;&gt;"",IF(_xlfn.IFNA(VLOOKUP(B1018,OmsControlTable!T:T,1,0),"尚未處理")&lt;&gt;"尚未處理","已處理","尚未處理"),"")</f>
        <v/>
      </c>
      <c r="B1018" s="2"/>
      <c r="C1018" s="2"/>
      <c r="D1018" s="2"/>
      <c r="E1018" s="2"/>
    </row>
    <row r="1019" spans="1:5" x14ac:dyDescent="0.25">
      <c r="A1019" s="2" t="str">
        <f>IF(B1019&lt;&gt;"",IF(_xlfn.IFNA(VLOOKUP(B1019,OmsControlTable!T:T,1,0),"尚未處理")&lt;&gt;"尚未處理","已處理","尚未處理"),"")</f>
        <v/>
      </c>
      <c r="B1019" s="2"/>
      <c r="C1019" s="2"/>
      <c r="D1019" s="2"/>
      <c r="E1019" s="2"/>
    </row>
    <row r="1020" spans="1:5" x14ac:dyDescent="0.25">
      <c r="A1020" s="2" t="str">
        <f>IF(B1020&lt;&gt;"",IF(_xlfn.IFNA(VLOOKUP(B1020,OmsControlTable!T:T,1,0),"尚未處理")&lt;&gt;"尚未處理","已處理","尚未處理"),"")</f>
        <v/>
      </c>
      <c r="B1020" s="2"/>
      <c r="C1020" s="2"/>
      <c r="D1020" s="2"/>
      <c r="E1020" s="2"/>
    </row>
    <row r="1021" spans="1:5" x14ac:dyDescent="0.25">
      <c r="A1021" s="2" t="str">
        <f>IF(B1021&lt;&gt;"",IF(_xlfn.IFNA(VLOOKUP(B1021,OmsControlTable!T:T,1,0),"尚未處理")&lt;&gt;"尚未處理","已處理","尚未處理"),"")</f>
        <v/>
      </c>
      <c r="B1021" s="2"/>
      <c r="C1021" s="2"/>
      <c r="D1021" s="2"/>
      <c r="E1021" s="2"/>
    </row>
    <row r="1022" spans="1:5" x14ac:dyDescent="0.25">
      <c r="A1022" s="2" t="str">
        <f>IF(B1022&lt;&gt;"",IF(_xlfn.IFNA(VLOOKUP(B1022,OmsControlTable!T:T,1,0),"尚未處理")&lt;&gt;"尚未處理","已處理","尚未處理"),"")</f>
        <v/>
      </c>
      <c r="B1022" s="2"/>
      <c r="C1022" s="2"/>
      <c r="D1022" s="2"/>
      <c r="E1022" s="2"/>
    </row>
    <row r="1023" spans="1:5" x14ac:dyDescent="0.25">
      <c r="A1023" s="2" t="str">
        <f>IF(B1023&lt;&gt;"",IF(_xlfn.IFNA(VLOOKUP(B1023,OmsControlTable!T:T,1,0),"尚未處理")&lt;&gt;"尚未處理","已處理","尚未處理"),"")</f>
        <v/>
      </c>
      <c r="B1023" s="2"/>
      <c r="C1023" s="2"/>
      <c r="D1023" s="2"/>
      <c r="E1023" s="2"/>
    </row>
    <row r="1024" spans="1:5" x14ac:dyDescent="0.25">
      <c r="A1024" s="2" t="str">
        <f>IF(B1024&lt;&gt;"",IF(_xlfn.IFNA(VLOOKUP(B1024,OmsControlTable!T:T,1,0),"尚未處理")&lt;&gt;"尚未處理","已處理","尚未處理"),"")</f>
        <v/>
      </c>
      <c r="B1024" s="2"/>
      <c r="C1024" s="2"/>
      <c r="D1024" s="2"/>
      <c r="E1024" s="2"/>
    </row>
    <row r="1025" spans="1:5" x14ac:dyDescent="0.25">
      <c r="A1025" s="2" t="str">
        <f>IF(B1025&lt;&gt;"",IF(_xlfn.IFNA(VLOOKUP(B1025,OmsControlTable!T:T,1,0),"尚未處理")&lt;&gt;"尚未處理","已處理","尚未處理"),"")</f>
        <v/>
      </c>
      <c r="B1025" s="2"/>
      <c r="C1025" s="2"/>
      <c r="D1025" s="2"/>
      <c r="E1025" s="2"/>
    </row>
    <row r="1026" spans="1:5" x14ac:dyDescent="0.25">
      <c r="A1026" s="2" t="str">
        <f>IF(B1026&lt;&gt;"",IF(_xlfn.IFNA(VLOOKUP(B1026,OmsControlTable!T:T,1,0),"尚未處理")&lt;&gt;"尚未處理","已處理","尚未處理"),"")</f>
        <v/>
      </c>
      <c r="B1026" s="2"/>
      <c r="C1026" s="2"/>
      <c r="D1026" s="2"/>
      <c r="E1026" s="2"/>
    </row>
    <row r="1027" spans="1:5" x14ac:dyDescent="0.25">
      <c r="A1027" s="2" t="str">
        <f>IF(B1027&lt;&gt;"",IF(_xlfn.IFNA(VLOOKUP(B1027,OmsControlTable!T:T,1,0),"尚未處理")&lt;&gt;"尚未處理","已處理","尚未處理"),"")</f>
        <v/>
      </c>
      <c r="B1027" s="2"/>
      <c r="C1027" s="2"/>
      <c r="D1027" s="2"/>
      <c r="E1027" s="2"/>
    </row>
    <row r="1028" spans="1:5" x14ac:dyDescent="0.25">
      <c r="A1028" s="2" t="str">
        <f>IF(B1028&lt;&gt;"",IF(_xlfn.IFNA(VLOOKUP(B1028,OmsControlTable!T:T,1,0),"尚未處理")&lt;&gt;"尚未處理","已處理","尚未處理"),"")</f>
        <v/>
      </c>
      <c r="B1028" s="2"/>
      <c r="C1028" s="2"/>
      <c r="D1028" s="2"/>
      <c r="E1028" s="2"/>
    </row>
    <row r="1029" spans="1:5" x14ac:dyDescent="0.25">
      <c r="A1029" s="2" t="str">
        <f>IF(B1029&lt;&gt;"",IF(_xlfn.IFNA(VLOOKUP(B1029,OmsControlTable!T:T,1,0),"尚未處理")&lt;&gt;"尚未處理","已處理","尚未處理"),"")</f>
        <v/>
      </c>
      <c r="B1029" s="2"/>
      <c r="C1029" s="2"/>
      <c r="D1029" s="2"/>
      <c r="E1029" s="2"/>
    </row>
    <row r="1030" spans="1:5" x14ac:dyDescent="0.25">
      <c r="A1030" s="2" t="str">
        <f>IF(B1030&lt;&gt;"",IF(_xlfn.IFNA(VLOOKUP(B1030,OmsControlTable!T:T,1,0),"尚未處理")&lt;&gt;"尚未處理","已處理","尚未處理"),"")</f>
        <v/>
      </c>
      <c r="B1030" s="2"/>
      <c r="C1030" s="2"/>
      <c r="D1030" s="2"/>
      <c r="E1030" s="2"/>
    </row>
    <row r="1031" spans="1:5" x14ac:dyDescent="0.25">
      <c r="A1031" s="2" t="str">
        <f>IF(B1031&lt;&gt;"",IF(_xlfn.IFNA(VLOOKUP(B1031,OmsControlTable!T:T,1,0),"尚未處理")&lt;&gt;"尚未處理","已處理","尚未處理"),"")</f>
        <v/>
      </c>
      <c r="B1031" s="2"/>
      <c r="C1031" s="2"/>
      <c r="D1031" s="2"/>
      <c r="E1031" s="2"/>
    </row>
    <row r="1032" spans="1:5" x14ac:dyDescent="0.25">
      <c r="A1032" s="2" t="str">
        <f>IF(B1032&lt;&gt;"",IF(_xlfn.IFNA(VLOOKUP(B1032,OmsControlTable!T:T,1,0),"尚未處理")&lt;&gt;"尚未處理","已處理","尚未處理"),"")</f>
        <v/>
      </c>
      <c r="B1032" s="2"/>
      <c r="C1032" s="2"/>
      <c r="D1032" s="2"/>
      <c r="E1032" s="2"/>
    </row>
    <row r="1033" spans="1:5" x14ac:dyDescent="0.25">
      <c r="A1033" s="2" t="str">
        <f>IF(B1033&lt;&gt;"",IF(_xlfn.IFNA(VLOOKUP(B1033,OmsControlTable!T:T,1,0),"尚未處理")&lt;&gt;"尚未處理","已處理","尚未處理"),"")</f>
        <v/>
      </c>
      <c r="B1033" s="2"/>
      <c r="C1033" s="2"/>
      <c r="D1033" s="2"/>
      <c r="E1033" s="2"/>
    </row>
    <row r="1034" spans="1:5" x14ac:dyDescent="0.25">
      <c r="A1034" s="2" t="str">
        <f>IF(B1034&lt;&gt;"",IF(_xlfn.IFNA(VLOOKUP(B1034,OmsControlTable!T:T,1,0),"尚未處理")&lt;&gt;"尚未處理","已處理","尚未處理"),"")</f>
        <v/>
      </c>
      <c r="B1034" s="2"/>
      <c r="C1034" s="2"/>
      <c r="D1034" s="2"/>
      <c r="E1034" s="2"/>
    </row>
    <row r="1035" spans="1:5" x14ac:dyDescent="0.25">
      <c r="A1035" s="2" t="str">
        <f>IF(B1035&lt;&gt;"",IF(_xlfn.IFNA(VLOOKUP(B1035,OmsControlTable!T:T,1,0),"尚未處理")&lt;&gt;"尚未處理","已處理","尚未處理"),"")</f>
        <v/>
      </c>
      <c r="B1035" s="2"/>
      <c r="C1035" s="2"/>
      <c r="D1035" s="2"/>
      <c r="E1035" s="2"/>
    </row>
    <row r="1036" spans="1:5" x14ac:dyDescent="0.25">
      <c r="A1036" s="2" t="str">
        <f>IF(B1036&lt;&gt;"",IF(_xlfn.IFNA(VLOOKUP(B1036,OmsControlTable!T:T,1,0),"尚未處理")&lt;&gt;"尚未處理","已處理","尚未處理"),"")</f>
        <v/>
      </c>
      <c r="B1036" s="2"/>
      <c r="C1036" s="2"/>
      <c r="D1036" s="2"/>
      <c r="E1036" s="2"/>
    </row>
    <row r="1037" spans="1:5" x14ac:dyDescent="0.25">
      <c r="A1037" s="2" t="str">
        <f>IF(B1037&lt;&gt;"",IF(_xlfn.IFNA(VLOOKUP(B1037,OmsControlTable!T:T,1,0),"尚未處理")&lt;&gt;"尚未處理","已處理","尚未處理"),"")</f>
        <v/>
      </c>
      <c r="B1037" s="2"/>
      <c r="C1037" s="2"/>
      <c r="D1037" s="2"/>
      <c r="E1037" s="2"/>
    </row>
    <row r="1038" spans="1:5" x14ac:dyDescent="0.25">
      <c r="A1038" s="2" t="str">
        <f>IF(B1038&lt;&gt;"",IF(_xlfn.IFNA(VLOOKUP(B1038,OmsControlTable!T:T,1,0),"尚未處理")&lt;&gt;"尚未處理","已處理","尚未處理"),"")</f>
        <v/>
      </c>
      <c r="B1038" s="2"/>
      <c r="C1038" s="2"/>
      <c r="D1038" s="2"/>
      <c r="E1038" s="2"/>
    </row>
    <row r="1039" spans="1:5" x14ac:dyDescent="0.25">
      <c r="A1039" s="2" t="str">
        <f>IF(B1039&lt;&gt;"",IF(_xlfn.IFNA(VLOOKUP(B1039,OmsControlTable!T:T,1,0),"尚未處理")&lt;&gt;"尚未處理","已處理","尚未處理"),"")</f>
        <v/>
      </c>
      <c r="B1039" s="2"/>
      <c r="C1039" s="2"/>
      <c r="D1039" s="2"/>
      <c r="E1039" s="2"/>
    </row>
    <row r="1040" spans="1:5" x14ac:dyDescent="0.25">
      <c r="A1040" s="2" t="str">
        <f>IF(B1040&lt;&gt;"",IF(_xlfn.IFNA(VLOOKUP(B1040,OmsControlTable!T:T,1,0),"尚未處理")&lt;&gt;"尚未處理","已處理","尚未處理"),"")</f>
        <v/>
      </c>
      <c r="B1040" s="2"/>
      <c r="C1040" s="2"/>
      <c r="D1040" s="2"/>
      <c r="E1040" s="2"/>
    </row>
    <row r="1041" spans="1:5" x14ac:dyDescent="0.25">
      <c r="A1041" s="2" t="str">
        <f>IF(B1041&lt;&gt;"",IF(_xlfn.IFNA(VLOOKUP(B1041,OmsControlTable!T:T,1,0),"尚未處理")&lt;&gt;"尚未處理","已處理","尚未處理"),"")</f>
        <v/>
      </c>
      <c r="B1041" s="2"/>
      <c r="C1041" s="2"/>
      <c r="D1041" s="2"/>
      <c r="E1041" s="2"/>
    </row>
    <row r="1042" spans="1:5" x14ac:dyDescent="0.25">
      <c r="A1042" s="2" t="str">
        <f>IF(B1042&lt;&gt;"",IF(_xlfn.IFNA(VLOOKUP(B1042,OmsControlTable!T:T,1,0),"尚未處理")&lt;&gt;"尚未處理","已處理","尚未處理"),"")</f>
        <v/>
      </c>
      <c r="B1042" s="2"/>
      <c r="C1042" s="2"/>
      <c r="D1042" s="2"/>
      <c r="E1042" s="2"/>
    </row>
    <row r="1043" spans="1:5" x14ac:dyDescent="0.25">
      <c r="A1043" s="2" t="str">
        <f>IF(B1043&lt;&gt;"",IF(_xlfn.IFNA(VLOOKUP(B1043,OmsControlTable!T:T,1,0),"尚未處理")&lt;&gt;"尚未處理","已處理","尚未處理"),"")</f>
        <v/>
      </c>
      <c r="B1043" s="2"/>
      <c r="C1043" s="2"/>
      <c r="D1043" s="2"/>
      <c r="E1043" s="2"/>
    </row>
    <row r="1044" spans="1:5" x14ac:dyDescent="0.25">
      <c r="A1044" s="2" t="str">
        <f>IF(B1044&lt;&gt;"",IF(_xlfn.IFNA(VLOOKUP(B1044,OmsControlTable!T:T,1,0),"尚未處理")&lt;&gt;"尚未處理","已處理","尚未處理"),"")</f>
        <v/>
      </c>
      <c r="B1044" s="2"/>
      <c r="C1044" s="2"/>
      <c r="D1044" s="2"/>
      <c r="E1044" s="2"/>
    </row>
    <row r="1045" spans="1:5" x14ac:dyDescent="0.25">
      <c r="A1045" s="2" t="str">
        <f>IF(B1045&lt;&gt;"",IF(_xlfn.IFNA(VLOOKUP(B1045,OmsControlTable!T:T,1,0),"尚未處理")&lt;&gt;"尚未處理","已處理","尚未處理"),"")</f>
        <v/>
      </c>
      <c r="B1045" s="2"/>
      <c r="C1045" s="2"/>
      <c r="D1045" s="2"/>
      <c r="E1045" s="2"/>
    </row>
    <row r="1046" spans="1:5" x14ac:dyDescent="0.25">
      <c r="A1046" s="2" t="str">
        <f>IF(B1046&lt;&gt;"",IF(_xlfn.IFNA(VLOOKUP(B1046,OmsControlTable!T:T,1,0),"尚未處理")&lt;&gt;"尚未處理","已處理","尚未處理"),"")</f>
        <v/>
      </c>
      <c r="B1046" s="2"/>
      <c r="C1046" s="2"/>
      <c r="D1046" s="2"/>
      <c r="E1046" s="2"/>
    </row>
    <row r="1047" spans="1:5" x14ac:dyDescent="0.25">
      <c r="A1047" s="2" t="str">
        <f>IF(B1047&lt;&gt;"",IF(_xlfn.IFNA(VLOOKUP(B1047,OmsControlTable!T:T,1,0),"尚未處理")&lt;&gt;"尚未處理","已處理","尚未處理"),"")</f>
        <v/>
      </c>
      <c r="B1047" s="2"/>
      <c r="C1047" s="2"/>
      <c r="D1047" s="2"/>
      <c r="E1047" s="2"/>
    </row>
    <row r="1048" spans="1:5" x14ac:dyDescent="0.25">
      <c r="A1048" s="2" t="str">
        <f>IF(B1048&lt;&gt;"",IF(_xlfn.IFNA(VLOOKUP(B1048,OmsControlTable!T:T,1,0),"尚未處理")&lt;&gt;"尚未處理","已處理","尚未處理"),"")</f>
        <v/>
      </c>
      <c r="B1048" s="2"/>
      <c r="C1048" s="2"/>
      <c r="D1048" s="2"/>
      <c r="E1048" s="2"/>
    </row>
    <row r="1049" spans="1:5" x14ac:dyDescent="0.25">
      <c r="A1049" s="2" t="str">
        <f>IF(B1049&lt;&gt;"",IF(_xlfn.IFNA(VLOOKUP(B1049,OmsControlTable!T:T,1,0),"尚未處理")&lt;&gt;"尚未處理","已處理","尚未處理"),"")</f>
        <v/>
      </c>
      <c r="B1049" s="2"/>
      <c r="C1049" s="2"/>
      <c r="D1049" s="2"/>
      <c r="E1049" s="2"/>
    </row>
    <row r="1050" spans="1:5" x14ac:dyDescent="0.25">
      <c r="A1050" s="2" t="str">
        <f>IF(B1050&lt;&gt;"",IF(_xlfn.IFNA(VLOOKUP(B1050,OmsControlTable!T:T,1,0),"尚未處理")&lt;&gt;"尚未處理","已處理","尚未處理"),"")</f>
        <v/>
      </c>
      <c r="B1050" s="2"/>
      <c r="C1050" s="2"/>
      <c r="D1050" s="2"/>
      <c r="E1050" s="2"/>
    </row>
    <row r="1051" spans="1:5" x14ac:dyDescent="0.25">
      <c r="A1051" s="2" t="str">
        <f>IF(B1051&lt;&gt;"",IF(_xlfn.IFNA(VLOOKUP(B1051,OmsControlTable!T:T,1,0),"尚未處理")&lt;&gt;"尚未處理","已處理","尚未處理"),"")</f>
        <v/>
      </c>
      <c r="B1051" s="2"/>
      <c r="C1051" s="2"/>
      <c r="D1051" s="2"/>
      <c r="E1051" s="2"/>
    </row>
    <row r="1052" spans="1:5" x14ac:dyDescent="0.25">
      <c r="A1052" s="2" t="str">
        <f>IF(B1052&lt;&gt;"",IF(_xlfn.IFNA(VLOOKUP(B1052,OmsControlTable!T:T,1,0),"尚未處理")&lt;&gt;"尚未處理","已處理","尚未處理"),"")</f>
        <v/>
      </c>
      <c r="B1052" s="2"/>
      <c r="C1052" s="2"/>
      <c r="D1052" s="2"/>
      <c r="E1052" s="2"/>
    </row>
    <row r="1053" spans="1:5" x14ac:dyDescent="0.25">
      <c r="A1053" s="2" t="str">
        <f>IF(B1053&lt;&gt;"",IF(_xlfn.IFNA(VLOOKUP(B1053,OmsControlTable!T:T,1,0),"尚未處理")&lt;&gt;"尚未處理","已處理","尚未處理"),"")</f>
        <v/>
      </c>
      <c r="B1053" s="2"/>
      <c r="C1053" s="2"/>
      <c r="D1053" s="2"/>
      <c r="E1053" s="2"/>
    </row>
    <row r="1054" spans="1:5" x14ac:dyDescent="0.25">
      <c r="A1054" s="2" t="str">
        <f>IF(B1054&lt;&gt;"",IF(_xlfn.IFNA(VLOOKUP(B1054,OmsControlTable!T:T,1,0),"尚未處理")&lt;&gt;"尚未處理","已處理","尚未處理"),"")</f>
        <v/>
      </c>
      <c r="B1054" s="2"/>
      <c r="C1054" s="2"/>
      <c r="D1054" s="2"/>
      <c r="E1054" s="2"/>
    </row>
    <row r="1055" spans="1:5" x14ac:dyDescent="0.25">
      <c r="A1055" s="2" t="str">
        <f>IF(B1055&lt;&gt;"",IF(_xlfn.IFNA(VLOOKUP(B1055,OmsControlTable!T:T,1,0),"尚未處理")&lt;&gt;"尚未處理","已處理","尚未處理"),"")</f>
        <v/>
      </c>
      <c r="B1055" s="2"/>
      <c r="C1055" s="2"/>
      <c r="D1055" s="2"/>
      <c r="E1055" s="2"/>
    </row>
    <row r="1056" spans="1:5" x14ac:dyDescent="0.25">
      <c r="A1056" s="2" t="str">
        <f>IF(B1056&lt;&gt;"",IF(_xlfn.IFNA(VLOOKUP(B1056,OmsControlTable!T:T,1,0),"尚未處理")&lt;&gt;"尚未處理","已處理","尚未處理"),"")</f>
        <v/>
      </c>
      <c r="B1056" s="2"/>
      <c r="C1056" s="2"/>
      <c r="D1056" s="2"/>
      <c r="E1056" s="2"/>
    </row>
    <row r="1057" spans="1:5" x14ac:dyDescent="0.25">
      <c r="A1057" s="2" t="str">
        <f>IF(B1057&lt;&gt;"",IF(_xlfn.IFNA(VLOOKUP(B1057,OmsControlTable!T:T,1,0),"尚未處理")&lt;&gt;"尚未處理","已處理","尚未處理"),"")</f>
        <v/>
      </c>
      <c r="B1057" s="2"/>
      <c r="C1057" s="2"/>
      <c r="D1057" s="2"/>
      <c r="E1057" s="2"/>
    </row>
    <row r="1058" spans="1:5" x14ac:dyDescent="0.25">
      <c r="A1058" s="2" t="str">
        <f>IF(B1058&lt;&gt;"",IF(_xlfn.IFNA(VLOOKUP(B1058,OmsControlTable!T:T,1,0),"尚未處理")&lt;&gt;"尚未處理","已處理","尚未處理"),"")</f>
        <v/>
      </c>
      <c r="B1058" s="2"/>
      <c r="C1058" s="2"/>
      <c r="D1058" s="2"/>
      <c r="E1058" s="2"/>
    </row>
    <row r="1059" spans="1:5" x14ac:dyDescent="0.25">
      <c r="A1059" s="2" t="str">
        <f>IF(B1059&lt;&gt;"",IF(_xlfn.IFNA(VLOOKUP(B1059,OmsControlTable!T:T,1,0),"尚未處理")&lt;&gt;"尚未處理","已處理","尚未處理"),"")</f>
        <v/>
      </c>
      <c r="B1059" s="2"/>
      <c r="C1059" s="2"/>
      <c r="D1059" s="2"/>
      <c r="E1059" s="2"/>
    </row>
    <row r="1060" spans="1:5" x14ac:dyDescent="0.25">
      <c r="A1060" s="2" t="str">
        <f>IF(B1060&lt;&gt;"",IF(_xlfn.IFNA(VLOOKUP(B1060,OmsControlTable!T:T,1,0),"尚未處理")&lt;&gt;"尚未處理","已處理","尚未處理"),"")</f>
        <v/>
      </c>
      <c r="B1060" s="2"/>
      <c r="C1060" s="2"/>
      <c r="D1060" s="2"/>
      <c r="E1060" s="2"/>
    </row>
    <row r="1061" spans="1:5" x14ac:dyDescent="0.25">
      <c r="A1061" s="2" t="str">
        <f>IF(B1061&lt;&gt;"",IF(_xlfn.IFNA(VLOOKUP(B1061,OmsControlTable!T:T,1,0),"尚未處理")&lt;&gt;"尚未處理","已處理","尚未處理"),"")</f>
        <v/>
      </c>
      <c r="B1061" s="2"/>
      <c r="C1061" s="2"/>
      <c r="D1061" s="2"/>
      <c r="E1061" s="2"/>
    </row>
    <row r="1062" spans="1:5" x14ac:dyDescent="0.25">
      <c r="A1062" s="2" t="str">
        <f>IF(B1062&lt;&gt;"",IF(_xlfn.IFNA(VLOOKUP(B1062,OmsControlTable!T:T,1,0),"尚未處理")&lt;&gt;"尚未處理","已處理","尚未處理"),"")</f>
        <v/>
      </c>
      <c r="B1062" s="2"/>
      <c r="C1062" s="2"/>
      <c r="D1062" s="2"/>
      <c r="E1062" s="2"/>
    </row>
    <row r="1063" spans="1:5" x14ac:dyDescent="0.25">
      <c r="A1063" s="2" t="str">
        <f>IF(B1063&lt;&gt;"",IF(_xlfn.IFNA(VLOOKUP(B1063,OmsControlTable!T:T,1,0),"尚未處理")&lt;&gt;"尚未處理","已處理","尚未處理"),"")</f>
        <v/>
      </c>
      <c r="B1063" s="2"/>
      <c r="C1063" s="2"/>
      <c r="D1063" s="2"/>
      <c r="E1063" s="2"/>
    </row>
    <row r="1064" spans="1:5" x14ac:dyDescent="0.25">
      <c r="A1064" s="2" t="str">
        <f>IF(B1064&lt;&gt;"",IF(_xlfn.IFNA(VLOOKUP(B1064,OmsControlTable!T:T,1,0),"尚未處理")&lt;&gt;"尚未處理","已處理","尚未處理"),"")</f>
        <v/>
      </c>
      <c r="B1064" s="2"/>
      <c r="C1064" s="2"/>
      <c r="D1064" s="2"/>
      <c r="E1064" s="2"/>
    </row>
    <row r="1065" spans="1:5" x14ac:dyDescent="0.25">
      <c r="A1065" s="2" t="str">
        <f>IF(B1065&lt;&gt;"",IF(_xlfn.IFNA(VLOOKUP(B1065,OmsControlTable!T:T,1,0),"尚未處理")&lt;&gt;"尚未處理","已處理","尚未處理"),"")</f>
        <v/>
      </c>
      <c r="B1065" s="2"/>
      <c r="C1065" s="2"/>
      <c r="D1065" s="2"/>
      <c r="E1065" s="2"/>
    </row>
    <row r="1066" spans="1:5" x14ac:dyDescent="0.25">
      <c r="A1066" s="2" t="str">
        <f>IF(B1066&lt;&gt;"",IF(_xlfn.IFNA(VLOOKUP(B1066,OmsControlTable!T:T,1,0),"尚未處理")&lt;&gt;"尚未處理","已處理","尚未處理"),"")</f>
        <v/>
      </c>
      <c r="B1066" s="2"/>
      <c r="C1066" s="2"/>
      <c r="D1066" s="2"/>
      <c r="E1066" s="2"/>
    </row>
    <row r="1067" spans="1:5" x14ac:dyDescent="0.25">
      <c r="A1067" s="2" t="str">
        <f>IF(B1067&lt;&gt;"",IF(_xlfn.IFNA(VLOOKUP(B1067,OmsControlTable!T:T,1,0),"尚未處理")&lt;&gt;"尚未處理","已處理","尚未處理"),"")</f>
        <v/>
      </c>
      <c r="B1067" s="2"/>
      <c r="C1067" s="2"/>
      <c r="D1067" s="2"/>
      <c r="E1067" s="2"/>
    </row>
    <row r="1068" spans="1:5" x14ac:dyDescent="0.25">
      <c r="A1068" s="2" t="str">
        <f>IF(B1068&lt;&gt;"",IF(_xlfn.IFNA(VLOOKUP(B1068,OmsControlTable!T:T,1,0),"尚未處理")&lt;&gt;"尚未處理","已處理","尚未處理"),"")</f>
        <v/>
      </c>
      <c r="B1068" s="2"/>
      <c r="C1068" s="2"/>
      <c r="D1068" s="2"/>
      <c r="E1068" s="2"/>
    </row>
    <row r="1069" spans="1:5" x14ac:dyDescent="0.25">
      <c r="A1069" s="2" t="str">
        <f>IF(B1069&lt;&gt;"",IF(_xlfn.IFNA(VLOOKUP(B1069,OmsControlTable!T:T,1,0),"尚未處理")&lt;&gt;"尚未處理","已處理","尚未處理"),"")</f>
        <v/>
      </c>
      <c r="B1069" s="2"/>
      <c r="C1069" s="2"/>
      <c r="D1069" s="2"/>
      <c r="E1069" s="2"/>
    </row>
    <row r="1070" spans="1:5" x14ac:dyDescent="0.25">
      <c r="A1070" s="2" t="str">
        <f>IF(B1070&lt;&gt;"",IF(_xlfn.IFNA(VLOOKUP(B1070,OmsControlTable!T:T,1,0),"尚未處理")&lt;&gt;"尚未處理","已處理","尚未處理"),"")</f>
        <v/>
      </c>
      <c r="B1070" s="2"/>
      <c r="C1070" s="2"/>
      <c r="D1070" s="2"/>
      <c r="E1070" s="2"/>
    </row>
    <row r="1071" spans="1:5" x14ac:dyDescent="0.25">
      <c r="A1071" s="2" t="str">
        <f>IF(B1071&lt;&gt;"",IF(_xlfn.IFNA(VLOOKUP(B1071,OmsControlTable!T:T,1,0),"尚未處理")&lt;&gt;"尚未處理","已處理","尚未處理"),"")</f>
        <v/>
      </c>
      <c r="B1071" s="2"/>
      <c r="C1071" s="2"/>
      <c r="D1071" s="2"/>
      <c r="E1071" s="2"/>
    </row>
    <row r="1072" spans="1:5" x14ac:dyDescent="0.25">
      <c r="A1072" s="2" t="str">
        <f>IF(B1072&lt;&gt;"",IF(_xlfn.IFNA(VLOOKUP(B1072,OmsControlTable!T:T,1,0),"尚未處理")&lt;&gt;"尚未處理","已處理","尚未處理"),"")</f>
        <v/>
      </c>
      <c r="B1072" s="2"/>
      <c r="C1072" s="2"/>
      <c r="D1072" s="2"/>
      <c r="E1072" s="2"/>
    </row>
    <row r="1073" spans="1:5" x14ac:dyDescent="0.25">
      <c r="A1073" s="2" t="str">
        <f>IF(B1073&lt;&gt;"",IF(_xlfn.IFNA(VLOOKUP(B1073,OmsControlTable!T:T,1,0),"尚未處理")&lt;&gt;"尚未處理","已處理","尚未處理"),"")</f>
        <v/>
      </c>
      <c r="B1073" s="2"/>
      <c r="C1073" s="2"/>
      <c r="D1073" s="2"/>
      <c r="E1073" s="2"/>
    </row>
    <row r="1074" spans="1:5" x14ac:dyDescent="0.25">
      <c r="A1074" s="2" t="str">
        <f>IF(B1074&lt;&gt;"",IF(_xlfn.IFNA(VLOOKUP(B1074,OmsControlTable!T:T,1,0),"尚未處理")&lt;&gt;"尚未處理","已處理","尚未處理"),"")</f>
        <v/>
      </c>
      <c r="B1074" s="2"/>
      <c r="C1074" s="2"/>
      <c r="D1074" s="2"/>
      <c r="E1074" s="2"/>
    </row>
    <row r="1075" spans="1:5" x14ac:dyDescent="0.25">
      <c r="A1075" s="2" t="str">
        <f>IF(B1075&lt;&gt;"",IF(_xlfn.IFNA(VLOOKUP(B1075,OmsControlTable!T:T,1,0),"尚未處理")&lt;&gt;"尚未處理","已處理","尚未處理"),"")</f>
        <v/>
      </c>
      <c r="B1075" s="2"/>
      <c r="C1075" s="2"/>
      <c r="D1075" s="2"/>
      <c r="E1075" s="2"/>
    </row>
    <row r="1076" spans="1:5" x14ac:dyDescent="0.25">
      <c r="A1076" s="2" t="str">
        <f>IF(B1076&lt;&gt;"",IF(_xlfn.IFNA(VLOOKUP(B1076,OmsControlTable!T:T,1,0),"尚未處理")&lt;&gt;"尚未處理","已處理","尚未處理"),"")</f>
        <v/>
      </c>
      <c r="B1076" s="2"/>
      <c r="C1076" s="2"/>
      <c r="D1076" s="2"/>
      <c r="E1076" s="2"/>
    </row>
    <row r="1077" spans="1:5" x14ac:dyDescent="0.25">
      <c r="A1077" s="2" t="str">
        <f>IF(B1077&lt;&gt;"",IF(_xlfn.IFNA(VLOOKUP(B1077,OmsControlTable!T:T,1,0),"尚未處理")&lt;&gt;"尚未處理","已處理","尚未處理"),"")</f>
        <v/>
      </c>
      <c r="B1077" s="2"/>
      <c r="C1077" s="2"/>
      <c r="D1077" s="2"/>
      <c r="E1077" s="2"/>
    </row>
    <row r="1078" spans="1:5" x14ac:dyDescent="0.25">
      <c r="A1078" s="2" t="str">
        <f>IF(B1078&lt;&gt;"",IF(_xlfn.IFNA(VLOOKUP(B1078,OmsControlTable!T:T,1,0),"尚未處理")&lt;&gt;"尚未處理","已處理","尚未處理"),"")</f>
        <v/>
      </c>
      <c r="B1078" s="2"/>
      <c r="C1078" s="2"/>
      <c r="D1078" s="2"/>
      <c r="E1078" s="2"/>
    </row>
    <row r="1079" spans="1:5" x14ac:dyDescent="0.25">
      <c r="A1079" s="2" t="str">
        <f>IF(B1079&lt;&gt;"",IF(_xlfn.IFNA(VLOOKUP(B1079,OmsControlTable!T:T,1,0),"尚未處理")&lt;&gt;"尚未處理","已處理","尚未處理"),"")</f>
        <v/>
      </c>
      <c r="B1079" s="2"/>
      <c r="C1079" s="2"/>
      <c r="D1079" s="2"/>
      <c r="E1079" s="2"/>
    </row>
    <row r="1080" spans="1:5" x14ac:dyDescent="0.25">
      <c r="A1080" s="2" t="str">
        <f>IF(B1080&lt;&gt;"",IF(_xlfn.IFNA(VLOOKUP(B1080,OmsControlTable!T:T,1,0),"尚未處理")&lt;&gt;"尚未處理","已處理","尚未處理"),"")</f>
        <v/>
      </c>
      <c r="B1080" s="2"/>
      <c r="C1080" s="2"/>
      <c r="D1080" s="2"/>
      <c r="E1080" s="2"/>
    </row>
    <row r="1081" spans="1:5" x14ac:dyDescent="0.25">
      <c r="A1081" s="2" t="str">
        <f>IF(B1081&lt;&gt;"",IF(_xlfn.IFNA(VLOOKUP(B1081,OmsControlTable!T:T,1,0),"尚未處理")&lt;&gt;"尚未處理","已處理","尚未處理"),"")</f>
        <v/>
      </c>
      <c r="B1081" s="2"/>
      <c r="C1081" s="2"/>
      <c r="D1081" s="2"/>
      <c r="E1081" s="2"/>
    </row>
    <row r="1082" spans="1:5" x14ac:dyDescent="0.25">
      <c r="A1082" s="2" t="str">
        <f>IF(B1082&lt;&gt;"",IF(_xlfn.IFNA(VLOOKUP(B1082,OmsControlTable!T:T,1,0),"尚未處理")&lt;&gt;"尚未處理","已處理","尚未處理"),"")</f>
        <v/>
      </c>
      <c r="B1082" s="2"/>
      <c r="C1082" s="2"/>
      <c r="D1082" s="2"/>
      <c r="E1082" s="2"/>
    </row>
    <row r="1083" spans="1:5" x14ac:dyDescent="0.25">
      <c r="A1083" s="2" t="str">
        <f>IF(B1083&lt;&gt;"",IF(_xlfn.IFNA(VLOOKUP(B1083,OmsControlTable!T:T,1,0),"尚未處理")&lt;&gt;"尚未處理","已處理","尚未處理"),"")</f>
        <v/>
      </c>
      <c r="B1083" s="2"/>
      <c r="C1083" s="2"/>
      <c r="D1083" s="2"/>
      <c r="E1083" s="2"/>
    </row>
    <row r="1084" spans="1:5" x14ac:dyDescent="0.25">
      <c r="A1084" s="2" t="str">
        <f>IF(B1084&lt;&gt;"",IF(_xlfn.IFNA(VLOOKUP(B1084,OmsControlTable!T:T,1,0),"尚未處理")&lt;&gt;"尚未處理","已處理","尚未處理"),"")</f>
        <v/>
      </c>
      <c r="B1084" s="2"/>
      <c r="C1084" s="2"/>
      <c r="D1084" s="2"/>
      <c r="E1084" s="2"/>
    </row>
    <row r="1085" spans="1:5" x14ac:dyDescent="0.25">
      <c r="A1085" s="2" t="str">
        <f>IF(B1085&lt;&gt;"",IF(_xlfn.IFNA(VLOOKUP(B1085,OmsControlTable!T:T,1,0),"尚未處理")&lt;&gt;"尚未處理","已處理","尚未處理"),"")</f>
        <v/>
      </c>
      <c r="B1085" s="2"/>
      <c r="C1085" s="2"/>
      <c r="D1085" s="2"/>
      <c r="E1085" s="2"/>
    </row>
    <row r="1086" spans="1:5" x14ac:dyDescent="0.25">
      <c r="A1086" s="2" t="str">
        <f>IF(B1086&lt;&gt;"",IF(_xlfn.IFNA(VLOOKUP(B1086,OmsControlTable!T:T,1,0),"尚未處理")&lt;&gt;"尚未處理","已處理","尚未處理"),"")</f>
        <v/>
      </c>
      <c r="B1086" s="2"/>
      <c r="C1086" s="2"/>
      <c r="D1086" s="2"/>
      <c r="E1086" s="2"/>
    </row>
    <row r="1087" spans="1:5" x14ac:dyDescent="0.25">
      <c r="A1087" s="2" t="str">
        <f>IF(B1087&lt;&gt;"",IF(_xlfn.IFNA(VLOOKUP(B1087,OmsControlTable!T:T,1,0),"尚未處理")&lt;&gt;"尚未處理","已處理","尚未處理"),"")</f>
        <v/>
      </c>
      <c r="B1087" s="2"/>
      <c r="C1087" s="2"/>
      <c r="D1087" s="2"/>
      <c r="E1087" s="2"/>
    </row>
    <row r="1088" spans="1:5" x14ac:dyDescent="0.25">
      <c r="A1088" s="2" t="str">
        <f>IF(B1088&lt;&gt;"",IF(_xlfn.IFNA(VLOOKUP(B1088,OmsControlTable!T:T,1,0),"尚未處理")&lt;&gt;"尚未處理","已處理","尚未處理"),"")</f>
        <v/>
      </c>
      <c r="B1088" s="2"/>
      <c r="C1088" s="2"/>
      <c r="D1088" s="2"/>
      <c r="E1088" s="2"/>
    </row>
    <row r="1089" spans="1:5" x14ac:dyDescent="0.25">
      <c r="A1089" s="2" t="str">
        <f>IF(B1089&lt;&gt;"",IF(_xlfn.IFNA(VLOOKUP(B1089,OmsControlTable!T:T,1,0),"尚未處理")&lt;&gt;"尚未處理","已處理","尚未處理"),"")</f>
        <v/>
      </c>
      <c r="B1089" s="2"/>
      <c r="C1089" s="2"/>
      <c r="D1089" s="2"/>
      <c r="E1089" s="2"/>
    </row>
    <row r="1090" spans="1:5" x14ac:dyDescent="0.25">
      <c r="A1090" s="2" t="str">
        <f>IF(B1090&lt;&gt;"",IF(_xlfn.IFNA(VLOOKUP(B1090,OmsControlTable!T:T,1,0),"尚未處理")&lt;&gt;"尚未處理","已處理","尚未處理"),"")</f>
        <v/>
      </c>
      <c r="B1090" s="2"/>
      <c r="C1090" s="2"/>
      <c r="D1090" s="2"/>
      <c r="E1090" s="2"/>
    </row>
    <row r="1091" spans="1:5" x14ac:dyDescent="0.25">
      <c r="A1091" s="2" t="str">
        <f>IF(B1091&lt;&gt;"",IF(_xlfn.IFNA(VLOOKUP(B1091,OmsControlTable!T:T,1,0),"尚未處理")&lt;&gt;"尚未處理","已處理","尚未處理"),"")</f>
        <v/>
      </c>
      <c r="B1091" s="2"/>
      <c r="C1091" s="2"/>
      <c r="D1091" s="2"/>
      <c r="E1091" s="2"/>
    </row>
    <row r="1092" spans="1:5" x14ac:dyDescent="0.25">
      <c r="A1092" s="2" t="str">
        <f>IF(B1092&lt;&gt;"",IF(_xlfn.IFNA(VLOOKUP(B1092,OmsControlTable!T:T,1,0),"尚未處理")&lt;&gt;"尚未處理","已處理","尚未處理"),"")</f>
        <v/>
      </c>
      <c r="B1092" s="2"/>
      <c r="C1092" s="2"/>
      <c r="D1092" s="2"/>
      <c r="E1092" s="2"/>
    </row>
    <row r="1093" spans="1:5" x14ac:dyDescent="0.25">
      <c r="A1093" s="2" t="str">
        <f>IF(B1093&lt;&gt;"",IF(_xlfn.IFNA(VLOOKUP(B1093,OmsControlTable!T:T,1,0),"尚未處理")&lt;&gt;"尚未處理","已處理","尚未處理"),"")</f>
        <v/>
      </c>
      <c r="B1093" s="2"/>
      <c r="C1093" s="2"/>
      <c r="D1093" s="2"/>
      <c r="E1093" s="2"/>
    </row>
    <row r="1094" spans="1:5" x14ac:dyDescent="0.25">
      <c r="A1094" s="2" t="str">
        <f>IF(B1094&lt;&gt;"",IF(_xlfn.IFNA(VLOOKUP(B1094,OmsControlTable!T:T,1,0),"尚未處理")&lt;&gt;"尚未處理","已處理","尚未處理"),"")</f>
        <v/>
      </c>
      <c r="B1094" s="2"/>
      <c r="C1094" s="2"/>
      <c r="D1094" s="2"/>
      <c r="E1094" s="2"/>
    </row>
    <row r="1095" spans="1:5" x14ac:dyDescent="0.25">
      <c r="A1095" s="2" t="str">
        <f>IF(B1095&lt;&gt;"",IF(_xlfn.IFNA(VLOOKUP(B1095,OmsControlTable!T:T,1,0),"尚未處理")&lt;&gt;"尚未處理","已處理","尚未處理"),"")</f>
        <v/>
      </c>
      <c r="B1095" s="2"/>
      <c r="C1095" s="2"/>
      <c r="D1095" s="2"/>
      <c r="E1095" s="2"/>
    </row>
    <row r="1096" spans="1:5" x14ac:dyDescent="0.25">
      <c r="A1096" s="2" t="str">
        <f>IF(B1096&lt;&gt;"",IF(_xlfn.IFNA(VLOOKUP(B1096,OmsControlTable!T:T,1,0),"尚未處理")&lt;&gt;"尚未處理","已處理","尚未處理"),"")</f>
        <v/>
      </c>
      <c r="B1096" s="2"/>
      <c r="C1096" s="2"/>
      <c r="D1096" s="2"/>
      <c r="E1096" s="2"/>
    </row>
    <row r="1097" spans="1:5" x14ac:dyDescent="0.25">
      <c r="A1097" s="2" t="str">
        <f>IF(B1097&lt;&gt;"",IF(_xlfn.IFNA(VLOOKUP(B1097,OmsControlTable!T:T,1,0),"尚未處理")&lt;&gt;"尚未處理","已處理","尚未處理"),"")</f>
        <v/>
      </c>
      <c r="B1097" s="2"/>
      <c r="C1097" s="2"/>
      <c r="D1097" s="2"/>
      <c r="E1097" s="2"/>
    </row>
    <row r="1098" spans="1:5" x14ac:dyDescent="0.25">
      <c r="A1098" s="2" t="str">
        <f>IF(B1098&lt;&gt;"",IF(_xlfn.IFNA(VLOOKUP(B1098,OmsControlTable!T:T,1,0),"尚未處理")&lt;&gt;"尚未處理","已處理","尚未處理"),"")</f>
        <v/>
      </c>
      <c r="B1098" s="2"/>
      <c r="C1098" s="2"/>
      <c r="D1098" s="2"/>
      <c r="E1098" s="2"/>
    </row>
    <row r="1099" spans="1:5" x14ac:dyDescent="0.25">
      <c r="A1099" s="2" t="str">
        <f>IF(B1099&lt;&gt;"",IF(_xlfn.IFNA(VLOOKUP(B1099,OmsControlTable!T:T,1,0),"尚未處理")&lt;&gt;"尚未處理","已處理","尚未處理"),"")</f>
        <v/>
      </c>
      <c r="B1099" s="2"/>
      <c r="C1099" s="2"/>
      <c r="D1099" s="2"/>
      <c r="E1099" s="2"/>
    </row>
    <row r="1100" spans="1:5" x14ac:dyDescent="0.25">
      <c r="A1100" s="2" t="str">
        <f>IF(B1100&lt;&gt;"",IF(_xlfn.IFNA(VLOOKUP(B1100,OmsControlTable!T:T,1,0),"尚未處理")&lt;&gt;"尚未處理","已處理","尚未處理"),"")</f>
        <v/>
      </c>
      <c r="B1100" s="2"/>
      <c r="C1100" s="2"/>
      <c r="D1100" s="2"/>
      <c r="E1100" s="2"/>
    </row>
    <row r="1101" spans="1:5" x14ac:dyDescent="0.25">
      <c r="A1101" s="2" t="str">
        <f>IF(B1101&lt;&gt;"",IF(_xlfn.IFNA(VLOOKUP(B1101,OmsControlTable!T:T,1,0),"尚未處理")&lt;&gt;"尚未處理","已處理","尚未處理"),"")</f>
        <v/>
      </c>
      <c r="B1101" s="2"/>
      <c r="C1101" s="2"/>
      <c r="D1101" s="2"/>
      <c r="E1101" s="2"/>
    </row>
    <row r="1102" spans="1:5" x14ac:dyDescent="0.25">
      <c r="A1102" s="2" t="str">
        <f>IF(B1102&lt;&gt;"",IF(_xlfn.IFNA(VLOOKUP(B1102,OmsControlTable!T:T,1,0),"尚未處理")&lt;&gt;"尚未處理","已處理","尚未處理"),"")</f>
        <v/>
      </c>
      <c r="B1102" s="2"/>
      <c r="C1102" s="2"/>
      <c r="D1102" s="2"/>
      <c r="E1102" s="2"/>
    </row>
    <row r="1103" spans="1:5" x14ac:dyDescent="0.25">
      <c r="A1103" s="2" t="str">
        <f>IF(B1103&lt;&gt;"",IF(_xlfn.IFNA(VLOOKUP(B1103,OmsControlTable!T:T,1,0),"尚未處理")&lt;&gt;"尚未處理","已處理","尚未處理"),"")</f>
        <v/>
      </c>
      <c r="B1103" s="2"/>
      <c r="C1103" s="2"/>
      <c r="D1103" s="2"/>
      <c r="E1103" s="2"/>
    </row>
    <row r="1104" spans="1:5" x14ac:dyDescent="0.25">
      <c r="A1104" s="2" t="str">
        <f>IF(B1104&lt;&gt;"",IF(_xlfn.IFNA(VLOOKUP(B1104,OmsControlTable!T:T,1,0),"尚未處理")&lt;&gt;"尚未處理","已處理","尚未處理"),"")</f>
        <v/>
      </c>
      <c r="B1104" s="2"/>
      <c r="C1104" s="2"/>
      <c r="D1104" s="2"/>
      <c r="E1104" s="2"/>
    </row>
    <row r="1105" spans="1:5" x14ac:dyDescent="0.25">
      <c r="A1105" s="2" t="str">
        <f>IF(B1105&lt;&gt;"",IF(_xlfn.IFNA(VLOOKUP(B1105,OmsControlTable!T:T,1,0),"尚未處理")&lt;&gt;"尚未處理","已處理","尚未處理"),"")</f>
        <v/>
      </c>
      <c r="B1105" s="2"/>
      <c r="C1105" s="2"/>
      <c r="D1105" s="2"/>
      <c r="E1105" s="2"/>
    </row>
    <row r="1106" spans="1:5" x14ac:dyDescent="0.25">
      <c r="A1106" s="2" t="str">
        <f>IF(B1106&lt;&gt;"",IF(_xlfn.IFNA(VLOOKUP(B1106,OmsControlTable!T:T,1,0),"尚未處理")&lt;&gt;"尚未處理","已處理","尚未處理"),"")</f>
        <v/>
      </c>
      <c r="B1106" s="2"/>
      <c r="C1106" s="2"/>
      <c r="D1106" s="2"/>
      <c r="E1106" s="2"/>
    </row>
    <row r="1107" spans="1:5" x14ac:dyDescent="0.25">
      <c r="A1107" s="2" t="str">
        <f>IF(B1107&lt;&gt;"",IF(_xlfn.IFNA(VLOOKUP(B1107,OmsControlTable!T:T,1,0),"尚未處理")&lt;&gt;"尚未處理","已處理","尚未處理"),"")</f>
        <v/>
      </c>
      <c r="B1107" s="2"/>
      <c r="C1107" s="2"/>
      <c r="D1107" s="2"/>
      <c r="E1107" s="2"/>
    </row>
    <row r="1108" spans="1:5" x14ac:dyDescent="0.25">
      <c r="A1108" s="2" t="str">
        <f>IF(B1108&lt;&gt;"",IF(_xlfn.IFNA(VLOOKUP(B1108,OmsControlTable!T:T,1,0),"尚未處理")&lt;&gt;"尚未處理","已處理","尚未處理"),"")</f>
        <v/>
      </c>
      <c r="B1108" s="2"/>
      <c r="C1108" s="2"/>
      <c r="D1108" s="2"/>
      <c r="E1108" s="2"/>
    </row>
    <row r="1109" spans="1:5" x14ac:dyDescent="0.25">
      <c r="A1109" s="2" t="str">
        <f>IF(B1109&lt;&gt;"",IF(_xlfn.IFNA(VLOOKUP(B1109,OmsControlTable!T:T,1,0),"尚未處理")&lt;&gt;"尚未處理","已處理","尚未處理"),"")</f>
        <v/>
      </c>
      <c r="B1109" s="2"/>
      <c r="C1109" s="2"/>
      <c r="D1109" s="2"/>
      <c r="E1109" s="2"/>
    </row>
    <row r="1110" spans="1:5" x14ac:dyDescent="0.25">
      <c r="A1110" s="2" t="str">
        <f>IF(B1110&lt;&gt;"",IF(_xlfn.IFNA(VLOOKUP(B1110,OmsControlTable!T:T,1,0),"尚未處理")&lt;&gt;"尚未處理","已處理","尚未處理"),"")</f>
        <v/>
      </c>
      <c r="B1110" s="2"/>
      <c r="C1110" s="2"/>
      <c r="D1110" s="2"/>
      <c r="E1110" s="2"/>
    </row>
    <row r="1111" spans="1:5" x14ac:dyDescent="0.25">
      <c r="A1111" s="2" t="str">
        <f>IF(B1111&lt;&gt;"",IF(_xlfn.IFNA(VLOOKUP(B1111,OmsControlTable!T:T,1,0),"尚未處理")&lt;&gt;"尚未處理","已處理","尚未處理"),"")</f>
        <v/>
      </c>
      <c r="B1111" s="2"/>
      <c r="C1111" s="2"/>
      <c r="D1111" s="2"/>
      <c r="E1111" s="2"/>
    </row>
    <row r="1112" spans="1:5" x14ac:dyDescent="0.25">
      <c r="A1112" s="2" t="str">
        <f>IF(B1112&lt;&gt;"",IF(_xlfn.IFNA(VLOOKUP(B1112,OmsControlTable!T:T,1,0),"尚未處理")&lt;&gt;"尚未處理","已處理","尚未處理"),"")</f>
        <v/>
      </c>
      <c r="B1112" s="2"/>
      <c r="C1112" s="2"/>
      <c r="D1112" s="2"/>
      <c r="E1112" s="2"/>
    </row>
    <row r="1113" spans="1:5" x14ac:dyDescent="0.25">
      <c r="A1113" s="2" t="str">
        <f>IF(B1113&lt;&gt;"",IF(_xlfn.IFNA(VLOOKUP(B1113,OmsControlTable!T:T,1,0),"尚未處理")&lt;&gt;"尚未處理","已處理","尚未處理"),"")</f>
        <v/>
      </c>
      <c r="B1113" s="2"/>
      <c r="C1113" s="2"/>
      <c r="D1113" s="2"/>
      <c r="E1113" s="2"/>
    </row>
    <row r="1114" spans="1:5" x14ac:dyDescent="0.25">
      <c r="A1114" s="2" t="str">
        <f>IF(B1114&lt;&gt;"",IF(_xlfn.IFNA(VLOOKUP(B1114,OmsControlTable!T:T,1,0),"尚未處理")&lt;&gt;"尚未處理","已處理","尚未處理"),"")</f>
        <v/>
      </c>
      <c r="B1114" s="2"/>
      <c r="C1114" s="2"/>
      <c r="D1114" s="2"/>
      <c r="E1114" s="2"/>
    </row>
    <row r="1115" spans="1:5" x14ac:dyDescent="0.25">
      <c r="A1115" s="2" t="str">
        <f>IF(B1115&lt;&gt;"",IF(_xlfn.IFNA(VLOOKUP(B1115,OmsControlTable!T:T,1,0),"尚未處理")&lt;&gt;"尚未處理","已處理","尚未處理"),"")</f>
        <v/>
      </c>
      <c r="B1115" s="2"/>
      <c r="C1115" s="2"/>
      <c r="D1115" s="2"/>
      <c r="E1115" s="2"/>
    </row>
    <row r="1116" spans="1:5" x14ac:dyDescent="0.25">
      <c r="A1116" s="2" t="str">
        <f>IF(B1116&lt;&gt;"",IF(_xlfn.IFNA(VLOOKUP(B1116,OmsControlTable!T:T,1,0),"尚未處理")&lt;&gt;"尚未處理","已處理","尚未處理"),"")</f>
        <v/>
      </c>
      <c r="B1116" s="2"/>
      <c r="C1116" s="2"/>
      <c r="D1116" s="2"/>
      <c r="E1116" s="2"/>
    </row>
    <row r="1117" spans="1:5" x14ac:dyDescent="0.25">
      <c r="A1117" s="2" t="str">
        <f>IF(B1117&lt;&gt;"",IF(_xlfn.IFNA(VLOOKUP(B1117,OmsControlTable!T:T,1,0),"尚未處理")&lt;&gt;"尚未處理","已處理","尚未處理"),"")</f>
        <v/>
      </c>
      <c r="B1117" s="2"/>
      <c r="C1117" s="2"/>
      <c r="D1117" s="2"/>
      <c r="E1117" s="2"/>
    </row>
    <row r="1118" spans="1:5" x14ac:dyDescent="0.25">
      <c r="A1118" s="2" t="str">
        <f>IF(B1118&lt;&gt;"",IF(_xlfn.IFNA(VLOOKUP(B1118,OmsControlTable!T:T,1,0),"尚未處理")&lt;&gt;"尚未處理","已處理","尚未處理"),"")</f>
        <v/>
      </c>
      <c r="B1118" s="2"/>
      <c r="C1118" s="2"/>
      <c r="D1118" s="2"/>
      <c r="E1118" s="2"/>
    </row>
    <row r="1119" spans="1:5" x14ac:dyDescent="0.25">
      <c r="A1119" s="2" t="str">
        <f>IF(B1119&lt;&gt;"",IF(_xlfn.IFNA(VLOOKUP(B1119,OmsControlTable!T:T,1,0),"尚未處理")&lt;&gt;"尚未處理","已處理","尚未處理"),"")</f>
        <v/>
      </c>
      <c r="B1119" s="2"/>
      <c r="C1119" s="2"/>
      <c r="D1119" s="2"/>
      <c r="E1119" s="2"/>
    </row>
    <row r="1120" spans="1:5" x14ac:dyDescent="0.25">
      <c r="A1120" s="2" t="str">
        <f>IF(B1120&lt;&gt;"",IF(_xlfn.IFNA(VLOOKUP(B1120,OmsControlTable!T:T,1,0),"尚未處理")&lt;&gt;"尚未處理","已處理","尚未處理"),"")</f>
        <v/>
      </c>
      <c r="B1120" s="2"/>
      <c r="C1120" s="2"/>
      <c r="D1120" s="2"/>
      <c r="E1120" s="2"/>
    </row>
    <row r="1121" spans="1:5" x14ac:dyDescent="0.25">
      <c r="A1121" s="2" t="str">
        <f>IF(B1121&lt;&gt;"",IF(_xlfn.IFNA(VLOOKUP(B1121,OmsControlTable!T:T,1,0),"尚未處理")&lt;&gt;"尚未處理","已處理","尚未處理"),"")</f>
        <v/>
      </c>
      <c r="B1121" s="2"/>
      <c r="C1121" s="2"/>
      <c r="D1121" s="2"/>
      <c r="E1121" s="2"/>
    </row>
    <row r="1122" spans="1:5" x14ac:dyDescent="0.25">
      <c r="A1122" s="2" t="str">
        <f>IF(B1122&lt;&gt;"",IF(_xlfn.IFNA(VLOOKUP(B1122,OmsControlTable!T:T,1,0),"尚未處理")&lt;&gt;"尚未處理","已處理","尚未處理"),"")</f>
        <v/>
      </c>
      <c r="B1122" s="2"/>
      <c r="C1122" s="2"/>
      <c r="D1122" s="2"/>
      <c r="E1122" s="2"/>
    </row>
    <row r="1123" spans="1:5" x14ac:dyDescent="0.25">
      <c r="A1123" s="2" t="str">
        <f>IF(B1123&lt;&gt;"",IF(_xlfn.IFNA(VLOOKUP(B1123,OmsControlTable!T:T,1,0),"尚未處理")&lt;&gt;"尚未處理","已處理","尚未處理"),"")</f>
        <v/>
      </c>
      <c r="B1123" s="2"/>
      <c r="C1123" s="2"/>
      <c r="D1123" s="2"/>
      <c r="E1123" s="2"/>
    </row>
    <row r="1124" spans="1:5" x14ac:dyDescent="0.25">
      <c r="A1124" s="2" t="str">
        <f>IF(B1124&lt;&gt;"",IF(_xlfn.IFNA(VLOOKUP(B1124,OmsControlTable!T:T,1,0),"尚未處理")&lt;&gt;"尚未處理","已處理","尚未處理"),"")</f>
        <v/>
      </c>
      <c r="B1124" s="2"/>
      <c r="C1124" s="2"/>
      <c r="D1124" s="2"/>
      <c r="E1124" s="2"/>
    </row>
    <row r="1125" spans="1:5" x14ac:dyDescent="0.25">
      <c r="A1125" s="2" t="str">
        <f>IF(B1125&lt;&gt;"",IF(_xlfn.IFNA(VLOOKUP(B1125,OmsControlTable!T:T,1,0),"尚未處理")&lt;&gt;"尚未處理","已處理","尚未處理"),"")</f>
        <v/>
      </c>
      <c r="B1125" s="2"/>
      <c r="C1125" s="2"/>
      <c r="D1125" s="2"/>
      <c r="E1125" s="2"/>
    </row>
    <row r="1126" spans="1:5" x14ac:dyDescent="0.25">
      <c r="A1126" s="2" t="str">
        <f>IF(B1126&lt;&gt;"",IF(_xlfn.IFNA(VLOOKUP(B1126,OmsControlTable!T:T,1,0),"尚未處理")&lt;&gt;"尚未處理","已處理","尚未處理"),"")</f>
        <v/>
      </c>
      <c r="B1126" s="2"/>
      <c r="C1126" s="2"/>
      <c r="D1126" s="2"/>
      <c r="E1126" s="2"/>
    </row>
    <row r="1127" spans="1:5" x14ac:dyDescent="0.25">
      <c r="A1127" s="2" t="str">
        <f>IF(B1127&lt;&gt;"",IF(_xlfn.IFNA(VLOOKUP(B1127,OmsControlTable!T:T,1,0),"尚未處理")&lt;&gt;"尚未處理","已處理","尚未處理"),"")</f>
        <v/>
      </c>
      <c r="B1127" s="2"/>
      <c r="C1127" s="2"/>
      <c r="D1127" s="2"/>
      <c r="E1127" s="2"/>
    </row>
    <row r="1128" spans="1:5" x14ac:dyDescent="0.25">
      <c r="A1128" s="2" t="str">
        <f>IF(B1128&lt;&gt;"",IF(_xlfn.IFNA(VLOOKUP(B1128,OmsControlTable!T:T,1,0),"尚未處理")&lt;&gt;"尚未處理","已處理","尚未處理"),"")</f>
        <v/>
      </c>
      <c r="B1128" s="2"/>
      <c r="C1128" s="2"/>
      <c r="D1128" s="2"/>
      <c r="E1128" s="2"/>
    </row>
    <row r="1129" spans="1:5" x14ac:dyDescent="0.25">
      <c r="A1129" s="2" t="str">
        <f>IF(B1129&lt;&gt;"",IF(_xlfn.IFNA(VLOOKUP(B1129,OmsControlTable!T:T,1,0),"尚未處理")&lt;&gt;"尚未處理","已處理","尚未處理"),"")</f>
        <v/>
      </c>
      <c r="B1129" s="2"/>
      <c r="C1129" s="2"/>
      <c r="D1129" s="2"/>
      <c r="E1129" s="2"/>
    </row>
    <row r="1130" spans="1:5" x14ac:dyDescent="0.25">
      <c r="A1130" s="2" t="str">
        <f>IF(B1130&lt;&gt;"",IF(_xlfn.IFNA(VLOOKUP(B1130,OmsControlTable!T:T,1,0),"尚未處理")&lt;&gt;"尚未處理","已處理","尚未處理"),"")</f>
        <v/>
      </c>
      <c r="B1130" s="2"/>
      <c r="C1130" s="2"/>
      <c r="D1130" s="2"/>
      <c r="E1130" s="2"/>
    </row>
    <row r="1131" spans="1:5" x14ac:dyDescent="0.25">
      <c r="A1131" s="2" t="str">
        <f>IF(B1131&lt;&gt;"",IF(_xlfn.IFNA(VLOOKUP(B1131,OmsControlTable!T:T,1,0),"尚未處理")&lt;&gt;"尚未處理","已處理","尚未處理"),"")</f>
        <v/>
      </c>
      <c r="B1131" s="2"/>
      <c r="C1131" s="2"/>
      <c r="D1131" s="2"/>
      <c r="E1131" s="2"/>
    </row>
    <row r="1132" spans="1:5" x14ac:dyDescent="0.25">
      <c r="A1132" s="2" t="str">
        <f>IF(B1132&lt;&gt;"",IF(_xlfn.IFNA(VLOOKUP(B1132,OmsControlTable!T:T,1,0),"尚未處理")&lt;&gt;"尚未處理","已處理","尚未處理"),"")</f>
        <v/>
      </c>
      <c r="B1132" s="2"/>
      <c r="C1132" s="2"/>
      <c r="D1132" s="2"/>
      <c r="E1132" s="2"/>
    </row>
    <row r="1133" spans="1:5" x14ac:dyDescent="0.25">
      <c r="A1133" s="2" t="str">
        <f>IF(B1133&lt;&gt;"",IF(_xlfn.IFNA(VLOOKUP(B1133,OmsControlTable!T:T,1,0),"尚未處理")&lt;&gt;"尚未處理","已處理","尚未處理"),"")</f>
        <v/>
      </c>
      <c r="B1133" s="2"/>
      <c r="C1133" s="2"/>
      <c r="D1133" s="2"/>
      <c r="E1133" s="2"/>
    </row>
    <row r="1134" spans="1:5" x14ac:dyDescent="0.25">
      <c r="A1134" s="2" t="str">
        <f>IF(B1134&lt;&gt;"",IF(_xlfn.IFNA(VLOOKUP(B1134,OmsControlTable!T:T,1,0),"尚未處理")&lt;&gt;"尚未處理","已處理","尚未處理"),"")</f>
        <v/>
      </c>
      <c r="B1134" s="2"/>
      <c r="C1134" s="2"/>
      <c r="D1134" s="2"/>
      <c r="E1134" s="2"/>
    </row>
    <row r="1135" spans="1:5" x14ac:dyDescent="0.25">
      <c r="A1135" s="2" t="str">
        <f>IF(B1135&lt;&gt;"",IF(_xlfn.IFNA(VLOOKUP(B1135,OmsControlTable!T:T,1,0),"尚未處理")&lt;&gt;"尚未處理","已處理","尚未處理"),"")</f>
        <v/>
      </c>
      <c r="B1135" s="2"/>
      <c r="C1135" s="2"/>
      <c r="D1135" s="2"/>
      <c r="E1135" s="2"/>
    </row>
    <row r="1136" spans="1:5" x14ac:dyDescent="0.25">
      <c r="A1136" s="2" t="str">
        <f>IF(B1136&lt;&gt;"",IF(_xlfn.IFNA(VLOOKUP(B1136,OmsControlTable!T:T,1,0),"尚未處理")&lt;&gt;"尚未處理","已處理","尚未處理"),"")</f>
        <v/>
      </c>
      <c r="B1136" s="2"/>
      <c r="C1136" s="2"/>
      <c r="D1136" s="2"/>
      <c r="E1136" s="2"/>
    </row>
    <row r="1137" spans="1:5" x14ac:dyDescent="0.25">
      <c r="A1137" s="2" t="str">
        <f>IF(B1137&lt;&gt;"",IF(_xlfn.IFNA(VLOOKUP(B1137,OmsControlTable!T:T,1,0),"尚未處理")&lt;&gt;"尚未處理","已處理","尚未處理"),"")</f>
        <v/>
      </c>
      <c r="B1137" s="2"/>
      <c r="C1137" s="2"/>
      <c r="D1137" s="2"/>
      <c r="E1137" s="2"/>
    </row>
    <row r="1138" spans="1:5" x14ac:dyDescent="0.25">
      <c r="A1138" s="2" t="str">
        <f>IF(B1138&lt;&gt;"",IF(_xlfn.IFNA(VLOOKUP(B1138,OmsControlTable!T:T,1,0),"尚未處理")&lt;&gt;"尚未處理","已處理","尚未處理"),"")</f>
        <v/>
      </c>
      <c r="B1138" s="2"/>
      <c r="C1138" s="2"/>
      <c r="D1138" s="2"/>
      <c r="E1138" s="2"/>
    </row>
    <row r="1139" spans="1:5" x14ac:dyDescent="0.25">
      <c r="A1139" s="2" t="str">
        <f>IF(B1139&lt;&gt;"",IF(_xlfn.IFNA(VLOOKUP(B1139,OmsControlTable!T:T,1,0),"尚未處理")&lt;&gt;"尚未處理","已處理","尚未處理"),"")</f>
        <v/>
      </c>
      <c r="B1139" s="2"/>
      <c r="C1139" s="2"/>
      <c r="D1139" s="2"/>
      <c r="E1139" s="2"/>
    </row>
    <row r="1140" spans="1:5" x14ac:dyDescent="0.25">
      <c r="A1140" s="2" t="str">
        <f>IF(B1140&lt;&gt;"",IF(_xlfn.IFNA(VLOOKUP(B1140,OmsControlTable!T:T,1,0),"尚未處理")&lt;&gt;"尚未處理","已處理","尚未處理"),"")</f>
        <v/>
      </c>
      <c r="B1140" s="2"/>
      <c r="C1140" s="2"/>
      <c r="D1140" s="2"/>
      <c r="E1140" s="2"/>
    </row>
    <row r="1141" spans="1:5" x14ac:dyDescent="0.25">
      <c r="A1141" s="2" t="str">
        <f>IF(B1141&lt;&gt;"",IF(_xlfn.IFNA(VLOOKUP(B1141,OmsControlTable!T:T,1,0),"尚未處理")&lt;&gt;"尚未處理","已處理","尚未處理"),"")</f>
        <v/>
      </c>
      <c r="B1141" s="2"/>
      <c r="C1141" s="2"/>
      <c r="D1141" s="2"/>
      <c r="E1141" s="2"/>
    </row>
    <row r="1142" spans="1:5" x14ac:dyDescent="0.25">
      <c r="A1142" s="2" t="str">
        <f>IF(B1142&lt;&gt;"",IF(_xlfn.IFNA(VLOOKUP(B1142,OmsControlTable!T:T,1,0),"尚未處理")&lt;&gt;"尚未處理","已處理","尚未處理"),"")</f>
        <v/>
      </c>
      <c r="B1142" s="2"/>
      <c r="C1142" s="2"/>
      <c r="D1142" s="2"/>
      <c r="E1142" s="2"/>
    </row>
    <row r="1143" spans="1:5" x14ac:dyDescent="0.25">
      <c r="A1143" s="2" t="str">
        <f>IF(B1143&lt;&gt;"",IF(_xlfn.IFNA(VLOOKUP(B1143,OmsControlTable!T:T,1,0),"尚未處理")&lt;&gt;"尚未處理","已處理","尚未處理"),"")</f>
        <v/>
      </c>
      <c r="B1143" s="2"/>
      <c r="C1143" s="2"/>
      <c r="D1143" s="2"/>
      <c r="E1143" s="2"/>
    </row>
    <row r="1144" spans="1:5" x14ac:dyDescent="0.25">
      <c r="A1144" s="2" t="str">
        <f>IF(B1144&lt;&gt;"",IF(_xlfn.IFNA(VLOOKUP(B1144,OmsControlTable!T:T,1,0),"尚未處理")&lt;&gt;"尚未處理","已處理","尚未處理"),"")</f>
        <v/>
      </c>
      <c r="B1144" s="2"/>
      <c r="C1144" s="2"/>
      <c r="D1144" s="2"/>
      <c r="E1144" s="2"/>
    </row>
    <row r="1145" spans="1:5" x14ac:dyDescent="0.25">
      <c r="A1145" s="2" t="str">
        <f>IF(B1145&lt;&gt;"",IF(_xlfn.IFNA(VLOOKUP(B1145,OmsControlTable!T:T,1,0),"尚未處理")&lt;&gt;"尚未處理","已處理","尚未處理"),"")</f>
        <v/>
      </c>
      <c r="B1145" s="2"/>
      <c r="C1145" s="2"/>
      <c r="D1145" s="2"/>
      <c r="E1145" s="2"/>
    </row>
    <row r="1146" spans="1:5" x14ac:dyDescent="0.25">
      <c r="A1146" s="2" t="str">
        <f>IF(B1146&lt;&gt;"",IF(_xlfn.IFNA(VLOOKUP(B1146,OmsControlTable!T:T,1,0),"尚未處理")&lt;&gt;"尚未處理","已處理","尚未處理"),"")</f>
        <v/>
      </c>
      <c r="B1146" s="2"/>
      <c r="C1146" s="2"/>
      <c r="D1146" s="2"/>
      <c r="E1146" s="2"/>
    </row>
    <row r="1147" spans="1:5" x14ac:dyDescent="0.25">
      <c r="A1147" s="2" t="str">
        <f>IF(B1147&lt;&gt;"",IF(_xlfn.IFNA(VLOOKUP(B1147,OmsControlTable!T:T,1,0),"尚未處理")&lt;&gt;"尚未處理","已處理","尚未處理"),"")</f>
        <v/>
      </c>
      <c r="B1147" s="2"/>
      <c r="C1147" s="2"/>
      <c r="D1147" s="2"/>
      <c r="E1147" s="2"/>
    </row>
    <row r="1148" spans="1:5" x14ac:dyDescent="0.25">
      <c r="A1148" s="2" t="str">
        <f>IF(B1148&lt;&gt;"",IF(_xlfn.IFNA(VLOOKUP(B1148,OmsControlTable!T:T,1,0),"尚未處理")&lt;&gt;"尚未處理","已處理","尚未處理"),"")</f>
        <v/>
      </c>
      <c r="B1148" s="2"/>
      <c r="C1148" s="2"/>
      <c r="D1148" s="2"/>
      <c r="E1148" s="2"/>
    </row>
    <row r="1149" spans="1:5" x14ac:dyDescent="0.25">
      <c r="A1149" s="2" t="str">
        <f>IF(B1149&lt;&gt;"",IF(_xlfn.IFNA(VLOOKUP(B1149,OmsControlTable!T:T,1,0),"尚未處理")&lt;&gt;"尚未處理","已處理","尚未處理"),"")</f>
        <v/>
      </c>
      <c r="B1149" s="2"/>
      <c r="C1149" s="2"/>
      <c r="D1149" s="2"/>
      <c r="E1149" s="2"/>
    </row>
    <row r="1150" spans="1:5" x14ac:dyDescent="0.25">
      <c r="A1150" s="2" t="str">
        <f>IF(B1150&lt;&gt;"",IF(_xlfn.IFNA(VLOOKUP(B1150,OmsControlTable!T:T,1,0),"尚未處理")&lt;&gt;"尚未處理","已處理","尚未處理"),"")</f>
        <v/>
      </c>
      <c r="B1150" s="2"/>
      <c r="C1150" s="2"/>
      <c r="D1150" s="2"/>
      <c r="E1150" s="2"/>
    </row>
    <row r="1151" spans="1:5" x14ac:dyDescent="0.25">
      <c r="A1151" s="2" t="str">
        <f>IF(B1151&lt;&gt;"",IF(_xlfn.IFNA(VLOOKUP(B1151,OmsControlTable!T:T,1,0),"尚未處理")&lt;&gt;"尚未處理","已處理","尚未處理"),"")</f>
        <v/>
      </c>
      <c r="B1151" s="2"/>
      <c r="C1151" s="2"/>
      <c r="D1151" s="2"/>
      <c r="E1151" s="2"/>
    </row>
    <row r="1152" spans="1:5" x14ac:dyDescent="0.25">
      <c r="A1152" s="2" t="str">
        <f>IF(B1152&lt;&gt;"",IF(_xlfn.IFNA(VLOOKUP(B1152,OmsControlTable!T:T,1,0),"尚未處理")&lt;&gt;"尚未處理","已處理","尚未處理"),"")</f>
        <v/>
      </c>
      <c r="B1152" s="2"/>
      <c r="C1152" s="2"/>
      <c r="D1152" s="2"/>
      <c r="E1152" s="2"/>
    </row>
    <row r="1153" spans="1:5" x14ac:dyDescent="0.25">
      <c r="A1153" s="2" t="str">
        <f>IF(B1153&lt;&gt;"",IF(_xlfn.IFNA(VLOOKUP(B1153,OmsControlTable!T:T,1,0),"尚未處理")&lt;&gt;"尚未處理","已處理","尚未處理"),"")</f>
        <v/>
      </c>
      <c r="B1153" s="2"/>
      <c r="C1153" s="2"/>
      <c r="D1153" s="2"/>
      <c r="E1153" s="2"/>
    </row>
    <row r="1154" spans="1:5" x14ac:dyDescent="0.25">
      <c r="A1154" s="2" t="str">
        <f>IF(B1154&lt;&gt;"",IF(_xlfn.IFNA(VLOOKUP(B1154,OmsControlTable!T:T,1,0),"尚未處理")&lt;&gt;"尚未處理","已處理","尚未處理"),"")</f>
        <v/>
      </c>
      <c r="B1154" s="2"/>
      <c r="C1154" s="2"/>
      <c r="D1154" s="2"/>
      <c r="E1154" s="2"/>
    </row>
    <row r="1155" spans="1:5" x14ac:dyDescent="0.25">
      <c r="A1155" s="2" t="str">
        <f>IF(B1155&lt;&gt;"",IF(_xlfn.IFNA(VLOOKUP(B1155,OmsControlTable!T:T,1,0),"尚未處理")&lt;&gt;"尚未處理","已處理","尚未處理"),"")</f>
        <v/>
      </c>
      <c r="B1155" s="2"/>
      <c r="C1155" s="2"/>
      <c r="D1155" s="2"/>
      <c r="E1155" s="2"/>
    </row>
    <row r="1156" spans="1:5" x14ac:dyDescent="0.25">
      <c r="A1156" s="2" t="str">
        <f>IF(B1156&lt;&gt;"",IF(_xlfn.IFNA(VLOOKUP(B1156,OmsControlTable!T:T,1,0),"尚未處理")&lt;&gt;"尚未處理","已處理","尚未處理"),"")</f>
        <v/>
      </c>
      <c r="B1156" s="2"/>
      <c r="C1156" s="2"/>
      <c r="D1156" s="2"/>
      <c r="E1156" s="2"/>
    </row>
    <row r="1157" spans="1:5" x14ac:dyDescent="0.25">
      <c r="A1157" s="2" t="str">
        <f>IF(B1157&lt;&gt;"",IF(_xlfn.IFNA(VLOOKUP(B1157,OmsControlTable!T:T,1,0),"尚未處理")&lt;&gt;"尚未處理","已處理","尚未處理"),"")</f>
        <v/>
      </c>
      <c r="B1157" s="2"/>
      <c r="C1157" s="2"/>
      <c r="D1157" s="2"/>
      <c r="E1157" s="2"/>
    </row>
    <row r="1158" spans="1:5" x14ac:dyDescent="0.25">
      <c r="A1158" s="2" t="str">
        <f>IF(B1158&lt;&gt;"",IF(_xlfn.IFNA(VLOOKUP(B1158,OmsControlTable!T:T,1,0),"尚未處理")&lt;&gt;"尚未處理","已處理","尚未處理"),"")</f>
        <v/>
      </c>
      <c r="B1158" s="2"/>
      <c r="C1158" s="2"/>
      <c r="D1158" s="2"/>
      <c r="E1158" s="2"/>
    </row>
    <row r="1159" spans="1:5" x14ac:dyDescent="0.25">
      <c r="A1159" s="2" t="str">
        <f>IF(B1159&lt;&gt;"",IF(_xlfn.IFNA(VLOOKUP(B1159,OmsControlTable!T:T,1,0),"尚未處理")&lt;&gt;"尚未處理","已處理","尚未處理"),"")</f>
        <v/>
      </c>
      <c r="B1159" s="2"/>
      <c r="C1159" s="2"/>
      <c r="D1159" s="2"/>
      <c r="E1159" s="2"/>
    </row>
    <row r="1160" spans="1:5" x14ac:dyDescent="0.25">
      <c r="A1160" s="2" t="str">
        <f>IF(B1160&lt;&gt;"",IF(_xlfn.IFNA(VLOOKUP(B1160,OmsControlTable!T:T,1,0),"尚未處理")&lt;&gt;"尚未處理","已處理","尚未處理"),"")</f>
        <v/>
      </c>
      <c r="B1160" s="2"/>
      <c r="C1160" s="2"/>
      <c r="D1160" s="2"/>
      <c r="E1160" s="2"/>
    </row>
    <row r="1161" spans="1:5" x14ac:dyDescent="0.25">
      <c r="A1161" s="2" t="str">
        <f>IF(B1161&lt;&gt;"",IF(_xlfn.IFNA(VLOOKUP(B1161,OmsControlTable!T:T,1,0),"尚未處理")&lt;&gt;"尚未處理","已處理","尚未處理"),"")</f>
        <v/>
      </c>
      <c r="B1161" s="2"/>
      <c r="C1161" s="2"/>
      <c r="D1161" s="2"/>
      <c r="E1161" s="2"/>
    </row>
    <row r="1162" spans="1:5" x14ac:dyDescent="0.25">
      <c r="A1162" s="2" t="str">
        <f>IF(B1162&lt;&gt;"",IF(_xlfn.IFNA(VLOOKUP(B1162,OmsControlTable!T:T,1,0),"尚未處理")&lt;&gt;"尚未處理","已處理","尚未處理"),"")</f>
        <v/>
      </c>
      <c r="B1162" s="2"/>
      <c r="C1162" s="2"/>
      <c r="D1162" s="2"/>
      <c r="E1162" s="2"/>
    </row>
    <row r="1163" spans="1:5" x14ac:dyDescent="0.25">
      <c r="A1163" s="2" t="str">
        <f>IF(B1163&lt;&gt;"",IF(_xlfn.IFNA(VLOOKUP(B1163,OmsControlTable!T:T,1,0),"尚未處理")&lt;&gt;"尚未處理","已處理","尚未處理"),"")</f>
        <v/>
      </c>
      <c r="B1163" s="2"/>
      <c r="C1163" s="2"/>
      <c r="D1163" s="2"/>
      <c r="E1163" s="2"/>
    </row>
    <row r="1164" spans="1:5" x14ac:dyDescent="0.25">
      <c r="A1164" s="2" t="str">
        <f>IF(B1164&lt;&gt;"",IF(_xlfn.IFNA(VLOOKUP(B1164,OmsControlTable!T:T,1,0),"尚未處理")&lt;&gt;"尚未處理","已處理","尚未處理"),"")</f>
        <v/>
      </c>
      <c r="B1164" s="2"/>
      <c r="C1164" s="2"/>
      <c r="D1164" s="2"/>
      <c r="E1164" s="2"/>
    </row>
    <row r="1165" spans="1:5" x14ac:dyDescent="0.25">
      <c r="A1165" s="2" t="str">
        <f>IF(B1165&lt;&gt;"",IF(_xlfn.IFNA(VLOOKUP(B1165,OmsControlTable!T:T,1,0),"尚未處理")&lt;&gt;"尚未處理","已處理","尚未處理"),"")</f>
        <v/>
      </c>
      <c r="B1165" s="2"/>
      <c r="C1165" s="2"/>
      <c r="D1165" s="2"/>
      <c r="E1165" s="2"/>
    </row>
    <row r="1166" spans="1:5" x14ac:dyDescent="0.25">
      <c r="A1166" s="2" t="str">
        <f>IF(B1166&lt;&gt;"",IF(_xlfn.IFNA(VLOOKUP(B1166,OmsControlTable!T:T,1,0),"尚未處理")&lt;&gt;"尚未處理","已處理","尚未處理"),"")</f>
        <v/>
      </c>
      <c r="B1166" s="2"/>
      <c r="C1166" s="2"/>
      <c r="D1166" s="2"/>
      <c r="E1166" s="2"/>
    </row>
    <row r="1167" spans="1:5" x14ac:dyDescent="0.25">
      <c r="A1167" s="2" t="str">
        <f>IF(B1167&lt;&gt;"",IF(_xlfn.IFNA(VLOOKUP(B1167,OmsControlTable!T:T,1,0),"尚未處理")&lt;&gt;"尚未處理","已處理","尚未處理"),"")</f>
        <v/>
      </c>
      <c r="B1167" s="2"/>
      <c r="C1167" s="2"/>
      <c r="D1167" s="2"/>
      <c r="E1167" s="2"/>
    </row>
    <row r="1168" spans="1:5" x14ac:dyDescent="0.25">
      <c r="A1168" s="2" t="str">
        <f>IF(B1168&lt;&gt;"",IF(_xlfn.IFNA(VLOOKUP(B1168,OmsControlTable!T:T,1,0),"尚未處理")&lt;&gt;"尚未處理","已處理","尚未處理"),"")</f>
        <v/>
      </c>
      <c r="B1168" s="2"/>
      <c r="C1168" s="2"/>
      <c r="D1168" s="2"/>
      <c r="E1168" s="2"/>
    </row>
    <row r="1169" spans="1:5" x14ac:dyDescent="0.25">
      <c r="A1169" s="2" t="str">
        <f>IF(B1169&lt;&gt;"",IF(_xlfn.IFNA(VLOOKUP(B1169,OmsControlTable!T:T,1,0),"尚未處理")&lt;&gt;"尚未處理","已處理","尚未處理"),"")</f>
        <v/>
      </c>
      <c r="B1169" s="2"/>
      <c r="C1169" s="2"/>
      <c r="D1169" s="2"/>
      <c r="E1169" s="2"/>
    </row>
    <row r="1170" spans="1:5" x14ac:dyDescent="0.25">
      <c r="A1170" s="2" t="str">
        <f>IF(B1170&lt;&gt;"",IF(_xlfn.IFNA(VLOOKUP(B1170,OmsControlTable!T:T,1,0),"尚未處理")&lt;&gt;"尚未處理","已處理","尚未處理"),"")</f>
        <v/>
      </c>
      <c r="B1170" s="2"/>
      <c r="C1170" s="2"/>
      <c r="D1170" s="2"/>
      <c r="E1170" s="2"/>
    </row>
    <row r="1171" spans="1:5" x14ac:dyDescent="0.25">
      <c r="A1171" s="2" t="str">
        <f>IF(B1171&lt;&gt;"",IF(_xlfn.IFNA(VLOOKUP(B1171,OmsControlTable!T:T,1,0),"尚未處理")&lt;&gt;"尚未處理","已處理","尚未處理"),"")</f>
        <v/>
      </c>
      <c r="B1171" s="2"/>
      <c r="C1171" s="2"/>
      <c r="D1171" s="2"/>
      <c r="E1171" s="2"/>
    </row>
    <row r="1172" spans="1:5" x14ac:dyDescent="0.25">
      <c r="A1172" s="2" t="str">
        <f>IF(B1172&lt;&gt;"",IF(_xlfn.IFNA(VLOOKUP(B1172,OmsControlTable!T:T,1,0),"尚未處理")&lt;&gt;"尚未處理","已處理","尚未處理"),"")</f>
        <v/>
      </c>
      <c r="B1172" s="2"/>
      <c r="C1172" s="2"/>
      <c r="D1172" s="2"/>
      <c r="E1172" s="2"/>
    </row>
    <row r="1173" spans="1:5" x14ac:dyDescent="0.25">
      <c r="A1173" s="2" t="str">
        <f>IF(B1173&lt;&gt;"",IF(_xlfn.IFNA(VLOOKUP(B1173,OmsControlTable!T:T,1,0),"尚未處理")&lt;&gt;"尚未處理","已處理","尚未處理"),"")</f>
        <v/>
      </c>
      <c r="B1173" s="2"/>
      <c r="C1173" s="2"/>
      <c r="D1173" s="2"/>
      <c r="E1173" s="2"/>
    </row>
    <row r="1174" spans="1:5" x14ac:dyDescent="0.25">
      <c r="A1174" s="2" t="str">
        <f>IF(B1174&lt;&gt;"",IF(_xlfn.IFNA(VLOOKUP(B1174,OmsControlTable!T:T,1,0),"尚未處理")&lt;&gt;"尚未處理","已處理","尚未處理"),"")</f>
        <v/>
      </c>
      <c r="B1174" s="2"/>
      <c r="C1174" s="2"/>
      <c r="D1174" s="2"/>
      <c r="E1174" s="2"/>
    </row>
    <row r="1175" spans="1:5" x14ac:dyDescent="0.25">
      <c r="A1175" s="2" t="str">
        <f>IF(B1175&lt;&gt;"",IF(_xlfn.IFNA(VLOOKUP(B1175,OmsControlTable!T:T,1,0),"尚未處理")&lt;&gt;"尚未處理","已處理","尚未處理"),"")</f>
        <v/>
      </c>
      <c r="B1175" s="2"/>
      <c r="C1175" s="2"/>
      <c r="D1175" s="2"/>
      <c r="E1175" s="2"/>
    </row>
    <row r="1176" spans="1:5" x14ac:dyDescent="0.25">
      <c r="A1176" s="2" t="str">
        <f>IF(B1176&lt;&gt;"",IF(_xlfn.IFNA(VLOOKUP(B1176,OmsControlTable!T:T,1,0),"尚未處理")&lt;&gt;"尚未處理","已處理","尚未處理"),"")</f>
        <v/>
      </c>
      <c r="B1176" s="2"/>
      <c r="C1176" s="2"/>
      <c r="D1176" s="2"/>
      <c r="E1176" s="2"/>
    </row>
    <row r="1177" spans="1:5" x14ac:dyDescent="0.25">
      <c r="A1177" s="2" t="str">
        <f>IF(B1177&lt;&gt;"",IF(_xlfn.IFNA(VLOOKUP(B1177,OmsControlTable!T:T,1,0),"尚未處理")&lt;&gt;"尚未處理","已處理","尚未處理"),"")</f>
        <v/>
      </c>
      <c r="B1177" s="2"/>
      <c r="C1177" s="2"/>
      <c r="D1177" s="2"/>
      <c r="E1177" s="2"/>
    </row>
    <row r="1178" spans="1:5" x14ac:dyDescent="0.25">
      <c r="A1178" s="2" t="str">
        <f>IF(B1178&lt;&gt;"",IF(_xlfn.IFNA(VLOOKUP(B1178,OmsControlTable!T:T,1,0),"尚未處理")&lt;&gt;"尚未處理","已處理","尚未處理"),"")</f>
        <v/>
      </c>
      <c r="B1178" s="2"/>
      <c r="C1178" s="2"/>
      <c r="D1178" s="2"/>
      <c r="E1178" s="2"/>
    </row>
    <row r="1179" spans="1:5" x14ac:dyDescent="0.25">
      <c r="A1179" s="2" t="str">
        <f>IF(B1179&lt;&gt;"",IF(_xlfn.IFNA(VLOOKUP(B1179,OmsControlTable!T:T,1,0),"尚未處理")&lt;&gt;"尚未處理","已處理","尚未處理"),"")</f>
        <v/>
      </c>
      <c r="B1179" s="2"/>
      <c r="C1179" s="2"/>
      <c r="D1179" s="2"/>
      <c r="E1179" s="2"/>
    </row>
    <row r="1180" spans="1:5" x14ac:dyDescent="0.25">
      <c r="A1180" s="2" t="str">
        <f>IF(B1180&lt;&gt;"",IF(_xlfn.IFNA(VLOOKUP(B1180,OmsControlTable!T:T,1,0),"尚未處理")&lt;&gt;"尚未處理","已處理","尚未處理"),"")</f>
        <v/>
      </c>
      <c r="B1180" s="2"/>
      <c r="C1180" s="2"/>
      <c r="D1180" s="2"/>
      <c r="E1180" s="2"/>
    </row>
    <row r="1181" spans="1:5" x14ac:dyDescent="0.25">
      <c r="A1181" s="2" t="str">
        <f>IF(B1181&lt;&gt;"",IF(_xlfn.IFNA(VLOOKUP(B1181,OmsControlTable!T:T,1,0),"尚未處理")&lt;&gt;"尚未處理","已處理","尚未處理"),"")</f>
        <v/>
      </c>
      <c r="B1181" s="2"/>
      <c r="C1181" s="2"/>
      <c r="D1181" s="2"/>
      <c r="E1181" s="2"/>
    </row>
    <row r="1182" spans="1:5" x14ac:dyDescent="0.25">
      <c r="A1182" s="2" t="str">
        <f>IF(B1182&lt;&gt;"",IF(_xlfn.IFNA(VLOOKUP(B1182,OmsControlTable!T:T,1,0),"尚未處理")&lt;&gt;"尚未處理","已處理","尚未處理"),"")</f>
        <v/>
      </c>
      <c r="B1182" s="2"/>
      <c r="C1182" s="2"/>
      <c r="D1182" s="2"/>
      <c r="E1182" s="2"/>
    </row>
    <row r="1183" spans="1:5" x14ac:dyDescent="0.25">
      <c r="A1183" s="2" t="str">
        <f>IF(B1183&lt;&gt;"",IF(_xlfn.IFNA(VLOOKUP(B1183,OmsControlTable!T:T,1,0),"尚未處理")&lt;&gt;"尚未處理","已處理","尚未處理"),"")</f>
        <v/>
      </c>
      <c r="B1183" s="2"/>
      <c r="C1183" s="2"/>
      <c r="D1183" s="2"/>
      <c r="E1183" s="2"/>
    </row>
    <row r="1184" spans="1:5" x14ac:dyDescent="0.25">
      <c r="A1184" s="2" t="str">
        <f>IF(B1184&lt;&gt;"",IF(_xlfn.IFNA(VLOOKUP(B1184,OmsControlTable!T:T,1,0),"尚未處理")&lt;&gt;"尚未處理","已處理","尚未處理"),"")</f>
        <v/>
      </c>
      <c r="B1184" s="2"/>
      <c r="C1184" s="2"/>
      <c r="D1184" s="2"/>
      <c r="E1184" s="2"/>
    </row>
    <row r="1185" spans="1:5" x14ac:dyDescent="0.25">
      <c r="A1185" s="2" t="str">
        <f>IF(B1185&lt;&gt;"",IF(_xlfn.IFNA(VLOOKUP(B1185,OmsControlTable!T:T,1,0),"尚未處理")&lt;&gt;"尚未處理","已處理","尚未處理"),"")</f>
        <v/>
      </c>
      <c r="B1185" s="2"/>
      <c r="C1185" s="2"/>
      <c r="D1185" s="2"/>
      <c r="E1185" s="2"/>
    </row>
    <row r="1186" spans="1:5" x14ac:dyDescent="0.25">
      <c r="A1186" s="2" t="str">
        <f>IF(B1186&lt;&gt;"",IF(_xlfn.IFNA(VLOOKUP(B1186,OmsControlTable!T:T,1,0),"尚未處理")&lt;&gt;"尚未處理","已處理","尚未處理"),"")</f>
        <v/>
      </c>
      <c r="B1186" s="2"/>
      <c r="C1186" s="2"/>
      <c r="D1186" s="2"/>
      <c r="E1186" s="2"/>
    </row>
    <row r="1187" spans="1:5" x14ac:dyDescent="0.25">
      <c r="A1187" s="2" t="str">
        <f>IF(B1187&lt;&gt;"",IF(_xlfn.IFNA(VLOOKUP(B1187,OmsControlTable!T:T,1,0),"尚未處理")&lt;&gt;"尚未處理","已處理","尚未處理"),"")</f>
        <v/>
      </c>
      <c r="B1187" s="2"/>
      <c r="C1187" s="2"/>
      <c r="D1187" s="2"/>
      <c r="E1187" s="2"/>
    </row>
    <row r="1188" spans="1:5" x14ac:dyDescent="0.25">
      <c r="A1188" s="2" t="str">
        <f>IF(B1188&lt;&gt;"",IF(_xlfn.IFNA(VLOOKUP(B1188,OmsControlTable!T:T,1,0),"尚未處理")&lt;&gt;"尚未處理","已處理","尚未處理"),"")</f>
        <v/>
      </c>
      <c r="B1188" s="2"/>
      <c r="C1188" s="2"/>
      <c r="D1188" s="2"/>
      <c r="E1188" s="2"/>
    </row>
    <row r="1189" spans="1:5" x14ac:dyDescent="0.25">
      <c r="A1189" s="2" t="str">
        <f>IF(B1189&lt;&gt;"",IF(_xlfn.IFNA(VLOOKUP(B1189,OmsControlTable!T:T,1,0),"尚未處理")&lt;&gt;"尚未處理","已處理","尚未處理"),"")</f>
        <v/>
      </c>
      <c r="B1189" s="2"/>
      <c r="C1189" s="2"/>
      <c r="D1189" s="2"/>
      <c r="E1189" s="2"/>
    </row>
    <row r="1190" spans="1:5" x14ac:dyDescent="0.25">
      <c r="A1190" s="2" t="str">
        <f>IF(B1190&lt;&gt;"",IF(_xlfn.IFNA(VLOOKUP(B1190,OmsControlTable!T:T,1,0),"尚未處理")&lt;&gt;"尚未處理","已處理","尚未處理"),"")</f>
        <v/>
      </c>
      <c r="B1190" s="2"/>
      <c r="C1190" s="2"/>
      <c r="D1190" s="2"/>
      <c r="E1190" s="2"/>
    </row>
    <row r="1191" spans="1:5" x14ac:dyDescent="0.25">
      <c r="A1191" s="2" t="str">
        <f>IF(B1191&lt;&gt;"",IF(_xlfn.IFNA(VLOOKUP(B1191,OmsControlTable!T:T,1,0),"尚未處理")&lt;&gt;"尚未處理","已處理","尚未處理"),"")</f>
        <v/>
      </c>
      <c r="B1191" s="2"/>
      <c r="C1191" s="2"/>
      <c r="D1191" s="2"/>
      <c r="E1191" s="2"/>
    </row>
    <row r="1192" spans="1:5" x14ac:dyDescent="0.25">
      <c r="A1192" s="2" t="str">
        <f>IF(B1192&lt;&gt;"",IF(_xlfn.IFNA(VLOOKUP(B1192,OmsControlTable!T:T,1,0),"尚未處理")&lt;&gt;"尚未處理","已處理","尚未處理"),"")</f>
        <v/>
      </c>
      <c r="B1192" s="2"/>
      <c r="C1192" s="2"/>
      <c r="D1192" s="2"/>
      <c r="E1192" s="2"/>
    </row>
    <row r="1193" spans="1:5" x14ac:dyDescent="0.25">
      <c r="A1193" s="2" t="str">
        <f>IF(B1193&lt;&gt;"",IF(_xlfn.IFNA(VLOOKUP(B1193,OmsControlTable!T:T,1,0),"尚未處理")&lt;&gt;"尚未處理","已處理","尚未處理"),"")</f>
        <v/>
      </c>
      <c r="B1193" s="2"/>
      <c r="C1193" s="2"/>
      <c r="D1193" s="2"/>
      <c r="E1193" s="2"/>
    </row>
    <row r="1194" spans="1:5" x14ac:dyDescent="0.25">
      <c r="A1194" s="2" t="str">
        <f>IF(B1194&lt;&gt;"",IF(_xlfn.IFNA(VLOOKUP(B1194,OmsControlTable!T:T,1,0),"尚未處理")&lt;&gt;"尚未處理","已處理","尚未處理"),"")</f>
        <v/>
      </c>
      <c r="B1194" s="2"/>
      <c r="C1194" s="2"/>
      <c r="D1194" s="2"/>
      <c r="E1194" s="2"/>
    </row>
    <row r="1195" spans="1:5" x14ac:dyDescent="0.25">
      <c r="A1195" s="2" t="str">
        <f>IF(B1195&lt;&gt;"",IF(_xlfn.IFNA(VLOOKUP(B1195,OmsControlTable!T:T,1,0),"尚未處理")&lt;&gt;"尚未處理","已處理","尚未處理"),"")</f>
        <v/>
      </c>
      <c r="B1195" s="2"/>
      <c r="C1195" s="2"/>
      <c r="D1195" s="2"/>
      <c r="E1195" s="2"/>
    </row>
    <row r="1196" spans="1:5" x14ac:dyDescent="0.25">
      <c r="A1196" s="2" t="str">
        <f>IF(B1196&lt;&gt;"",IF(_xlfn.IFNA(VLOOKUP(B1196,OmsControlTable!T:T,1,0),"尚未處理")&lt;&gt;"尚未處理","已處理","尚未處理"),"")</f>
        <v/>
      </c>
      <c r="B1196" s="2"/>
      <c r="C1196" s="2"/>
      <c r="D1196" s="2"/>
      <c r="E1196" s="2"/>
    </row>
    <row r="1197" spans="1:5" x14ac:dyDescent="0.25">
      <c r="A1197" s="2" t="str">
        <f>IF(B1197&lt;&gt;"",IF(_xlfn.IFNA(VLOOKUP(B1197,OmsControlTable!T:T,1,0),"尚未處理")&lt;&gt;"尚未處理","已處理","尚未處理"),"")</f>
        <v/>
      </c>
      <c r="B1197" s="2"/>
      <c r="C1197" s="2"/>
      <c r="D1197" s="2"/>
      <c r="E1197" s="2"/>
    </row>
    <row r="1198" spans="1:5" x14ac:dyDescent="0.25">
      <c r="A1198" s="2" t="str">
        <f>IF(B1198&lt;&gt;"",IF(_xlfn.IFNA(VLOOKUP(B1198,OmsControlTable!T:T,1,0),"尚未處理")&lt;&gt;"尚未處理","已處理","尚未處理"),"")</f>
        <v/>
      </c>
      <c r="B1198" s="2"/>
      <c r="C1198" s="2"/>
      <c r="D1198" s="2"/>
      <c r="E1198" s="2"/>
    </row>
    <row r="1199" spans="1:5" x14ac:dyDescent="0.25">
      <c r="A1199" s="2" t="str">
        <f>IF(B1199&lt;&gt;"",IF(_xlfn.IFNA(VLOOKUP(B1199,OmsControlTable!T:T,1,0),"尚未處理")&lt;&gt;"尚未處理","已處理","尚未處理"),"")</f>
        <v/>
      </c>
      <c r="B1199" s="2"/>
      <c r="C1199" s="2"/>
      <c r="D1199" s="2"/>
      <c r="E1199" s="2"/>
    </row>
    <row r="1200" spans="1:5" x14ac:dyDescent="0.25">
      <c r="A1200" s="2" t="str">
        <f>IF(B1200&lt;&gt;"",IF(_xlfn.IFNA(VLOOKUP(B1200,OmsControlTable!T:T,1,0),"尚未處理")&lt;&gt;"尚未處理","已處理","尚未處理"),"")</f>
        <v/>
      </c>
      <c r="B1200" s="2"/>
      <c r="C1200" s="2"/>
      <c r="D1200" s="2"/>
      <c r="E1200" s="2"/>
    </row>
    <row r="1201" spans="1:5" x14ac:dyDescent="0.25">
      <c r="A1201" s="2" t="str">
        <f>IF(B1201&lt;&gt;"",IF(_xlfn.IFNA(VLOOKUP(B1201,OmsControlTable!T:T,1,0),"尚未處理")&lt;&gt;"尚未處理","已處理","尚未處理"),"")</f>
        <v/>
      </c>
      <c r="B1201" s="2"/>
      <c r="C1201" s="2"/>
      <c r="D1201" s="2"/>
      <c r="E1201" s="2"/>
    </row>
    <row r="1202" spans="1:5" x14ac:dyDescent="0.25">
      <c r="A1202" s="2" t="str">
        <f>IF(B1202&lt;&gt;"",IF(_xlfn.IFNA(VLOOKUP(B1202,OmsControlTable!T:T,1,0),"尚未處理")&lt;&gt;"尚未處理","已處理","尚未處理"),"")</f>
        <v/>
      </c>
      <c r="B1202" s="2"/>
      <c r="C1202" s="2"/>
      <c r="D1202" s="2"/>
      <c r="E1202" s="2"/>
    </row>
    <row r="1203" spans="1:5" x14ac:dyDescent="0.25">
      <c r="A1203" s="2" t="str">
        <f>IF(B1203&lt;&gt;"",IF(_xlfn.IFNA(VLOOKUP(B1203,OmsControlTable!T:T,1,0),"尚未處理")&lt;&gt;"尚未處理","已處理","尚未處理"),"")</f>
        <v/>
      </c>
      <c r="B1203" s="2"/>
      <c r="C1203" s="2"/>
      <c r="D1203" s="2"/>
      <c r="E1203" s="2"/>
    </row>
    <row r="1204" spans="1:5" x14ac:dyDescent="0.25">
      <c r="A1204" s="2" t="str">
        <f>IF(B1204&lt;&gt;"",IF(_xlfn.IFNA(VLOOKUP(B1204,OmsControlTable!T:T,1,0),"尚未處理")&lt;&gt;"尚未處理","已處理","尚未處理"),"")</f>
        <v/>
      </c>
      <c r="B1204" s="2"/>
      <c r="C1204" s="2"/>
      <c r="D1204" s="2"/>
      <c r="E1204" s="2"/>
    </row>
    <row r="1205" spans="1:5" x14ac:dyDescent="0.25">
      <c r="A1205" s="2" t="str">
        <f>IF(B1205&lt;&gt;"",IF(_xlfn.IFNA(VLOOKUP(B1205,OmsControlTable!T:T,1,0),"尚未處理")&lt;&gt;"尚未處理","已處理","尚未處理"),"")</f>
        <v/>
      </c>
      <c r="B1205" s="2"/>
      <c r="C1205" s="2"/>
      <c r="D1205" s="2"/>
      <c r="E1205" s="2"/>
    </row>
    <row r="1206" spans="1:5" x14ac:dyDescent="0.25">
      <c r="A1206" s="2" t="str">
        <f>IF(B1206&lt;&gt;"",IF(_xlfn.IFNA(VLOOKUP(B1206,OmsControlTable!T:T,1,0),"尚未處理")&lt;&gt;"尚未處理","已處理","尚未處理"),"")</f>
        <v/>
      </c>
      <c r="B1206" s="2"/>
      <c r="C1206" s="2"/>
      <c r="D1206" s="2"/>
      <c r="E1206" s="2"/>
    </row>
    <row r="1207" spans="1:5" x14ac:dyDescent="0.25">
      <c r="A1207" s="2" t="str">
        <f>IF(B1207&lt;&gt;"",IF(_xlfn.IFNA(VLOOKUP(B1207,OmsControlTable!T:T,1,0),"尚未處理")&lt;&gt;"尚未處理","已處理","尚未處理"),"")</f>
        <v/>
      </c>
      <c r="B1207" s="2"/>
      <c r="C1207" s="2"/>
      <c r="D1207" s="2"/>
      <c r="E1207" s="2"/>
    </row>
    <row r="1208" spans="1:5" x14ac:dyDescent="0.25">
      <c r="A1208" s="2" t="str">
        <f>IF(B1208&lt;&gt;"",IF(_xlfn.IFNA(VLOOKUP(B1208,OmsControlTable!T:T,1,0),"尚未處理")&lt;&gt;"尚未處理","已處理","尚未處理"),"")</f>
        <v/>
      </c>
      <c r="B1208" s="2"/>
      <c r="C1208" s="2"/>
      <c r="D1208" s="2"/>
      <c r="E1208" s="2"/>
    </row>
    <row r="1209" spans="1:5" x14ac:dyDescent="0.25">
      <c r="A1209" s="2" t="str">
        <f>IF(B1209&lt;&gt;"",IF(_xlfn.IFNA(VLOOKUP(B1209,OmsControlTable!T:T,1,0),"尚未處理")&lt;&gt;"尚未處理","已處理","尚未處理"),"")</f>
        <v/>
      </c>
      <c r="B1209" s="2"/>
      <c r="C1209" s="2"/>
      <c r="D1209" s="2"/>
      <c r="E1209" s="2"/>
    </row>
    <row r="1210" spans="1:5" x14ac:dyDescent="0.25">
      <c r="A1210" s="2" t="str">
        <f>IF(B1210&lt;&gt;"",IF(_xlfn.IFNA(VLOOKUP(B1210,OmsControlTable!T:T,1,0),"尚未處理")&lt;&gt;"尚未處理","已處理","尚未處理"),"")</f>
        <v/>
      </c>
      <c r="B1210" s="2"/>
      <c r="C1210" s="2"/>
      <c r="D1210" s="2"/>
      <c r="E1210" s="2"/>
    </row>
    <row r="1211" spans="1:5" x14ac:dyDescent="0.25">
      <c r="A1211" s="2" t="str">
        <f>IF(B1211&lt;&gt;"",IF(_xlfn.IFNA(VLOOKUP(B1211,OmsControlTable!T:T,1,0),"尚未處理")&lt;&gt;"尚未處理","已處理","尚未處理"),"")</f>
        <v/>
      </c>
      <c r="B1211" s="2"/>
      <c r="C1211" s="2"/>
      <c r="D1211" s="2"/>
      <c r="E1211" s="2"/>
    </row>
    <row r="1212" spans="1:5" x14ac:dyDescent="0.25">
      <c r="A1212" s="2" t="str">
        <f>IF(B1212&lt;&gt;"",IF(_xlfn.IFNA(VLOOKUP(B1212,OmsControlTable!T:T,1,0),"尚未處理")&lt;&gt;"尚未處理","已處理","尚未處理"),"")</f>
        <v/>
      </c>
      <c r="B1212" s="2"/>
      <c r="C1212" s="2"/>
      <c r="D1212" s="2"/>
      <c r="E1212" s="2"/>
    </row>
    <row r="1213" spans="1:5" x14ac:dyDescent="0.25">
      <c r="A1213" s="2" t="str">
        <f>IF(B1213&lt;&gt;"",IF(_xlfn.IFNA(VLOOKUP(B1213,OmsControlTable!T:T,1,0),"尚未處理")&lt;&gt;"尚未處理","已處理","尚未處理"),"")</f>
        <v/>
      </c>
      <c r="B1213" s="2"/>
      <c r="C1213" s="2"/>
      <c r="D1213" s="2"/>
      <c r="E1213" s="2"/>
    </row>
    <row r="1214" spans="1:5" x14ac:dyDescent="0.25">
      <c r="A1214" s="2" t="str">
        <f>IF(B1214&lt;&gt;"",IF(_xlfn.IFNA(VLOOKUP(B1214,OmsControlTable!T:T,1,0),"尚未處理")&lt;&gt;"尚未處理","已處理","尚未處理"),"")</f>
        <v/>
      </c>
      <c r="B1214" s="2"/>
      <c r="C1214" s="2"/>
      <c r="D1214" s="2"/>
      <c r="E1214" s="2"/>
    </row>
    <row r="1215" spans="1:5" x14ac:dyDescent="0.25">
      <c r="A1215" s="2" t="str">
        <f>IF(B1215&lt;&gt;"",IF(_xlfn.IFNA(VLOOKUP(B1215,OmsControlTable!T:T,1,0),"尚未處理")&lt;&gt;"尚未處理","已處理","尚未處理"),"")</f>
        <v/>
      </c>
      <c r="B1215" s="2"/>
      <c r="C1215" s="2"/>
      <c r="D1215" s="2"/>
      <c r="E1215" s="2"/>
    </row>
    <row r="1216" spans="1:5" x14ac:dyDescent="0.25">
      <c r="A1216" s="2" t="str">
        <f>IF(B1216&lt;&gt;"",IF(_xlfn.IFNA(VLOOKUP(B1216,OmsControlTable!T:T,1,0),"尚未處理")&lt;&gt;"尚未處理","已處理","尚未處理"),"")</f>
        <v/>
      </c>
      <c r="B1216" s="2"/>
      <c r="C1216" s="2"/>
      <c r="D1216" s="2"/>
      <c r="E1216" s="2"/>
    </row>
    <row r="1217" spans="1:5" x14ac:dyDescent="0.25">
      <c r="A1217" s="2" t="str">
        <f>IF(B1217&lt;&gt;"",IF(_xlfn.IFNA(VLOOKUP(B1217,OmsControlTable!T:T,1,0),"尚未處理")&lt;&gt;"尚未處理","已處理","尚未處理"),"")</f>
        <v/>
      </c>
      <c r="B1217" s="2"/>
      <c r="C1217" s="2"/>
      <c r="D1217" s="2"/>
      <c r="E1217" s="2"/>
    </row>
    <row r="1218" spans="1:5" x14ac:dyDescent="0.25">
      <c r="A1218" s="2" t="str">
        <f>IF(B1218&lt;&gt;"",IF(_xlfn.IFNA(VLOOKUP(B1218,OmsControlTable!T:T,1,0),"尚未處理")&lt;&gt;"尚未處理","已處理","尚未處理"),"")</f>
        <v/>
      </c>
      <c r="B1218" s="2"/>
      <c r="C1218" s="2"/>
      <c r="D1218" s="2"/>
      <c r="E1218" s="2"/>
    </row>
    <row r="1219" spans="1:5" x14ac:dyDescent="0.25">
      <c r="A1219" s="2" t="str">
        <f>IF(B1219&lt;&gt;"",IF(_xlfn.IFNA(VLOOKUP(B1219,OmsControlTable!T:T,1,0),"尚未處理")&lt;&gt;"尚未處理","已處理","尚未處理"),"")</f>
        <v/>
      </c>
      <c r="B1219" s="2"/>
      <c r="C1219" s="2"/>
      <c r="D1219" s="2"/>
      <c r="E1219" s="2"/>
    </row>
    <row r="1220" spans="1:5" x14ac:dyDescent="0.25">
      <c r="A1220" s="2" t="str">
        <f>IF(B1220&lt;&gt;"",IF(_xlfn.IFNA(VLOOKUP(B1220,OmsControlTable!T:T,1,0),"尚未處理")&lt;&gt;"尚未處理","已處理","尚未處理"),"")</f>
        <v/>
      </c>
      <c r="B1220" s="2"/>
      <c r="C1220" s="2"/>
      <c r="D1220" s="2"/>
      <c r="E1220" s="2"/>
    </row>
    <row r="1221" spans="1:5" x14ac:dyDescent="0.25">
      <c r="A1221" s="2" t="str">
        <f>IF(B1221&lt;&gt;"",IF(_xlfn.IFNA(VLOOKUP(B1221,OmsControlTable!T:T,1,0),"尚未處理")&lt;&gt;"尚未處理","已處理","尚未處理"),"")</f>
        <v/>
      </c>
      <c r="B1221" s="2"/>
      <c r="C1221" s="2"/>
      <c r="D1221" s="2"/>
      <c r="E1221" s="2"/>
    </row>
    <row r="1222" spans="1:5" x14ac:dyDescent="0.25">
      <c r="A1222" s="2" t="str">
        <f>IF(B1222&lt;&gt;"",IF(_xlfn.IFNA(VLOOKUP(B1222,OmsControlTable!T:T,1,0),"尚未處理")&lt;&gt;"尚未處理","已處理","尚未處理"),"")</f>
        <v/>
      </c>
      <c r="B1222" s="2"/>
      <c r="C1222" s="2"/>
      <c r="D1222" s="2"/>
      <c r="E1222" s="2"/>
    </row>
    <row r="1223" spans="1:5" x14ac:dyDescent="0.25">
      <c r="A1223" s="2" t="str">
        <f>IF(B1223&lt;&gt;"",IF(_xlfn.IFNA(VLOOKUP(B1223,OmsControlTable!T:T,1,0),"尚未處理")&lt;&gt;"尚未處理","已處理","尚未處理"),"")</f>
        <v/>
      </c>
      <c r="B1223" s="2"/>
      <c r="C1223" s="2"/>
      <c r="D1223" s="2"/>
      <c r="E1223" s="2"/>
    </row>
    <row r="1224" spans="1:5" x14ac:dyDescent="0.25">
      <c r="A1224" s="2" t="str">
        <f>IF(B1224&lt;&gt;"",IF(_xlfn.IFNA(VLOOKUP(B1224,OmsControlTable!T:T,1,0),"尚未處理")&lt;&gt;"尚未處理","已處理","尚未處理"),"")</f>
        <v/>
      </c>
      <c r="B1224" s="2"/>
      <c r="C1224" s="2"/>
      <c r="D1224" s="2"/>
      <c r="E1224" s="2"/>
    </row>
    <row r="1225" spans="1:5" x14ac:dyDescent="0.25">
      <c r="A1225" s="2" t="str">
        <f>IF(B1225&lt;&gt;"",IF(_xlfn.IFNA(VLOOKUP(B1225,OmsControlTable!T:T,1,0),"尚未處理")&lt;&gt;"尚未處理","已處理","尚未處理"),"")</f>
        <v/>
      </c>
      <c r="B1225" s="2"/>
      <c r="C1225" s="2"/>
      <c r="D1225" s="2"/>
      <c r="E1225" s="2"/>
    </row>
    <row r="1226" spans="1:5" x14ac:dyDescent="0.25">
      <c r="A1226" s="2" t="str">
        <f>IF(B1226&lt;&gt;"",IF(_xlfn.IFNA(VLOOKUP(B1226,OmsControlTable!T:T,1,0),"尚未處理")&lt;&gt;"尚未處理","已處理","尚未處理"),"")</f>
        <v/>
      </c>
      <c r="B1226" s="2"/>
      <c r="C1226" s="2"/>
      <c r="D1226" s="2"/>
      <c r="E1226" s="2"/>
    </row>
    <row r="1227" spans="1:5" x14ac:dyDescent="0.25">
      <c r="A1227" s="2" t="str">
        <f>IF(B1227&lt;&gt;"",IF(_xlfn.IFNA(VLOOKUP(B1227,OmsControlTable!T:T,1,0),"尚未處理")&lt;&gt;"尚未處理","已處理","尚未處理"),"")</f>
        <v/>
      </c>
      <c r="B1227" s="2"/>
      <c r="C1227" s="2"/>
      <c r="D1227" s="2"/>
      <c r="E1227" s="2"/>
    </row>
    <row r="1228" spans="1:5" x14ac:dyDescent="0.25">
      <c r="A1228" s="2" t="str">
        <f>IF(B1228&lt;&gt;"",IF(_xlfn.IFNA(VLOOKUP(B1228,OmsControlTable!T:T,1,0),"尚未處理")&lt;&gt;"尚未處理","已處理","尚未處理"),"")</f>
        <v/>
      </c>
      <c r="B1228" s="2"/>
      <c r="C1228" s="2"/>
      <c r="D1228" s="2"/>
      <c r="E1228" s="2"/>
    </row>
    <row r="1229" spans="1:5" x14ac:dyDescent="0.25">
      <c r="A1229" s="2" t="str">
        <f>IF(B1229&lt;&gt;"",IF(_xlfn.IFNA(VLOOKUP(B1229,OmsControlTable!T:T,1,0),"尚未處理")&lt;&gt;"尚未處理","已處理","尚未處理"),"")</f>
        <v/>
      </c>
      <c r="B1229" s="2"/>
      <c r="C1229" s="2"/>
      <c r="D1229" s="2"/>
      <c r="E1229" s="2"/>
    </row>
    <row r="1230" spans="1:5" x14ac:dyDescent="0.25">
      <c r="A1230" s="2" t="str">
        <f>IF(B1230&lt;&gt;"",IF(_xlfn.IFNA(VLOOKUP(B1230,OmsControlTable!T:T,1,0),"尚未處理")&lt;&gt;"尚未處理","已處理","尚未處理"),"")</f>
        <v/>
      </c>
      <c r="B1230" s="2"/>
      <c r="C1230" s="2"/>
      <c r="D1230" s="2"/>
      <c r="E1230" s="2"/>
    </row>
    <row r="1231" spans="1:5" x14ac:dyDescent="0.25">
      <c r="A1231" s="2" t="str">
        <f>IF(B1231&lt;&gt;"",IF(_xlfn.IFNA(VLOOKUP(B1231,OmsControlTable!T:T,1,0),"尚未處理")&lt;&gt;"尚未處理","已處理","尚未處理"),"")</f>
        <v/>
      </c>
      <c r="B1231" s="2"/>
      <c r="C1231" s="2"/>
      <c r="D1231" s="2"/>
      <c r="E1231" s="2"/>
    </row>
    <row r="1232" spans="1:5" x14ac:dyDescent="0.25">
      <c r="A1232" s="2" t="str">
        <f>IF(B1232&lt;&gt;"",IF(_xlfn.IFNA(VLOOKUP(B1232,OmsControlTable!T:T,1,0),"尚未處理")&lt;&gt;"尚未處理","已處理","尚未處理"),"")</f>
        <v/>
      </c>
      <c r="B1232" s="2"/>
      <c r="C1232" s="2"/>
      <c r="D1232" s="2"/>
      <c r="E1232" s="2"/>
    </row>
    <row r="1233" spans="1:5" x14ac:dyDescent="0.25">
      <c r="A1233" s="2" t="str">
        <f>IF(B1233&lt;&gt;"",IF(_xlfn.IFNA(VLOOKUP(B1233,OmsControlTable!T:T,1,0),"尚未處理")&lt;&gt;"尚未處理","已處理","尚未處理"),"")</f>
        <v/>
      </c>
      <c r="B1233" s="2"/>
      <c r="C1233" s="2"/>
      <c r="D1233" s="2"/>
      <c r="E1233" s="2"/>
    </row>
    <row r="1234" spans="1:5" x14ac:dyDescent="0.25">
      <c r="A1234" s="2" t="str">
        <f>IF(B1234&lt;&gt;"",IF(_xlfn.IFNA(VLOOKUP(B1234,OmsControlTable!T:T,1,0),"尚未處理")&lt;&gt;"尚未處理","已處理","尚未處理"),"")</f>
        <v/>
      </c>
      <c r="B1234" s="2"/>
      <c r="C1234" s="2"/>
      <c r="D1234" s="2"/>
      <c r="E1234" s="2"/>
    </row>
    <row r="1235" spans="1:5" x14ac:dyDescent="0.25">
      <c r="A1235" s="2" t="str">
        <f>IF(B1235&lt;&gt;"",IF(_xlfn.IFNA(VLOOKUP(B1235,OmsControlTable!T:T,1,0),"尚未處理")&lt;&gt;"尚未處理","已處理","尚未處理"),"")</f>
        <v/>
      </c>
      <c r="B1235" s="2"/>
      <c r="C1235" s="2"/>
      <c r="D1235" s="2"/>
      <c r="E1235" s="2"/>
    </row>
    <row r="1236" spans="1:5" x14ac:dyDescent="0.25">
      <c r="A1236" s="2" t="str">
        <f>IF(B1236&lt;&gt;"",IF(_xlfn.IFNA(VLOOKUP(B1236,OmsControlTable!T:T,1,0),"尚未處理")&lt;&gt;"尚未處理","已處理","尚未處理"),"")</f>
        <v/>
      </c>
      <c r="B1236" s="2"/>
      <c r="C1236" s="2"/>
      <c r="D1236" s="2"/>
      <c r="E1236" s="2"/>
    </row>
    <row r="1237" spans="1:5" x14ac:dyDescent="0.25">
      <c r="A1237" s="2" t="str">
        <f>IF(B1237&lt;&gt;"",IF(_xlfn.IFNA(VLOOKUP(B1237,OmsControlTable!T:T,1,0),"尚未處理")&lt;&gt;"尚未處理","已處理","尚未處理"),"")</f>
        <v/>
      </c>
      <c r="B1237" s="2"/>
      <c r="C1237" s="2"/>
      <c r="D1237" s="2"/>
      <c r="E1237" s="2"/>
    </row>
    <row r="1238" spans="1:5" x14ac:dyDescent="0.25">
      <c r="A1238" s="2" t="str">
        <f>IF(B1238&lt;&gt;"",IF(_xlfn.IFNA(VLOOKUP(B1238,OmsControlTable!T:T,1,0),"尚未處理")&lt;&gt;"尚未處理","已處理","尚未處理"),"")</f>
        <v/>
      </c>
      <c r="B1238" s="2"/>
      <c r="C1238" s="2"/>
      <c r="D1238" s="2"/>
      <c r="E1238" s="2"/>
    </row>
    <row r="1239" spans="1:5" x14ac:dyDescent="0.25">
      <c r="A1239" s="2" t="str">
        <f>IF(B1239&lt;&gt;"",IF(_xlfn.IFNA(VLOOKUP(B1239,OmsControlTable!T:T,1,0),"尚未處理")&lt;&gt;"尚未處理","已處理","尚未處理"),"")</f>
        <v/>
      </c>
      <c r="B1239" s="2"/>
      <c r="C1239" s="2"/>
      <c r="D1239" s="2"/>
      <c r="E1239" s="2"/>
    </row>
    <row r="1240" spans="1:5" x14ac:dyDescent="0.25">
      <c r="A1240" s="2" t="str">
        <f>IF(B1240&lt;&gt;"",IF(_xlfn.IFNA(VLOOKUP(B1240,OmsControlTable!T:T,1,0),"尚未處理")&lt;&gt;"尚未處理","已處理","尚未處理"),"")</f>
        <v/>
      </c>
      <c r="B1240" s="2"/>
      <c r="C1240" s="2"/>
      <c r="D1240" s="2"/>
      <c r="E1240" s="2"/>
    </row>
    <row r="1241" spans="1:5" x14ac:dyDescent="0.25">
      <c r="A1241" s="2" t="str">
        <f>IF(B1241&lt;&gt;"",IF(_xlfn.IFNA(VLOOKUP(B1241,OmsControlTable!T:T,1,0),"尚未處理")&lt;&gt;"尚未處理","已處理","尚未處理"),"")</f>
        <v/>
      </c>
      <c r="B1241" s="2"/>
      <c r="C1241" s="2"/>
      <c r="D1241" s="2"/>
      <c r="E1241" s="2"/>
    </row>
    <row r="1242" spans="1:5" x14ac:dyDescent="0.25">
      <c r="A1242" s="2" t="str">
        <f>IF(B1242&lt;&gt;"",IF(_xlfn.IFNA(VLOOKUP(B1242,OmsControlTable!T:T,1,0),"尚未處理")&lt;&gt;"尚未處理","已處理","尚未處理"),"")</f>
        <v/>
      </c>
      <c r="B1242" s="2"/>
      <c r="C1242" s="2"/>
      <c r="D1242" s="2"/>
      <c r="E1242" s="2"/>
    </row>
    <row r="1243" spans="1:5" x14ac:dyDescent="0.25">
      <c r="A1243" s="2" t="str">
        <f>IF(B1243&lt;&gt;"",IF(_xlfn.IFNA(VLOOKUP(B1243,OmsControlTable!T:T,1,0),"尚未處理")&lt;&gt;"尚未處理","已處理","尚未處理"),"")</f>
        <v/>
      </c>
      <c r="B1243" s="2"/>
      <c r="C1243" s="2"/>
      <c r="D1243" s="2"/>
      <c r="E1243" s="2"/>
    </row>
    <row r="1244" spans="1:5" x14ac:dyDescent="0.25">
      <c r="A1244" s="2" t="str">
        <f>IF(B1244&lt;&gt;"",IF(_xlfn.IFNA(VLOOKUP(B1244,OmsControlTable!T:T,1,0),"尚未處理")&lt;&gt;"尚未處理","已處理","尚未處理"),"")</f>
        <v/>
      </c>
      <c r="B1244" s="2"/>
      <c r="C1244" s="2"/>
      <c r="D1244" s="2"/>
      <c r="E1244" s="2"/>
    </row>
    <row r="1245" spans="1:5" x14ac:dyDescent="0.25">
      <c r="A1245" s="2" t="str">
        <f>IF(B1245&lt;&gt;"",IF(_xlfn.IFNA(VLOOKUP(B1245,OmsControlTable!T:T,1,0),"尚未處理")&lt;&gt;"尚未處理","已處理","尚未處理"),"")</f>
        <v/>
      </c>
      <c r="B1245" s="2"/>
      <c r="C1245" s="2"/>
      <c r="D1245" s="2"/>
      <c r="E1245" s="2"/>
    </row>
    <row r="1246" spans="1:5" x14ac:dyDescent="0.25">
      <c r="A1246" s="2" t="str">
        <f>IF(B1246&lt;&gt;"",IF(_xlfn.IFNA(VLOOKUP(B1246,OmsControlTable!T:T,1,0),"尚未處理")&lt;&gt;"尚未處理","已處理","尚未處理"),"")</f>
        <v/>
      </c>
      <c r="B1246" s="2"/>
      <c r="C1246" s="2"/>
      <c r="D1246" s="2"/>
      <c r="E1246" s="2"/>
    </row>
    <row r="1247" spans="1:5" x14ac:dyDescent="0.25">
      <c r="A1247" s="2" t="str">
        <f>IF(B1247&lt;&gt;"",IF(_xlfn.IFNA(VLOOKUP(B1247,OmsControlTable!T:T,1,0),"尚未處理")&lt;&gt;"尚未處理","已處理","尚未處理"),"")</f>
        <v/>
      </c>
      <c r="B1247" s="2"/>
      <c r="C1247" s="2"/>
      <c r="D1247" s="2"/>
      <c r="E1247" s="2"/>
    </row>
    <row r="1248" spans="1:5" x14ac:dyDescent="0.25">
      <c r="A1248" s="2" t="str">
        <f>IF(B1248&lt;&gt;"",IF(_xlfn.IFNA(VLOOKUP(B1248,OmsControlTable!T:T,1,0),"尚未處理")&lt;&gt;"尚未處理","已處理","尚未處理"),"")</f>
        <v/>
      </c>
      <c r="B1248" s="2"/>
      <c r="C1248" s="2"/>
      <c r="D1248" s="2"/>
      <c r="E1248" s="2"/>
    </row>
    <row r="1249" spans="1:5" x14ac:dyDescent="0.25">
      <c r="A1249" s="2" t="str">
        <f>IF(B1249&lt;&gt;"",IF(_xlfn.IFNA(VLOOKUP(B1249,OmsControlTable!T:T,1,0),"尚未處理")&lt;&gt;"尚未處理","已處理","尚未處理"),"")</f>
        <v/>
      </c>
      <c r="B1249" s="2"/>
      <c r="C1249" s="2"/>
      <c r="D1249" s="2"/>
      <c r="E1249" s="2"/>
    </row>
    <row r="1250" spans="1:5" x14ac:dyDescent="0.25">
      <c r="A1250" s="2" t="str">
        <f>IF(B1250&lt;&gt;"",IF(_xlfn.IFNA(VLOOKUP(B1250,OmsControlTable!T:T,1,0),"尚未處理")&lt;&gt;"尚未處理","已處理","尚未處理"),"")</f>
        <v/>
      </c>
      <c r="B1250" s="2"/>
      <c r="C1250" s="2"/>
      <c r="D1250" s="2"/>
      <c r="E1250" s="2"/>
    </row>
    <row r="1251" spans="1:5" x14ac:dyDescent="0.25">
      <c r="A1251" s="2" t="str">
        <f>IF(B1251&lt;&gt;"",IF(_xlfn.IFNA(VLOOKUP(B1251,OmsControlTable!T:T,1,0),"尚未處理")&lt;&gt;"尚未處理","已處理","尚未處理"),"")</f>
        <v/>
      </c>
      <c r="B1251" s="2"/>
      <c r="C1251" s="2"/>
      <c r="D1251" s="2"/>
      <c r="E1251" s="2"/>
    </row>
    <row r="1252" spans="1:5" x14ac:dyDescent="0.25">
      <c r="A1252" s="2" t="str">
        <f>IF(B1252&lt;&gt;"",IF(_xlfn.IFNA(VLOOKUP(B1252,OmsControlTable!T:T,1,0),"尚未處理")&lt;&gt;"尚未處理","已處理","尚未處理"),"")</f>
        <v/>
      </c>
      <c r="B1252" s="2"/>
      <c r="C1252" s="2"/>
      <c r="D1252" s="2"/>
      <c r="E1252" s="2"/>
    </row>
    <row r="1253" spans="1:5" x14ac:dyDescent="0.25">
      <c r="A1253" s="2" t="str">
        <f>IF(B1253&lt;&gt;"",IF(_xlfn.IFNA(VLOOKUP(B1253,OmsControlTable!T:T,1,0),"尚未處理")&lt;&gt;"尚未處理","已處理","尚未處理"),"")</f>
        <v/>
      </c>
      <c r="B1253" s="2"/>
      <c r="C1253" s="2"/>
      <c r="D1253" s="2"/>
      <c r="E1253" s="2"/>
    </row>
    <row r="1254" spans="1:5" x14ac:dyDescent="0.25">
      <c r="A1254" s="2" t="str">
        <f>IF(B1254&lt;&gt;"",IF(_xlfn.IFNA(VLOOKUP(B1254,OmsControlTable!T:T,1,0),"尚未處理")&lt;&gt;"尚未處理","已處理","尚未處理"),"")</f>
        <v/>
      </c>
      <c r="B1254" s="2"/>
      <c r="C1254" s="2"/>
      <c r="D1254" s="2"/>
      <c r="E1254" s="2"/>
    </row>
    <row r="1255" spans="1:5" x14ac:dyDescent="0.25">
      <c r="A1255" s="2" t="str">
        <f>IF(B1255&lt;&gt;"",IF(_xlfn.IFNA(VLOOKUP(B1255,OmsControlTable!T:T,1,0),"尚未處理")&lt;&gt;"尚未處理","已處理","尚未處理"),"")</f>
        <v/>
      </c>
      <c r="B1255" s="2"/>
      <c r="C1255" s="2"/>
      <c r="D1255" s="2"/>
      <c r="E1255" s="2"/>
    </row>
    <row r="1256" spans="1:5" x14ac:dyDescent="0.25">
      <c r="A1256" s="2" t="str">
        <f>IF(B1256&lt;&gt;"",IF(_xlfn.IFNA(VLOOKUP(B1256,OmsControlTable!T:T,1,0),"尚未處理")&lt;&gt;"尚未處理","已處理","尚未處理"),"")</f>
        <v/>
      </c>
      <c r="B1256" s="2"/>
      <c r="C1256" s="2"/>
      <c r="D1256" s="2"/>
      <c r="E1256" s="2"/>
    </row>
    <row r="1257" spans="1:5" x14ac:dyDescent="0.25">
      <c r="A1257" s="2" t="str">
        <f>IF(B1257&lt;&gt;"",IF(_xlfn.IFNA(VLOOKUP(B1257,OmsControlTable!T:T,1,0),"尚未處理")&lt;&gt;"尚未處理","已處理","尚未處理"),"")</f>
        <v/>
      </c>
      <c r="B1257" s="2"/>
      <c r="C1257" s="2"/>
      <c r="D1257" s="2"/>
      <c r="E1257" s="2"/>
    </row>
    <row r="1258" spans="1:5" x14ac:dyDescent="0.25">
      <c r="A1258" s="2" t="str">
        <f>IF(B1258&lt;&gt;"",IF(_xlfn.IFNA(VLOOKUP(B1258,OmsControlTable!T:T,1,0),"尚未處理")&lt;&gt;"尚未處理","已處理","尚未處理"),"")</f>
        <v/>
      </c>
      <c r="B1258" s="2"/>
      <c r="C1258" s="2"/>
      <c r="D1258" s="2"/>
      <c r="E1258" s="2"/>
    </row>
    <row r="1259" spans="1:5" x14ac:dyDescent="0.25">
      <c r="A1259" s="2" t="str">
        <f>IF(B1259&lt;&gt;"",IF(_xlfn.IFNA(VLOOKUP(B1259,OmsControlTable!T:T,1,0),"尚未處理")&lt;&gt;"尚未處理","已處理","尚未處理"),"")</f>
        <v/>
      </c>
      <c r="B1259" s="2"/>
      <c r="C1259" s="2"/>
      <c r="D1259" s="2"/>
      <c r="E1259" s="2"/>
    </row>
    <row r="1260" spans="1:5" x14ac:dyDescent="0.25">
      <c r="A1260" s="2" t="str">
        <f>IF(B1260&lt;&gt;"",IF(_xlfn.IFNA(VLOOKUP(B1260,OmsControlTable!T:T,1,0),"尚未處理")&lt;&gt;"尚未處理","已處理","尚未處理"),"")</f>
        <v/>
      </c>
      <c r="B1260" s="2"/>
      <c r="C1260" s="2"/>
      <c r="D1260" s="2"/>
      <c r="E1260" s="2"/>
    </row>
    <row r="1261" spans="1:5" x14ac:dyDescent="0.25">
      <c r="A1261" s="2" t="str">
        <f>IF(B1261&lt;&gt;"",IF(_xlfn.IFNA(VLOOKUP(B1261,OmsControlTable!T:T,1,0),"尚未處理")&lt;&gt;"尚未處理","已處理","尚未處理"),"")</f>
        <v/>
      </c>
      <c r="B1261" s="2"/>
      <c r="C1261" s="2"/>
      <c r="D1261" s="2"/>
      <c r="E1261" s="2"/>
    </row>
    <row r="1262" spans="1:5" x14ac:dyDescent="0.25">
      <c r="A1262" s="2" t="str">
        <f>IF(B1262&lt;&gt;"",IF(_xlfn.IFNA(VLOOKUP(B1262,OmsControlTable!T:T,1,0),"尚未處理")&lt;&gt;"尚未處理","已處理","尚未處理"),"")</f>
        <v/>
      </c>
      <c r="B1262" s="2"/>
      <c r="C1262" s="2"/>
      <c r="D1262" s="2"/>
      <c r="E1262" s="2"/>
    </row>
    <row r="1263" spans="1:5" x14ac:dyDescent="0.25">
      <c r="A1263" s="2" t="str">
        <f>IF(B1263&lt;&gt;"",IF(_xlfn.IFNA(VLOOKUP(B1263,OmsControlTable!T:T,1,0),"尚未處理")&lt;&gt;"尚未處理","已處理","尚未處理"),"")</f>
        <v/>
      </c>
      <c r="B1263" s="2"/>
      <c r="C1263" s="2"/>
      <c r="D1263" s="2"/>
      <c r="E1263" s="2"/>
    </row>
    <row r="1264" spans="1:5" x14ac:dyDescent="0.25">
      <c r="A1264" s="2" t="str">
        <f>IF(B1264&lt;&gt;"",IF(_xlfn.IFNA(VLOOKUP(B1264,OmsControlTable!T:T,1,0),"尚未處理")&lt;&gt;"尚未處理","已處理","尚未處理"),"")</f>
        <v/>
      </c>
      <c r="B1264" s="2"/>
      <c r="C1264" s="2"/>
      <c r="D1264" s="2"/>
      <c r="E1264" s="2"/>
    </row>
    <row r="1265" spans="1:5" x14ac:dyDescent="0.25">
      <c r="A1265" s="2" t="str">
        <f>IF(B1265&lt;&gt;"",IF(_xlfn.IFNA(VLOOKUP(B1265,OmsControlTable!T:T,1,0),"尚未處理")&lt;&gt;"尚未處理","已處理","尚未處理"),"")</f>
        <v/>
      </c>
      <c r="B1265" s="2"/>
      <c r="C1265" s="2"/>
      <c r="D1265" s="2"/>
      <c r="E1265" s="2"/>
    </row>
    <row r="1266" spans="1:5" x14ac:dyDescent="0.25">
      <c r="A1266" s="2" t="str">
        <f>IF(B1266&lt;&gt;"",IF(_xlfn.IFNA(VLOOKUP(B1266,OmsControlTable!T:T,1,0),"尚未處理")&lt;&gt;"尚未處理","已處理","尚未處理"),"")</f>
        <v/>
      </c>
      <c r="B1266" s="2"/>
      <c r="C1266" s="2"/>
      <c r="D1266" s="2"/>
      <c r="E1266" s="2"/>
    </row>
    <row r="1267" spans="1:5" x14ac:dyDescent="0.25">
      <c r="A1267" s="2" t="str">
        <f>IF(B1267&lt;&gt;"",IF(_xlfn.IFNA(VLOOKUP(B1267,OmsControlTable!T:T,1,0),"尚未處理")&lt;&gt;"尚未處理","已處理","尚未處理"),"")</f>
        <v/>
      </c>
      <c r="B1267" s="2"/>
      <c r="C1267" s="2"/>
      <c r="D1267" s="2"/>
      <c r="E1267" s="2"/>
    </row>
    <row r="1268" spans="1:5" x14ac:dyDescent="0.25">
      <c r="A1268" s="2" t="str">
        <f>IF(B1268&lt;&gt;"",IF(_xlfn.IFNA(VLOOKUP(B1268,OmsControlTable!T:T,1,0),"尚未處理")&lt;&gt;"尚未處理","已處理","尚未處理"),"")</f>
        <v/>
      </c>
      <c r="B1268" s="2"/>
      <c r="C1268" s="2"/>
      <c r="D1268" s="2"/>
      <c r="E1268" s="2"/>
    </row>
    <row r="1269" spans="1:5" x14ac:dyDescent="0.25">
      <c r="A1269" s="2" t="str">
        <f>IF(B1269&lt;&gt;"",IF(_xlfn.IFNA(VLOOKUP(B1269,OmsControlTable!T:T,1,0),"尚未處理")&lt;&gt;"尚未處理","已處理","尚未處理"),"")</f>
        <v/>
      </c>
      <c r="B1269" s="2"/>
      <c r="C1269" s="2"/>
      <c r="D1269" s="2"/>
      <c r="E1269" s="2"/>
    </row>
    <row r="1270" spans="1:5" x14ac:dyDescent="0.25">
      <c r="A1270" s="2" t="str">
        <f>IF(B1270&lt;&gt;"",IF(_xlfn.IFNA(VLOOKUP(B1270,OmsControlTable!T:T,1,0),"尚未處理")&lt;&gt;"尚未處理","已處理","尚未處理"),"")</f>
        <v/>
      </c>
      <c r="B1270" s="2"/>
      <c r="C1270" s="2"/>
      <c r="D1270" s="2"/>
      <c r="E1270" s="2"/>
    </row>
    <row r="1271" spans="1:5" x14ac:dyDescent="0.25">
      <c r="A1271" s="2" t="str">
        <f>IF(B1271&lt;&gt;"",IF(_xlfn.IFNA(VLOOKUP(B1271,OmsControlTable!T:T,1,0),"尚未處理")&lt;&gt;"尚未處理","已處理","尚未處理"),"")</f>
        <v/>
      </c>
      <c r="B1271" s="2"/>
      <c r="C1271" s="2"/>
      <c r="D1271" s="2"/>
      <c r="E1271" s="2"/>
    </row>
    <row r="1272" spans="1:5" x14ac:dyDescent="0.25">
      <c r="A1272" s="2" t="str">
        <f>IF(B1272&lt;&gt;"",IF(_xlfn.IFNA(VLOOKUP(B1272,OmsControlTable!T:T,1,0),"尚未處理")&lt;&gt;"尚未處理","已處理","尚未處理"),"")</f>
        <v/>
      </c>
      <c r="B1272" s="2"/>
      <c r="C1272" s="2"/>
      <c r="D1272" s="2"/>
      <c r="E1272" s="2"/>
    </row>
    <row r="1273" spans="1:5" x14ac:dyDescent="0.25">
      <c r="A1273" s="2" t="str">
        <f>IF(B1273&lt;&gt;"",IF(_xlfn.IFNA(VLOOKUP(B1273,OmsControlTable!T:T,1,0),"尚未處理")&lt;&gt;"尚未處理","已處理","尚未處理"),"")</f>
        <v/>
      </c>
      <c r="B1273" s="2"/>
      <c r="C1273" s="2"/>
      <c r="D1273" s="2"/>
      <c r="E1273" s="2"/>
    </row>
    <row r="1274" spans="1:5" x14ac:dyDescent="0.25">
      <c r="A1274" s="2" t="str">
        <f>IF(B1274&lt;&gt;"",IF(_xlfn.IFNA(VLOOKUP(B1274,OmsControlTable!T:T,1,0),"尚未處理")&lt;&gt;"尚未處理","已處理","尚未處理"),"")</f>
        <v/>
      </c>
      <c r="B1274" s="2"/>
      <c r="C1274" s="2"/>
      <c r="D1274" s="2"/>
      <c r="E1274" s="2"/>
    </row>
    <row r="1275" spans="1:5" x14ac:dyDescent="0.25">
      <c r="A1275" s="2" t="str">
        <f>IF(B1275&lt;&gt;"",IF(_xlfn.IFNA(VLOOKUP(B1275,OmsControlTable!T:T,1,0),"尚未處理")&lt;&gt;"尚未處理","已處理","尚未處理"),"")</f>
        <v/>
      </c>
      <c r="B1275" s="2"/>
      <c r="C1275" s="2"/>
      <c r="D1275" s="2"/>
      <c r="E1275" s="2"/>
    </row>
    <row r="1276" spans="1:5" x14ac:dyDescent="0.25">
      <c r="A1276" s="2" t="str">
        <f>IF(B1276&lt;&gt;"",IF(_xlfn.IFNA(VLOOKUP(B1276,OmsControlTable!T:T,1,0),"尚未處理")&lt;&gt;"尚未處理","已處理","尚未處理"),"")</f>
        <v/>
      </c>
      <c r="B1276" s="2"/>
      <c r="C1276" s="2"/>
      <c r="D1276" s="2"/>
      <c r="E1276" s="2"/>
    </row>
    <row r="1277" spans="1:5" x14ac:dyDescent="0.25">
      <c r="A1277" s="2" t="str">
        <f>IF(B1277&lt;&gt;"",IF(_xlfn.IFNA(VLOOKUP(B1277,OmsControlTable!T:T,1,0),"尚未處理")&lt;&gt;"尚未處理","已處理","尚未處理"),"")</f>
        <v/>
      </c>
      <c r="B1277" s="2"/>
      <c r="C1277" s="2"/>
      <c r="D1277" s="2"/>
      <c r="E1277" s="2"/>
    </row>
    <row r="1278" spans="1:5" x14ac:dyDescent="0.25">
      <c r="A1278" s="2" t="str">
        <f>IF(B1278&lt;&gt;"",IF(_xlfn.IFNA(VLOOKUP(B1278,OmsControlTable!T:T,1,0),"尚未處理")&lt;&gt;"尚未處理","已處理","尚未處理"),"")</f>
        <v/>
      </c>
      <c r="B1278" s="2"/>
      <c r="C1278" s="2"/>
      <c r="D1278" s="2"/>
      <c r="E1278" s="2"/>
    </row>
    <row r="1279" spans="1:5" x14ac:dyDescent="0.25">
      <c r="A1279" s="2" t="str">
        <f>IF(B1279&lt;&gt;"",IF(_xlfn.IFNA(VLOOKUP(B1279,OmsControlTable!T:T,1,0),"尚未處理")&lt;&gt;"尚未處理","已處理","尚未處理"),"")</f>
        <v/>
      </c>
      <c r="B1279" s="2"/>
      <c r="C1279" s="2"/>
      <c r="D1279" s="2"/>
      <c r="E1279" s="2"/>
    </row>
    <row r="1280" spans="1:5" x14ac:dyDescent="0.25">
      <c r="A1280" s="2" t="str">
        <f>IF(B1280&lt;&gt;"",IF(_xlfn.IFNA(VLOOKUP(B1280,OmsControlTable!T:T,1,0),"尚未處理")&lt;&gt;"尚未處理","已處理","尚未處理"),"")</f>
        <v/>
      </c>
      <c r="B1280" s="2"/>
      <c r="C1280" s="2"/>
      <c r="D1280" s="2"/>
      <c r="E1280" s="2"/>
    </row>
    <row r="1281" spans="1:5" x14ac:dyDescent="0.25">
      <c r="A1281" s="2" t="str">
        <f>IF(B1281&lt;&gt;"",IF(_xlfn.IFNA(VLOOKUP(B1281,OmsControlTable!T:T,1,0),"尚未處理")&lt;&gt;"尚未處理","已處理","尚未處理"),"")</f>
        <v/>
      </c>
      <c r="B1281" s="2"/>
      <c r="C1281" s="2"/>
      <c r="D1281" s="2"/>
      <c r="E1281" s="2"/>
    </row>
    <row r="1282" spans="1:5" x14ac:dyDescent="0.25">
      <c r="A1282" s="2" t="str">
        <f>IF(B1282&lt;&gt;"",IF(_xlfn.IFNA(VLOOKUP(B1282,OmsControlTable!T:T,1,0),"尚未處理")&lt;&gt;"尚未處理","已處理","尚未處理"),"")</f>
        <v/>
      </c>
      <c r="B1282" s="2"/>
      <c r="C1282" s="2"/>
      <c r="D1282" s="2"/>
      <c r="E1282" s="2"/>
    </row>
    <row r="1283" spans="1:5" x14ac:dyDescent="0.25">
      <c r="A1283" s="2" t="str">
        <f>IF(B1283&lt;&gt;"",IF(_xlfn.IFNA(VLOOKUP(B1283,OmsControlTable!T:T,1,0),"尚未處理")&lt;&gt;"尚未處理","已處理","尚未處理"),"")</f>
        <v/>
      </c>
      <c r="B1283" s="2"/>
      <c r="C1283" s="2"/>
      <c r="D1283" s="2"/>
      <c r="E1283" s="2"/>
    </row>
    <row r="1284" spans="1:5" x14ac:dyDescent="0.25">
      <c r="A1284" s="2" t="str">
        <f>IF(B1284&lt;&gt;"",IF(_xlfn.IFNA(VLOOKUP(B1284,OmsControlTable!T:T,1,0),"尚未處理")&lt;&gt;"尚未處理","已處理","尚未處理"),"")</f>
        <v/>
      </c>
      <c r="B1284" s="2"/>
      <c r="C1284" s="2"/>
      <c r="D1284" s="2"/>
      <c r="E1284" s="2"/>
    </row>
    <row r="1285" spans="1:5" x14ac:dyDescent="0.25">
      <c r="A1285" s="2" t="str">
        <f>IF(B1285&lt;&gt;"",IF(_xlfn.IFNA(VLOOKUP(B1285,OmsControlTable!T:T,1,0),"尚未處理")&lt;&gt;"尚未處理","已處理","尚未處理"),"")</f>
        <v/>
      </c>
      <c r="B1285" s="2"/>
      <c r="C1285" s="2"/>
      <c r="D1285" s="2"/>
      <c r="E1285" s="2"/>
    </row>
    <row r="1286" spans="1:5" x14ac:dyDescent="0.25">
      <c r="A1286" s="2" t="str">
        <f>IF(B1286&lt;&gt;"",IF(_xlfn.IFNA(VLOOKUP(B1286,OmsControlTable!T:T,1,0),"尚未處理")&lt;&gt;"尚未處理","已處理","尚未處理"),"")</f>
        <v/>
      </c>
      <c r="B1286" s="2"/>
      <c r="C1286" s="2"/>
      <c r="D1286" s="2"/>
      <c r="E1286" s="2"/>
    </row>
    <row r="1287" spans="1:5" x14ac:dyDescent="0.25">
      <c r="A1287" s="2" t="str">
        <f>IF(B1287&lt;&gt;"",IF(_xlfn.IFNA(VLOOKUP(B1287,OmsControlTable!T:T,1,0),"尚未處理")&lt;&gt;"尚未處理","已處理","尚未處理"),"")</f>
        <v/>
      </c>
      <c r="B1287" s="2"/>
      <c r="C1287" s="2"/>
      <c r="D1287" s="2"/>
      <c r="E1287" s="2"/>
    </row>
    <row r="1288" spans="1:5" x14ac:dyDescent="0.25">
      <c r="A1288" s="2" t="str">
        <f>IF(B1288&lt;&gt;"",IF(_xlfn.IFNA(VLOOKUP(B1288,OmsControlTable!T:T,1,0),"尚未處理")&lt;&gt;"尚未處理","已處理","尚未處理"),"")</f>
        <v/>
      </c>
      <c r="B1288" s="2"/>
      <c r="C1288" s="2"/>
      <c r="D1288" s="2"/>
      <c r="E1288" s="2"/>
    </row>
    <row r="1289" spans="1:5" x14ac:dyDescent="0.25">
      <c r="A1289" s="2" t="str">
        <f>IF(B1289&lt;&gt;"",IF(_xlfn.IFNA(VLOOKUP(B1289,OmsControlTable!T:T,1,0),"尚未處理")&lt;&gt;"尚未處理","已處理","尚未處理"),"")</f>
        <v/>
      </c>
      <c r="B1289" s="2"/>
      <c r="C1289" s="2"/>
      <c r="D1289" s="2"/>
      <c r="E1289" s="2"/>
    </row>
    <row r="1290" spans="1:5" x14ac:dyDescent="0.25">
      <c r="A1290" s="2" t="str">
        <f>IF(B1290&lt;&gt;"",IF(_xlfn.IFNA(VLOOKUP(B1290,OmsControlTable!T:T,1,0),"尚未處理")&lt;&gt;"尚未處理","已處理","尚未處理"),"")</f>
        <v/>
      </c>
      <c r="B1290" s="2"/>
      <c r="C1290" s="2"/>
      <c r="D1290" s="2"/>
      <c r="E1290" s="2"/>
    </row>
    <row r="1291" spans="1:5" x14ac:dyDescent="0.25">
      <c r="A1291" s="2" t="str">
        <f>IF(B1291&lt;&gt;"",IF(_xlfn.IFNA(VLOOKUP(B1291,OmsControlTable!T:T,1,0),"尚未處理")&lt;&gt;"尚未處理","已處理","尚未處理"),"")</f>
        <v/>
      </c>
      <c r="B1291" s="2"/>
      <c r="C1291" s="2"/>
      <c r="D1291" s="2"/>
      <c r="E1291" s="2"/>
    </row>
    <row r="1292" spans="1:5" x14ac:dyDescent="0.25">
      <c r="A1292" s="2" t="str">
        <f>IF(B1292&lt;&gt;"",IF(_xlfn.IFNA(VLOOKUP(B1292,OmsControlTable!T:T,1,0),"尚未處理")&lt;&gt;"尚未處理","已處理","尚未處理"),"")</f>
        <v/>
      </c>
      <c r="B1292" s="2"/>
      <c r="C1292" s="2"/>
      <c r="D1292" s="2"/>
      <c r="E1292" s="2"/>
    </row>
    <row r="1293" spans="1:5" x14ac:dyDescent="0.25">
      <c r="A1293" s="2" t="str">
        <f>IF(B1293&lt;&gt;"",IF(_xlfn.IFNA(VLOOKUP(B1293,OmsControlTable!T:T,1,0),"尚未處理")&lt;&gt;"尚未處理","已處理","尚未處理"),"")</f>
        <v/>
      </c>
      <c r="B1293" s="2"/>
      <c r="C1293" s="2"/>
      <c r="D1293" s="2"/>
      <c r="E1293" s="2"/>
    </row>
    <row r="1294" spans="1:5" x14ac:dyDescent="0.25">
      <c r="A1294" s="2" t="str">
        <f>IF(B1294&lt;&gt;"",IF(_xlfn.IFNA(VLOOKUP(B1294,OmsControlTable!T:T,1,0),"尚未處理")&lt;&gt;"尚未處理","已處理","尚未處理"),"")</f>
        <v/>
      </c>
      <c r="B1294" s="2"/>
      <c r="C1294" s="2"/>
      <c r="D1294" s="2"/>
      <c r="E1294" s="2"/>
    </row>
    <row r="1295" spans="1:5" x14ac:dyDescent="0.25">
      <c r="A1295" s="2" t="str">
        <f>IF(B1295&lt;&gt;"",IF(_xlfn.IFNA(VLOOKUP(B1295,OmsControlTable!T:T,1,0),"尚未處理")&lt;&gt;"尚未處理","已處理","尚未處理"),"")</f>
        <v/>
      </c>
      <c r="B1295" s="2"/>
      <c r="C1295" s="2"/>
      <c r="D1295" s="2"/>
      <c r="E1295" s="2"/>
    </row>
    <row r="1296" spans="1:5" x14ac:dyDescent="0.25">
      <c r="A1296" s="2" t="str">
        <f>IF(B1296&lt;&gt;"",IF(_xlfn.IFNA(VLOOKUP(B1296,OmsControlTable!T:T,1,0),"尚未處理")&lt;&gt;"尚未處理","已處理","尚未處理"),"")</f>
        <v/>
      </c>
      <c r="B1296" s="2"/>
      <c r="C1296" s="2"/>
      <c r="D1296" s="2"/>
      <c r="E1296" s="2"/>
    </row>
    <row r="1297" spans="1:5" x14ac:dyDescent="0.25">
      <c r="A1297" s="2" t="str">
        <f>IF(B1297&lt;&gt;"",IF(_xlfn.IFNA(VLOOKUP(B1297,OmsControlTable!T:T,1,0),"尚未處理")&lt;&gt;"尚未處理","已處理","尚未處理"),"")</f>
        <v/>
      </c>
      <c r="B1297" s="2"/>
      <c r="C1297" s="2"/>
      <c r="D1297" s="2"/>
      <c r="E1297" s="2"/>
    </row>
    <row r="1298" spans="1:5" x14ac:dyDescent="0.25">
      <c r="A1298" s="2" t="str">
        <f>IF(B1298&lt;&gt;"",IF(_xlfn.IFNA(VLOOKUP(B1298,OmsControlTable!T:T,1,0),"尚未處理")&lt;&gt;"尚未處理","已處理","尚未處理"),"")</f>
        <v/>
      </c>
      <c r="B1298" s="2"/>
      <c r="C1298" s="2"/>
      <c r="D1298" s="2"/>
      <c r="E1298" s="2"/>
    </row>
    <row r="1299" spans="1:5" x14ac:dyDescent="0.25">
      <c r="A1299" s="2" t="str">
        <f>IF(B1299&lt;&gt;"",IF(_xlfn.IFNA(VLOOKUP(B1299,OmsControlTable!T:T,1,0),"尚未處理")&lt;&gt;"尚未處理","已處理","尚未處理"),"")</f>
        <v/>
      </c>
      <c r="B1299" s="2"/>
      <c r="C1299" s="2"/>
      <c r="D1299" s="2"/>
      <c r="E1299" s="2"/>
    </row>
    <row r="1300" spans="1:5" x14ac:dyDescent="0.25">
      <c r="A1300" s="2" t="str">
        <f>IF(B1300&lt;&gt;"",IF(_xlfn.IFNA(VLOOKUP(B1300,OmsControlTable!T:T,1,0),"尚未處理")&lt;&gt;"尚未處理","已處理","尚未處理"),"")</f>
        <v/>
      </c>
      <c r="B1300" s="2"/>
      <c r="C1300" s="2"/>
      <c r="D1300" s="2"/>
      <c r="E1300" s="2"/>
    </row>
    <row r="1301" spans="1:5" x14ac:dyDescent="0.25">
      <c r="A1301" s="2" t="str">
        <f>IF(B1301&lt;&gt;"",IF(_xlfn.IFNA(VLOOKUP(B1301,OmsControlTable!T:T,1,0),"尚未處理")&lt;&gt;"尚未處理","已處理","尚未處理"),"")</f>
        <v/>
      </c>
      <c r="B1301" s="2"/>
      <c r="C1301" s="2"/>
      <c r="D1301" s="2"/>
      <c r="E1301" s="2"/>
    </row>
    <row r="1302" spans="1:5" x14ac:dyDescent="0.25">
      <c r="A1302" s="2" t="str">
        <f>IF(B1302&lt;&gt;"",IF(_xlfn.IFNA(VLOOKUP(B1302,OmsControlTable!T:T,1,0),"尚未處理")&lt;&gt;"尚未處理","已處理","尚未處理"),"")</f>
        <v/>
      </c>
      <c r="B1302" s="2"/>
      <c r="C1302" s="2"/>
      <c r="D1302" s="2"/>
      <c r="E1302" s="2"/>
    </row>
    <row r="1303" spans="1:5" x14ac:dyDescent="0.25">
      <c r="A1303" s="2" t="str">
        <f>IF(B1303&lt;&gt;"",IF(_xlfn.IFNA(VLOOKUP(B1303,OmsControlTable!T:T,1,0),"尚未處理")&lt;&gt;"尚未處理","已處理","尚未處理"),"")</f>
        <v/>
      </c>
      <c r="B1303" s="2"/>
      <c r="C1303" s="2"/>
      <c r="D1303" s="2"/>
      <c r="E1303" s="2"/>
    </row>
    <row r="1304" spans="1:5" x14ac:dyDescent="0.25">
      <c r="A1304" s="2" t="str">
        <f>IF(B1304&lt;&gt;"",IF(_xlfn.IFNA(VLOOKUP(B1304,OmsControlTable!T:T,1,0),"尚未處理")&lt;&gt;"尚未處理","已處理","尚未處理"),"")</f>
        <v/>
      </c>
      <c r="B1304" s="2"/>
      <c r="C1304" s="2"/>
      <c r="D1304" s="2"/>
      <c r="E1304" s="2"/>
    </row>
    <row r="1305" spans="1:5" x14ac:dyDescent="0.25">
      <c r="A1305" s="2" t="str">
        <f>IF(B1305&lt;&gt;"",IF(_xlfn.IFNA(VLOOKUP(B1305,OmsControlTable!T:T,1,0),"尚未處理")&lt;&gt;"尚未處理","已處理","尚未處理"),"")</f>
        <v/>
      </c>
      <c r="B1305" s="2"/>
      <c r="C1305" s="2"/>
      <c r="D1305" s="2"/>
      <c r="E1305" s="2"/>
    </row>
    <row r="1306" spans="1:5" x14ac:dyDescent="0.25">
      <c r="A1306" s="2" t="str">
        <f>IF(B1306&lt;&gt;"",IF(_xlfn.IFNA(VLOOKUP(B1306,OmsControlTable!T:T,1,0),"尚未處理")&lt;&gt;"尚未處理","已處理","尚未處理"),"")</f>
        <v/>
      </c>
      <c r="B1306" s="2"/>
      <c r="C1306" s="2"/>
      <c r="D1306" s="2"/>
      <c r="E1306" s="2"/>
    </row>
    <row r="1307" spans="1:5" x14ac:dyDescent="0.25">
      <c r="A1307" s="2" t="str">
        <f>IF(B1307&lt;&gt;"",IF(_xlfn.IFNA(VLOOKUP(B1307,OmsControlTable!T:T,1,0),"尚未處理")&lt;&gt;"尚未處理","已處理","尚未處理"),"")</f>
        <v/>
      </c>
      <c r="B1307" s="2"/>
      <c r="C1307" s="2"/>
      <c r="D1307" s="2"/>
      <c r="E1307" s="2"/>
    </row>
    <row r="1308" spans="1:5" x14ac:dyDescent="0.25">
      <c r="A1308" s="2" t="str">
        <f>IF(B1308&lt;&gt;"",IF(_xlfn.IFNA(VLOOKUP(B1308,OmsControlTable!T:T,1,0),"尚未處理")&lt;&gt;"尚未處理","已處理","尚未處理"),"")</f>
        <v/>
      </c>
      <c r="B1308" s="2"/>
      <c r="C1308" s="2"/>
      <c r="D1308" s="2"/>
      <c r="E1308" s="2"/>
    </row>
    <row r="1309" spans="1:5" x14ac:dyDescent="0.25">
      <c r="A1309" s="2" t="str">
        <f>IF(B1309&lt;&gt;"",IF(_xlfn.IFNA(VLOOKUP(B1309,OmsControlTable!T:T,1,0),"尚未處理")&lt;&gt;"尚未處理","已處理","尚未處理"),"")</f>
        <v/>
      </c>
      <c r="B1309" s="2"/>
      <c r="C1309" s="2"/>
      <c r="D1309" s="2"/>
      <c r="E1309" s="2"/>
    </row>
    <row r="1310" spans="1:5" x14ac:dyDescent="0.25">
      <c r="A1310" s="2" t="str">
        <f>IF(B1310&lt;&gt;"",IF(_xlfn.IFNA(VLOOKUP(B1310,OmsControlTable!T:T,1,0),"尚未處理")&lt;&gt;"尚未處理","已處理","尚未處理"),"")</f>
        <v/>
      </c>
      <c r="B1310" s="2"/>
      <c r="C1310" s="2"/>
      <c r="D1310" s="2"/>
      <c r="E1310" s="2"/>
    </row>
    <row r="1311" spans="1:5" x14ac:dyDescent="0.25">
      <c r="A1311" s="2" t="str">
        <f>IF(B1311&lt;&gt;"",IF(_xlfn.IFNA(VLOOKUP(B1311,OmsControlTable!T:T,1,0),"尚未處理")&lt;&gt;"尚未處理","已處理","尚未處理"),"")</f>
        <v/>
      </c>
      <c r="B1311" s="2"/>
      <c r="C1311" s="2"/>
      <c r="D1311" s="2"/>
      <c r="E1311" s="2"/>
    </row>
    <row r="1312" spans="1:5" x14ac:dyDescent="0.25">
      <c r="A1312" s="2" t="str">
        <f>IF(B1312&lt;&gt;"",IF(_xlfn.IFNA(VLOOKUP(B1312,OmsControlTable!T:T,1,0),"尚未處理")&lt;&gt;"尚未處理","已處理","尚未處理"),"")</f>
        <v/>
      </c>
      <c r="B1312" s="2"/>
      <c r="C1312" s="2"/>
      <c r="D1312" s="2"/>
      <c r="E1312" s="2"/>
    </row>
    <row r="1313" spans="1:5" x14ac:dyDescent="0.25">
      <c r="A1313" s="2" t="str">
        <f>IF(B1313&lt;&gt;"",IF(_xlfn.IFNA(VLOOKUP(B1313,OmsControlTable!T:T,1,0),"尚未處理")&lt;&gt;"尚未處理","已處理","尚未處理"),"")</f>
        <v/>
      </c>
      <c r="B1313" s="2"/>
      <c r="C1313" s="2"/>
      <c r="D1313" s="2"/>
      <c r="E1313" s="2"/>
    </row>
    <row r="1314" spans="1:5" x14ac:dyDescent="0.25">
      <c r="A1314" s="2" t="str">
        <f>IF(B1314&lt;&gt;"",IF(_xlfn.IFNA(VLOOKUP(B1314,OmsControlTable!T:T,1,0),"尚未處理")&lt;&gt;"尚未處理","已處理","尚未處理"),"")</f>
        <v/>
      </c>
      <c r="B1314" s="2"/>
      <c r="C1314" s="2"/>
      <c r="D1314" s="2"/>
      <c r="E1314" s="2"/>
    </row>
    <row r="1315" spans="1:5" x14ac:dyDescent="0.25">
      <c r="A1315" s="2" t="str">
        <f>IF(B1315&lt;&gt;"",IF(_xlfn.IFNA(VLOOKUP(B1315,OmsControlTable!T:T,1,0),"尚未處理")&lt;&gt;"尚未處理","已處理","尚未處理"),"")</f>
        <v/>
      </c>
      <c r="B1315" s="2"/>
      <c r="C1315" s="2"/>
      <c r="D1315" s="2"/>
      <c r="E1315" s="2"/>
    </row>
    <row r="1316" spans="1:5" x14ac:dyDescent="0.25">
      <c r="A1316" s="2" t="str">
        <f>IF(B1316&lt;&gt;"",IF(_xlfn.IFNA(VLOOKUP(B1316,OmsControlTable!T:T,1,0),"尚未處理")&lt;&gt;"尚未處理","已處理","尚未處理"),"")</f>
        <v/>
      </c>
      <c r="B1316" s="2"/>
      <c r="C1316" s="2"/>
      <c r="D1316" s="2"/>
      <c r="E1316" s="2"/>
    </row>
    <row r="1317" spans="1:5" x14ac:dyDescent="0.25">
      <c r="A1317" s="2" t="str">
        <f>IF(B1317&lt;&gt;"",IF(_xlfn.IFNA(VLOOKUP(B1317,OmsControlTable!T:T,1,0),"尚未處理")&lt;&gt;"尚未處理","已處理","尚未處理"),"")</f>
        <v/>
      </c>
      <c r="B1317" s="2"/>
      <c r="C1317" s="2"/>
      <c r="D1317" s="2"/>
      <c r="E1317" s="2"/>
    </row>
    <row r="1318" spans="1:5" x14ac:dyDescent="0.25">
      <c r="A1318" s="2" t="str">
        <f>IF(B1318&lt;&gt;"",IF(_xlfn.IFNA(VLOOKUP(B1318,OmsControlTable!T:T,1,0),"尚未處理")&lt;&gt;"尚未處理","已處理","尚未處理"),"")</f>
        <v/>
      </c>
      <c r="B1318" s="2"/>
      <c r="C1318" s="2"/>
      <c r="D1318" s="2"/>
      <c r="E1318" s="2"/>
    </row>
    <row r="1319" spans="1:5" x14ac:dyDescent="0.25">
      <c r="A1319" s="2" t="str">
        <f>IF(B1319&lt;&gt;"",IF(_xlfn.IFNA(VLOOKUP(B1319,OmsControlTable!T:T,1,0),"尚未處理")&lt;&gt;"尚未處理","已處理","尚未處理"),"")</f>
        <v/>
      </c>
      <c r="B1319" s="2"/>
      <c r="C1319" s="2"/>
      <c r="D1319" s="2"/>
      <c r="E1319" s="2"/>
    </row>
    <row r="1320" spans="1:5" x14ac:dyDescent="0.25">
      <c r="A1320" s="2" t="str">
        <f>IF(B1320&lt;&gt;"",IF(_xlfn.IFNA(VLOOKUP(B1320,OmsControlTable!T:T,1,0),"尚未處理")&lt;&gt;"尚未處理","已處理","尚未處理"),"")</f>
        <v/>
      </c>
      <c r="B1320" s="2"/>
      <c r="C1320" s="2"/>
      <c r="D1320" s="2"/>
      <c r="E1320" s="2"/>
    </row>
    <row r="1321" spans="1:5" x14ac:dyDescent="0.25">
      <c r="A1321" s="2" t="str">
        <f>IF(B1321&lt;&gt;"",IF(_xlfn.IFNA(VLOOKUP(B1321,OmsControlTable!T:T,1,0),"尚未處理")&lt;&gt;"尚未處理","已處理","尚未處理"),"")</f>
        <v/>
      </c>
      <c r="B1321" s="2"/>
      <c r="C1321" s="2"/>
      <c r="D1321" s="2"/>
      <c r="E1321" s="2"/>
    </row>
    <row r="1322" spans="1:5" x14ac:dyDescent="0.25">
      <c r="A1322" s="2" t="str">
        <f>IF(B1322&lt;&gt;"",IF(_xlfn.IFNA(VLOOKUP(B1322,OmsControlTable!T:T,1,0),"尚未處理")&lt;&gt;"尚未處理","已處理","尚未處理"),"")</f>
        <v/>
      </c>
      <c r="B1322" s="2"/>
      <c r="C1322" s="2"/>
      <c r="D1322" s="2"/>
      <c r="E1322" s="2"/>
    </row>
    <row r="1323" spans="1:5" x14ac:dyDescent="0.25">
      <c r="A1323" s="2" t="str">
        <f>IF(B1323&lt;&gt;"",IF(_xlfn.IFNA(VLOOKUP(B1323,OmsControlTable!T:T,1,0),"尚未處理")&lt;&gt;"尚未處理","已處理","尚未處理"),"")</f>
        <v/>
      </c>
      <c r="B1323" s="2"/>
      <c r="C1323" s="2"/>
      <c r="D1323" s="2"/>
      <c r="E1323" s="2"/>
    </row>
    <row r="1324" spans="1:5" x14ac:dyDescent="0.25">
      <c r="A1324" s="2" t="str">
        <f>IF(B1324&lt;&gt;"",IF(_xlfn.IFNA(VLOOKUP(B1324,OmsControlTable!T:T,1,0),"尚未處理")&lt;&gt;"尚未處理","已處理","尚未處理"),"")</f>
        <v/>
      </c>
      <c r="B1324" s="2"/>
      <c r="C1324" s="2"/>
      <c r="D1324" s="2"/>
      <c r="E1324" s="2"/>
    </row>
    <row r="1325" spans="1:5" x14ac:dyDescent="0.25">
      <c r="A1325" s="2" t="str">
        <f>IF(B1325&lt;&gt;"",IF(_xlfn.IFNA(VLOOKUP(B1325,OmsControlTable!T:T,1,0),"尚未處理")&lt;&gt;"尚未處理","已處理","尚未處理"),"")</f>
        <v/>
      </c>
      <c r="B1325" s="2"/>
      <c r="C1325" s="2"/>
      <c r="D1325" s="2"/>
      <c r="E1325" s="2"/>
    </row>
    <row r="1326" spans="1:5" x14ac:dyDescent="0.25">
      <c r="A1326" s="2" t="str">
        <f>IF(B1326&lt;&gt;"",IF(_xlfn.IFNA(VLOOKUP(B1326,OmsControlTable!T:T,1,0),"尚未處理")&lt;&gt;"尚未處理","已處理","尚未處理"),"")</f>
        <v/>
      </c>
      <c r="B1326" s="2"/>
      <c r="C1326" s="2"/>
      <c r="D1326" s="2"/>
      <c r="E1326" s="2"/>
    </row>
    <row r="1327" spans="1:5" x14ac:dyDescent="0.25">
      <c r="A1327" s="2" t="str">
        <f>IF(B1327&lt;&gt;"",IF(_xlfn.IFNA(VLOOKUP(B1327,OmsControlTable!T:T,1,0),"尚未處理")&lt;&gt;"尚未處理","已處理","尚未處理"),"")</f>
        <v/>
      </c>
      <c r="B1327" s="2"/>
      <c r="C1327" s="2"/>
      <c r="D1327" s="2"/>
      <c r="E1327" s="2"/>
    </row>
    <row r="1328" spans="1:5" x14ac:dyDescent="0.25">
      <c r="A1328" s="2" t="str">
        <f>IF(B1328&lt;&gt;"",IF(_xlfn.IFNA(VLOOKUP(B1328,OmsControlTable!T:T,1,0),"尚未處理")&lt;&gt;"尚未處理","已處理","尚未處理"),"")</f>
        <v/>
      </c>
      <c r="B1328" s="2"/>
      <c r="C1328" s="2"/>
      <c r="D1328" s="2"/>
      <c r="E1328" s="2"/>
    </row>
    <row r="1329" spans="1:5" x14ac:dyDescent="0.25">
      <c r="A1329" s="2" t="str">
        <f>IF(B1329&lt;&gt;"",IF(_xlfn.IFNA(VLOOKUP(B1329,OmsControlTable!T:T,1,0),"尚未處理")&lt;&gt;"尚未處理","已處理","尚未處理"),"")</f>
        <v/>
      </c>
      <c r="B1329" s="2"/>
      <c r="C1329" s="2"/>
      <c r="D1329" s="2"/>
      <c r="E1329" s="2"/>
    </row>
    <row r="1330" spans="1:5" x14ac:dyDescent="0.25">
      <c r="A1330" s="2" t="str">
        <f>IF(B1330&lt;&gt;"",IF(_xlfn.IFNA(VLOOKUP(B1330,OmsControlTable!T:T,1,0),"尚未處理")&lt;&gt;"尚未處理","已處理","尚未處理"),"")</f>
        <v/>
      </c>
      <c r="B1330" s="2"/>
      <c r="C1330" s="2"/>
      <c r="D1330" s="2"/>
      <c r="E1330" s="2"/>
    </row>
    <row r="1331" spans="1:5" x14ac:dyDescent="0.25">
      <c r="A1331" s="2" t="str">
        <f>IF(B1331&lt;&gt;"",IF(_xlfn.IFNA(VLOOKUP(B1331,OmsControlTable!T:T,1,0),"尚未處理")&lt;&gt;"尚未處理","已處理","尚未處理"),"")</f>
        <v/>
      </c>
      <c r="B1331" s="2"/>
      <c r="C1331" s="2"/>
      <c r="D1331" s="2"/>
      <c r="E1331" s="2"/>
    </row>
    <row r="1332" spans="1:5" x14ac:dyDescent="0.25">
      <c r="A1332" s="2" t="str">
        <f>IF(B1332&lt;&gt;"",IF(_xlfn.IFNA(VLOOKUP(B1332,OmsControlTable!T:T,1,0),"尚未處理")&lt;&gt;"尚未處理","已處理","尚未處理"),"")</f>
        <v/>
      </c>
      <c r="B1332" s="2"/>
      <c r="C1332" s="2"/>
      <c r="D1332" s="2"/>
      <c r="E1332" s="2"/>
    </row>
    <row r="1333" spans="1:5" x14ac:dyDescent="0.25">
      <c r="A1333" s="2" t="str">
        <f>IF(B1333&lt;&gt;"",IF(_xlfn.IFNA(VLOOKUP(B1333,OmsControlTable!T:T,1,0),"尚未處理")&lt;&gt;"尚未處理","已處理","尚未處理"),"")</f>
        <v/>
      </c>
      <c r="B1333" s="2"/>
      <c r="C1333" s="2"/>
      <c r="D1333" s="2"/>
      <c r="E1333" s="2"/>
    </row>
    <row r="1334" spans="1:5" x14ac:dyDescent="0.25">
      <c r="A1334" s="2" t="str">
        <f>IF(B1334&lt;&gt;"",IF(_xlfn.IFNA(VLOOKUP(B1334,OmsControlTable!T:T,1,0),"尚未處理")&lt;&gt;"尚未處理","已處理","尚未處理"),"")</f>
        <v/>
      </c>
      <c r="B1334" s="2"/>
      <c r="C1334" s="2"/>
      <c r="D1334" s="2"/>
      <c r="E1334" s="2"/>
    </row>
    <row r="1335" spans="1:5" x14ac:dyDescent="0.25">
      <c r="A1335" s="2" t="str">
        <f>IF(B1335&lt;&gt;"",IF(_xlfn.IFNA(VLOOKUP(B1335,OmsControlTable!T:T,1,0),"尚未處理")&lt;&gt;"尚未處理","已處理","尚未處理"),"")</f>
        <v/>
      </c>
      <c r="B1335" s="2"/>
      <c r="C1335" s="2"/>
      <c r="D1335" s="2"/>
      <c r="E1335" s="2"/>
    </row>
    <row r="1336" spans="1:5" x14ac:dyDescent="0.25">
      <c r="A1336" s="2" t="str">
        <f>IF(B1336&lt;&gt;"",IF(_xlfn.IFNA(VLOOKUP(B1336,OmsControlTable!T:T,1,0),"尚未處理")&lt;&gt;"尚未處理","已處理","尚未處理"),"")</f>
        <v/>
      </c>
      <c r="B1336" s="2"/>
      <c r="C1336" s="2"/>
      <c r="D1336" s="2"/>
      <c r="E1336" s="2"/>
    </row>
    <row r="1337" spans="1:5" x14ac:dyDescent="0.25">
      <c r="A1337" s="2" t="str">
        <f>IF(B1337&lt;&gt;"",IF(_xlfn.IFNA(VLOOKUP(B1337,OmsControlTable!T:T,1,0),"尚未處理")&lt;&gt;"尚未處理","已處理","尚未處理"),"")</f>
        <v/>
      </c>
      <c r="B1337" s="2"/>
      <c r="C1337" s="2"/>
      <c r="D1337" s="2"/>
      <c r="E1337" s="2"/>
    </row>
    <row r="1338" spans="1:5" x14ac:dyDescent="0.25">
      <c r="A1338" s="2" t="str">
        <f>IF(B1338&lt;&gt;"",IF(_xlfn.IFNA(VLOOKUP(B1338,OmsControlTable!T:T,1,0),"尚未處理")&lt;&gt;"尚未處理","已處理","尚未處理"),"")</f>
        <v/>
      </c>
      <c r="B1338" s="2"/>
      <c r="C1338" s="2"/>
      <c r="D1338" s="2"/>
      <c r="E1338" s="2"/>
    </row>
    <row r="1339" spans="1:5" x14ac:dyDescent="0.25">
      <c r="A1339" s="2" t="str">
        <f>IF(B1339&lt;&gt;"",IF(_xlfn.IFNA(VLOOKUP(B1339,OmsControlTable!T:T,1,0),"尚未處理")&lt;&gt;"尚未處理","已處理","尚未處理"),"")</f>
        <v/>
      </c>
      <c r="B1339" s="2"/>
      <c r="C1339" s="2"/>
      <c r="D1339" s="2"/>
      <c r="E1339" s="2"/>
    </row>
    <row r="1340" spans="1:5" x14ac:dyDescent="0.25">
      <c r="A1340" s="2" t="str">
        <f>IF(B1340&lt;&gt;"",IF(_xlfn.IFNA(VLOOKUP(B1340,OmsControlTable!T:T,1,0),"尚未處理")&lt;&gt;"尚未處理","已處理","尚未處理"),"")</f>
        <v/>
      </c>
      <c r="B1340" s="2"/>
      <c r="C1340" s="2"/>
      <c r="D1340" s="2"/>
      <c r="E1340" s="2"/>
    </row>
    <row r="1341" spans="1:5" x14ac:dyDescent="0.25">
      <c r="A1341" s="2" t="str">
        <f>IF(B1341&lt;&gt;"",IF(_xlfn.IFNA(VLOOKUP(B1341,OmsControlTable!T:T,1,0),"尚未處理")&lt;&gt;"尚未處理","已處理","尚未處理"),"")</f>
        <v/>
      </c>
      <c r="B1341" s="2"/>
      <c r="C1341" s="2"/>
      <c r="D1341" s="2"/>
      <c r="E1341" s="2"/>
    </row>
    <row r="1342" spans="1:5" x14ac:dyDescent="0.25">
      <c r="A1342" s="2" t="str">
        <f>IF(B1342&lt;&gt;"",IF(_xlfn.IFNA(VLOOKUP(B1342,OmsControlTable!T:T,1,0),"尚未處理")&lt;&gt;"尚未處理","已處理","尚未處理"),"")</f>
        <v/>
      </c>
      <c r="B1342" s="2"/>
      <c r="C1342" s="2"/>
      <c r="D1342" s="2"/>
      <c r="E1342" s="2"/>
    </row>
    <row r="1343" spans="1:5" x14ac:dyDescent="0.25">
      <c r="A1343" s="2" t="str">
        <f>IF(B1343&lt;&gt;"",IF(_xlfn.IFNA(VLOOKUP(B1343,OmsControlTable!T:T,1,0),"尚未處理")&lt;&gt;"尚未處理","已處理","尚未處理"),"")</f>
        <v/>
      </c>
      <c r="B1343" s="2"/>
      <c r="C1343" s="2"/>
      <c r="D1343" s="2"/>
      <c r="E1343" s="2"/>
    </row>
    <row r="1344" spans="1:5" x14ac:dyDescent="0.25">
      <c r="A1344" s="2" t="str">
        <f>IF(B1344&lt;&gt;"",IF(_xlfn.IFNA(VLOOKUP(B1344,OmsControlTable!T:T,1,0),"尚未處理")&lt;&gt;"尚未處理","已處理","尚未處理"),"")</f>
        <v/>
      </c>
      <c r="B1344" s="2"/>
      <c r="C1344" s="2"/>
      <c r="D1344" s="2"/>
      <c r="E1344" s="2"/>
    </row>
    <row r="1345" spans="1:5" x14ac:dyDescent="0.25">
      <c r="A1345" s="2" t="str">
        <f>IF(B1345&lt;&gt;"",IF(_xlfn.IFNA(VLOOKUP(B1345,OmsControlTable!T:T,1,0),"尚未處理")&lt;&gt;"尚未處理","已處理","尚未處理"),"")</f>
        <v/>
      </c>
      <c r="B1345" s="2"/>
      <c r="C1345" s="2"/>
      <c r="D1345" s="2"/>
      <c r="E1345" s="2"/>
    </row>
    <row r="1346" spans="1:5" x14ac:dyDescent="0.25">
      <c r="A1346" s="2" t="str">
        <f>IF(B1346&lt;&gt;"",IF(_xlfn.IFNA(VLOOKUP(B1346,OmsControlTable!T:T,1,0),"尚未處理")&lt;&gt;"尚未處理","已處理","尚未處理"),"")</f>
        <v/>
      </c>
      <c r="B1346" s="2"/>
      <c r="C1346" s="2"/>
      <c r="D1346" s="2"/>
      <c r="E1346" s="2"/>
    </row>
    <row r="1347" spans="1:5" x14ac:dyDescent="0.25">
      <c r="A1347" s="2" t="str">
        <f>IF(B1347&lt;&gt;"",IF(_xlfn.IFNA(VLOOKUP(B1347,OmsControlTable!T:T,1,0),"尚未處理")&lt;&gt;"尚未處理","已處理","尚未處理"),"")</f>
        <v/>
      </c>
      <c r="B1347" s="2"/>
      <c r="C1347" s="2"/>
      <c r="D1347" s="2"/>
      <c r="E1347" s="2"/>
    </row>
    <row r="1348" spans="1:5" x14ac:dyDescent="0.25">
      <c r="A1348" s="2" t="str">
        <f>IF(B1348&lt;&gt;"",IF(_xlfn.IFNA(VLOOKUP(B1348,OmsControlTable!T:T,1,0),"尚未處理")&lt;&gt;"尚未處理","已處理","尚未處理"),"")</f>
        <v/>
      </c>
      <c r="B1348" s="2"/>
      <c r="C1348" s="2"/>
      <c r="D1348" s="2"/>
      <c r="E1348" s="2"/>
    </row>
    <row r="1349" spans="1:5" x14ac:dyDescent="0.25">
      <c r="A1349" s="2" t="str">
        <f>IF(B1349&lt;&gt;"",IF(_xlfn.IFNA(VLOOKUP(B1349,OmsControlTable!T:T,1,0),"尚未處理")&lt;&gt;"尚未處理","已處理","尚未處理"),"")</f>
        <v/>
      </c>
      <c r="B1349" s="2"/>
      <c r="C1349" s="2"/>
      <c r="D1349" s="2"/>
      <c r="E1349" s="2"/>
    </row>
    <row r="1350" spans="1:5" x14ac:dyDescent="0.25">
      <c r="A1350" s="2" t="str">
        <f>IF(B1350&lt;&gt;"",IF(_xlfn.IFNA(VLOOKUP(B1350,OmsControlTable!T:T,1,0),"尚未處理")&lt;&gt;"尚未處理","已處理","尚未處理"),"")</f>
        <v/>
      </c>
      <c r="B1350" s="2"/>
      <c r="C1350" s="2"/>
      <c r="D1350" s="2"/>
      <c r="E1350" s="2"/>
    </row>
    <row r="1351" spans="1:5" x14ac:dyDescent="0.25">
      <c r="A1351" s="2" t="str">
        <f>IF(B1351&lt;&gt;"",IF(_xlfn.IFNA(VLOOKUP(B1351,OmsControlTable!T:T,1,0),"尚未處理")&lt;&gt;"尚未處理","已處理","尚未處理"),"")</f>
        <v/>
      </c>
      <c r="B1351" s="2"/>
      <c r="C1351" s="2"/>
      <c r="D1351" s="2"/>
      <c r="E1351" s="2"/>
    </row>
    <row r="1352" spans="1:5" x14ac:dyDescent="0.25">
      <c r="A1352" s="2" t="str">
        <f>IF(B1352&lt;&gt;"",IF(_xlfn.IFNA(VLOOKUP(B1352,OmsControlTable!T:T,1,0),"尚未處理")&lt;&gt;"尚未處理","已處理","尚未處理"),"")</f>
        <v/>
      </c>
      <c r="B1352" s="2"/>
      <c r="C1352" s="2"/>
      <c r="D1352" s="2"/>
      <c r="E1352" s="2"/>
    </row>
    <row r="1353" spans="1:5" x14ac:dyDescent="0.25">
      <c r="A1353" s="2" t="str">
        <f>IF(B1353&lt;&gt;"",IF(_xlfn.IFNA(VLOOKUP(B1353,OmsControlTable!T:T,1,0),"尚未處理")&lt;&gt;"尚未處理","已處理","尚未處理"),"")</f>
        <v/>
      </c>
      <c r="B1353" s="2"/>
      <c r="C1353" s="2"/>
      <c r="D1353" s="2"/>
      <c r="E1353" s="2"/>
    </row>
    <row r="1354" spans="1:5" x14ac:dyDescent="0.25">
      <c r="A1354" s="2" t="str">
        <f>IF(B1354&lt;&gt;"",IF(_xlfn.IFNA(VLOOKUP(B1354,OmsControlTable!T:T,1,0),"尚未處理")&lt;&gt;"尚未處理","已處理","尚未處理"),"")</f>
        <v/>
      </c>
      <c r="B1354" s="2"/>
      <c r="C1354" s="2"/>
      <c r="D1354" s="2"/>
      <c r="E1354" s="2"/>
    </row>
    <row r="1355" spans="1:5" x14ac:dyDescent="0.25">
      <c r="A1355" s="2" t="str">
        <f>IF(B1355&lt;&gt;"",IF(_xlfn.IFNA(VLOOKUP(B1355,OmsControlTable!T:T,1,0),"尚未處理")&lt;&gt;"尚未處理","已處理","尚未處理"),"")</f>
        <v/>
      </c>
      <c r="B1355" s="2"/>
      <c r="C1355" s="2"/>
      <c r="D1355" s="2"/>
      <c r="E1355" s="2"/>
    </row>
    <row r="1356" spans="1:5" x14ac:dyDescent="0.25">
      <c r="A1356" s="2" t="str">
        <f>IF(B1356&lt;&gt;"",IF(_xlfn.IFNA(VLOOKUP(B1356,OmsControlTable!T:T,1,0),"尚未處理")&lt;&gt;"尚未處理","已處理","尚未處理"),"")</f>
        <v/>
      </c>
      <c r="B1356" s="2"/>
      <c r="C1356" s="2"/>
      <c r="D1356" s="2"/>
      <c r="E1356" s="2"/>
    </row>
    <row r="1357" spans="1:5" x14ac:dyDescent="0.25">
      <c r="A1357" s="2" t="str">
        <f>IF(B1357&lt;&gt;"",IF(_xlfn.IFNA(VLOOKUP(B1357,OmsControlTable!T:T,1,0),"尚未處理")&lt;&gt;"尚未處理","已處理","尚未處理"),"")</f>
        <v/>
      </c>
      <c r="B1357" s="2"/>
      <c r="C1357" s="2"/>
      <c r="D1357" s="2"/>
      <c r="E1357" s="2"/>
    </row>
    <row r="1358" spans="1:5" x14ac:dyDescent="0.25">
      <c r="A1358" s="2" t="str">
        <f>IF(B1358&lt;&gt;"",IF(_xlfn.IFNA(VLOOKUP(B1358,OmsControlTable!T:T,1,0),"尚未處理")&lt;&gt;"尚未處理","已處理","尚未處理"),"")</f>
        <v/>
      </c>
      <c r="B1358" s="2"/>
      <c r="C1358" s="2"/>
      <c r="D1358" s="2"/>
      <c r="E1358" s="2"/>
    </row>
    <row r="1359" spans="1:5" x14ac:dyDescent="0.25">
      <c r="A1359" s="2" t="str">
        <f>IF(B1359&lt;&gt;"",IF(_xlfn.IFNA(VLOOKUP(B1359,OmsControlTable!T:T,1,0),"尚未處理")&lt;&gt;"尚未處理","已處理","尚未處理"),"")</f>
        <v/>
      </c>
      <c r="B1359" s="2"/>
      <c r="C1359" s="2"/>
      <c r="D1359" s="2"/>
      <c r="E1359" s="2"/>
    </row>
    <row r="1360" spans="1:5" x14ac:dyDescent="0.25">
      <c r="A1360" s="2" t="str">
        <f>IF(B1360&lt;&gt;"",IF(_xlfn.IFNA(VLOOKUP(B1360,OmsControlTable!T:T,1,0),"尚未處理")&lt;&gt;"尚未處理","已處理","尚未處理"),"")</f>
        <v/>
      </c>
      <c r="B1360" s="2"/>
      <c r="C1360" s="2"/>
      <c r="D1360" s="2"/>
      <c r="E1360" s="2"/>
    </row>
    <row r="1361" spans="1:5" x14ac:dyDescent="0.25">
      <c r="A1361" s="2" t="str">
        <f>IF(B1361&lt;&gt;"",IF(_xlfn.IFNA(VLOOKUP(B1361,OmsControlTable!T:T,1,0),"尚未處理")&lt;&gt;"尚未處理","已處理","尚未處理"),"")</f>
        <v/>
      </c>
      <c r="B1361" s="2"/>
      <c r="C1361" s="2"/>
      <c r="D1361" s="2"/>
      <c r="E1361" s="2"/>
    </row>
    <row r="1362" spans="1:5" x14ac:dyDescent="0.25">
      <c r="A1362" s="2" t="str">
        <f>IF(B1362&lt;&gt;"",IF(_xlfn.IFNA(VLOOKUP(B1362,OmsControlTable!T:T,1,0),"尚未處理")&lt;&gt;"尚未處理","已處理","尚未處理"),"")</f>
        <v/>
      </c>
      <c r="B1362" s="2"/>
      <c r="C1362" s="2"/>
      <c r="D1362" s="2"/>
      <c r="E1362" s="2"/>
    </row>
    <row r="1363" spans="1:5" x14ac:dyDescent="0.25">
      <c r="A1363" s="2" t="str">
        <f>IF(B1363&lt;&gt;"",IF(_xlfn.IFNA(VLOOKUP(B1363,OmsControlTable!T:T,1,0),"尚未處理")&lt;&gt;"尚未處理","已處理","尚未處理"),"")</f>
        <v/>
      </c>
      <c r="B1363" s="2"/>
      <c r="C1363" s="2"/>
      <c r="D1363" s="2"/>
      <c r="E1363" s="2"/>
    </row>
    <row r="1364" spans="1:5" x14ac:dyDescent="0.25">
      <c r="A1364" s="2" t="str">
        <f>IF(B1364&lt;&gt;"",IF(_xlfn.IFNA(VLOOKUP(B1364,OmsControlTable!T:T,1,0),"尚未處理")&lt;&gt;"尚未處理","已處理","尚未處理"),"")</f>
        <v/>
      </c>
      <c r="B1364" s="2"/>
      <c r="C1364" s="2"/>
      <c r="D1364" s="2"/>
      <c r="E1364" s="2"/>
    </row>
    <row r="1365" spans="1:5" x14ac:dyDescent="0.25">
      <c r="A1365" s="2" t="str">
        <f>IF(B1365&lt;&gt;"",IF(_xlfn.IFNA(VLOOKUP(B1365,OmsControlTable!T:T,1,0),"尚未處理")&lt;&gt;"尚未處理","已處理","尚未處理"),"")</f>
        <v/>
      </c>
      <c r="B1365" s="2"/>
      <c r="C1365" s="2"/>
      <c r="D1365" s="2"/>
      <c r="E1365" s="2"/>
    </row>
    <row r="1366" spans="1:5" x14ac:dyDescent="0.25">
      <c r="A1366" s="2" t="str">
        <f>IF(B1366&lt;&gt;"",IF(_xlfn.IFNA(VLOOKUP(B1366,OmsControlTable!T:T,1,0),"尚未處理")&lt;&gt;"尚未處理","已處理","尚未處理"),"")</f>
        <v/>
      </c>
      <c r="B1366" s="2"/>
      <c r="C1366" s="2"/>
      <c r="D1366" s="2"/>
      <c r="E1366" s="2"/>
    </row>
    <row r="1367" spans="1:5" x14ac:dyDescent="0.25">
      <c r="A1367" s="2" t="str">
        <f>IF(B1367&lt;&gt;"",IF(_xlfn.IFNA(VLOOKUP(B1367,OmsControlTable!T:T,1,0),"尚未處理")&lt;&gt;"尚未處理","已處理","尚未處理"),"")</f>
        <v/>
      </c>
      <c r="B1367" s="2"/>
      <c r="C1367" s="2"/>
      <c r="D1367" s="2"/>
      <c r="E1367" s="2"/>
    </row>
    <row r="1368" spans="1:5" x14ac:dyDescent="0.25">
      <c r="A1368" s="2" t="str">
        <f>IF(B1368&lt;&gt;"",IF(_xlfn.IFNA(VLOOKUP(B1368,OmsControlTable!T:T,1,0),"尚未處理")&lt;&gt;"尚未處理","已處理","尚未處理"),"")</f>
        <v/>
      </c>
      <c r="B1368" s="2"/>
      <c r="C1368" s="2"/>
      <c r="D1368" s="2"/>
      <c r="E1368" s="2"/>
    </row>
    <row r="1369" spans="1:5" x14ac:dyDescent="0.25">
      <c r="A1369" s="2" t="str">
        <f>IF(B1369&lt;&gt;"",IF(_xlfn.IFNA(VLOOKUP(B1369,OmsControlTable!T:T,1,0),"尚未處理")&lt;&gt;"尚未處理","已處理","尚未處理"),"")</f>
        <v/>
      </c>
      <c r="B1369" s="2"/>
      <c r="C1369" s="2"/>
      <c r="D1369" s="2"/>
      <c r="E1369" s="2"/>
    </row>
    <row r="1370" spans="1:5" x14ac:dyDescent="0.25">
      <c r="A1370" s="2" t="str">
        <f>IF(B1370&lt;&gt;"",IF(_xlfn.IFNA(VLOOKUP(B1370,OmsControlTable!T:T,1,0),"尚未處理")&lt;&gt;"尚未處理","已處理","尚未處理"),"")</f>
        <v/>
      </c>
      <c r="B1370" s="2"/>
      <c r="C1370" s="2"/>
      <c r="D1370" s="2"/>
      <c r="E1370" s="2"/>
    </row>
    <row r="1371" spans="1:5" x14ac:dyDescent="0.25">
      <c r="A1371" s="2" t="str">
        <f>IF(B1371&lt;&gt;"",IF(_xlfn.IFNA(VLOOKUP(B1371,OmsControlTable!T:T,1,0),"尚未處理")&lt;&gt;"尚未處理","已處理","尚未處理"),"")</f>
        <v/>
      </c>
      <c r="B1371" s="2"/>
      <c r="C1371" s="2"/>
      <c r="D1371" s="2"/>
      <c r="E1371" s="2"/>
    </row>
    <row r="1372" spans="1:5" x14ac:dyDescent="0.25">
      <c r="A1372" s="2" t="str">
        <f>IF(B1372&lt;&gt;"",IF(_xlfn.IFNA(VLOOKUP(B1372,OmsControlTable!T:T,1,0),"尚未處理")&lt;&gt;"尚未處理","已處理","尚未處理"),"")</f>
        <v/>
      </c>
      <c r="B1372" s="2"/>
      <c r="C1372" s="2"/>
      <c r="D1372" s="2"/>
      <c r="E1372" s="2"/>
    </row>
    <row r="1373" spans="1:5" x14ac:dyDescent="0.25">
      <c r="A1373" s="2" t="str">
        <f>IF(B1373&lt;&gt;"",IF(_xlfn.IFNA(VLOOKUP(B1373,OmsControlTable!T:T,1,0),"尚未處理")&lt;&gt;"尚未處理","已處理","尚未處理"),"")</f>
        <v/>
      </c>
      <c r="B1373" s="2"/>
      <c r="C1373" s="2"/>
      <c r="D1373" s="2"/>
      <c r="E1373" s="2"/>
    </row>
    <row r="1374" spans="1:5" x14ac:dyDescent="0.25">
      <c r="A1374" s="2" t="str">
        <f>IF(B1374&lt;&gt;"",IF(_xlfn.IFNA(VLOOKUP(B1374,OmsControlTable!T:T,1,0),"尚未處理")&lt;&gt;"尚未處理","已處理","尚未處理"),"")</f>
        <v/>
      </c>
      <c r="B1374" s="2"/>
      <c r="C1374" s="2"/>
      <c r="D1374" s="2"/>
      <c r="E1374" s="2"/>
    </row>
    <row r="1375" spans="1:5" x14ac:dyDescent="0.25">
      <c r="A1375" s="2" t="str">
        <f>IF(B1375&lt;&gt;"",IF(_xlfn.IFNA(VLOOKUP(B1375,OmsControlTable!T:T,1,0),"尚未處理")&lt;&gt;"尚未處理","已處理","尚未處理"),"")</f>
        <v/>
      </c>
      <c r="B1375" s="2"/>
      <c r="C1375" s="2"/>
      <c r="D1375" s="2"/>
      <c r="E1375" s="2"/>
    </row>
    <row r="1376" spans="1:5" x14ac:dyDescent="0.25">
      <c r="A1376" s="2" t="str">
        <f>IF(B1376&lt;&gt;"",IF(_xlfn.IFNA(VLOOKUP(B1376,OmsControlTable!T:T,1,0),"尚未處理")&lt;&gt;"尚未處理","已處理","尚未處理"),"")</f>
        <v/>
      </c>
      <c r="B1376" s="2"/>
      <c r="C1376" s="2"/>
      <c r="D1376" s="2"/>
      <c r="E1376" s="2"/>
    </row>
    <row r="1377" spans="1:5" x14ac:dyDescent="0.25">
      <c r="A1377" s="2" t="str">
        <f>IF(B1377&lt;&gt;"",IF(_xlfn.IFNA(VLOOKUP(B1377,OmsControlTable!T:T,1,0),"尚未處理")&lt;&gt;"尚未處理","已處理","尚未處理"),"")</f>
        <v/>
      </c>
      <c r="B1377" s="2"/>
      <c r="C1377" s="2"/>
      <c r="D1377" s="2"/>
      <c r="E1377" s="2"/>
    </row>
    <row r="1378" spans="1:5" x14ac:dyDescent="0.25">
      <c r="A1378" s="2" t="str">
        <f>IF(B1378&lt;&gt;"",IF(_xlfn.IFNA(VLOOKUP(B1378,OmsControlTable!T:T,1,0),"尚未處理")&lt;&gt;"尚未處理","已處理","尚未處理"),"")</f>
        <v/>
      </c>
      <c r="B1378" s="2"/>
      <c r="C1378" s="2"/>
      <c r="D1378" s="2"/>
      <c r="E1378" s="2"/>
    </row>
    <row r="1379" spans="1:5" x14ac:dyDescent="0.25">
      <c r="A1379" s="2" t="str">
        <f>IF(B1379&lt;&gt;"",IF(_xlfn.IFNA(VLOOKUP(B1379,OmsControlTable!T:T,1,0),"尚未處理")&lt;&gt;"尚未處理","已處理","尚未處理"),"")</f>
        <v/>
      </c>
      <c r="B1379" s="2"/>
      <c r="C1379" s="2"/>
      <c r="D1379" s="2"/>
      <c r="E1379" s="2"/>
    </row>
    <row r="1380" spans="1:5" x14ac:dyDescent="0.25">
      <c r="A1380" s="2" t="str">
        <f>IF(B1380&lt;&gt;"",IF(_xlfn.IFNA(VLOOKUP(B1380,OmsControlTable!T:T,1,0),"尚未處理")&lt;&gt;"尚未處理","已處理","尚未處理"),"")</f>
        <v/>
      </c>
      <c r="B1380" s="2"/>
      <c r="C1380" s="2"/>
      <c r="D1380" s="2"/>
      <c r="E1380" s="2"/>
    </row>
    <row r="1381" spans="1:5" x14ac:dyDescent="0.25">
      <c r="A1381" s="2" t="str">
        <f>IF(B1381&lt;&gt;"",IF(_xlfn.IFNA(VLOOKUP(B1381,OmsControlTable!T:T,1,0),"尚未處理")&lt;&gt;"尚未處理","已處理","尚未處理"),"")</f>
        <v/>
      </c>
      <c r="B1381" s="2"/>
      <c r="C1381" s="2"/>
      <c r="D1381" s="2"/>
      <c r="E1381" s="2"/>
    </row>
    <row r="1382" spans="1:5" x14ac:dyDescent="0.25">
      <c r="A1382" s="2" t="str">
        <f>IF(B1382&lt;&gt;"",IF(_xlfn.IFNA(VLOOKUP(B1382,OmsControlTable!T:T,1,0),"尚未處理")&lt;&gt;"尚未處理","已處理","尚未處理"),"")</f>
        <v/>
      </c>
      <c r="B1382" s="2"/>
      <c r="C1382" s="2"/>
      <c r="D1382" s="2"/>
      <c r="E1382" s="2"/>
    </row>
    <row r="1383" spans="1:5" x14ac:dyDescent="0.25">
      <c r="A1383" s="2" t="str">
        <f>IF(B1383&lt;&gt;"",IF(_xlfn.IFNA(VLOOKUP(B1383,OmsControlTable!T:T,1,0),"尚未處理")&lt;&gt;"尚未處理","已處理","尚未處理"),"")</f>
        <v/>
      </c>
      <c r="B1383" s="2"/>
      <c r="C1383" s="2"/>
      <c r="D1383" s="2"/>
      <c r="E1383" s="2"/>
    </row>
    <row r="1384" spans="1:5" x14ac:dyDescent="0.25">
      <c r="A1384" s="2" t="str">
        <f>IF(B1384&lt;&gt;"",IF(_xlfn.IFNA(VLOOKUP(B1384,OmsControlTable!T:T,1,0),"尚未處理")&lt;&gt;"尚未處理","已處理","尚未處理"),"")</f>
        <v/>
      </c>
      <c r="B1384" s="2"/>
      <c r="C1384" s="2"/>
      <c r="D1384" s="2"/>
      <c r="E1384" s="2"/>
    </row>
    <row r="1385" spans="1:5" x14ac:dyDescent="0.25">
      <c r="A1385" s="2" t="str">
        <f>IF(B1385&lt;&gt;"",IF(_xlfn.IFNA(VLOOKUP(B1385,OmsControlTable!T:T,1,0),"尚未處理")&lt;&gt;"尚未處理","已處理","尚未處理"),"")</f>
        <v/>
      </c>
      <c r="B1385" s="2"/>
      <c r="C1385" s="2"/>
      <c r="D1385" s="2"/>
      <c r="E1385" s="2"/>
    </row>
    <row r="1386" spans="1:5" x14ac:dyDescent="0.25">
      <c r="A1386" s="2" t="str">
        <f>IF(B1386&lt;&gt;"",IF(_xlfn.IFNA(VLOOKUP(B1386,OmsControlTable!T:T,1,0),"尚未處理")&lt;&gt;"尚未處理","已處理","尚未處理"),"")</f>
        <v/>
      </c>
      <c r="B1386" s="2"/>
      <c r="C1386" s="2"/>
      <c r="D1386" s="2"/>
      <c r="E1386" s="2"/>
    </row>
    <row r="1387" spans="1:5" x14ac:dyDescent="0.25">
      <c r="A1387" s="2" t="str">
        <f>IF(B1387&lt;&gt;"",IF(_xlfn.IFNA(VLOOKUP(B1387,OmsControlTable!T:T,1,0),"尚未處理")&lt;&gt;"尚未處理","已處理","尚未處理"),"")</f>
        <v/>
      </c>
      <c r="B1387" s="2"/>
      <c r="C1387" s="2"/>
      <c r="D1387" s="2"/>
      <c r="E1387" s="2"/>
    </row>
    <row r="1388" spans="1:5" x14ac:dyDescent="0.25">
      <c r="A1388" s="2" t="str">
        <f>IF(B1388&lt;&gt;"",IF(_xlfn.IFNA(VLOOKUP(B1388,OmsControlTable!T:T,1,0),"尚未處理")&lt;&gt;"尚未處理","已處理","尚未處理"),"")</f>
        <v/>
      </c>
      <c r="B1388" s="2"/>
      <c r="C1388" s="2"/>
      <c r="D1388" s="2"/>
      <c r="E1388" s="2"/>
    </row>
    <row r="1389" spans="1:5" x14ac:dyDescent="0.25">
      <c r="A1389" s="2" t="str">
        <f>IF(B1389&lt;&gt;"",IF(_xlfn.IFNA(VLOOKUP(B1389,OmsControlTable!T:T,1,0),"尚未處理")&lt;&gt;"尚未處理","已處理","尚未處理"),"")</f>
        <v/>
      </c>
      <c r="B1389" s="2"/>
      <c r="C1389" s="2"/>
      <c r="D1389" s="2"/>
      <c r="E1389" s="2"/>
    </row>
    <row r="1390" spans="1:5" x14ac:dyDescent="0.25">
      <c r="A1390" s="2" t="str">
        <f>IF(B1390&lt;&gt;"",IF(_xlfn.IFNA(VLOOKUP(B1390,OmsControlTable!T:T,1,0),"尚未處理")&lt;&gt;"尚未處理","已處理","尚未處理"),"")</f>
        <v/>
      </c>
      <c r="B1390" s="2"/>
      <c r="C1390" s="2"/>
      <c r="D1390" s="2"/>
      <c r="E1390" s="2"/>
    </row>
    <row r="1391" spans="1:5" x14ac:dyDescent="0.25">
      <c r="A1391" s="2" t="str">
        <f>IF(B1391&lt;&gt;"",IF(_xlfn.IFNA(VLOOKUP(B1391,OmsControlTable!T:T,1,0),"尚未處理")&lt;&gt;"尚未處理","已處理","尚未處理"),"")</f>
        <v/>
      </c>
      <c r="B1391" s="2"/>
      <c r="C1391" s="2"/>
      <c r="D1391" s="2"/>
      <c r="E1391" s="2"/>
    </row>
    <row r="1392" spans="1:5" x14ac:dyDescent="0.25">
      <c r="A1392" s="2" t="str">
        <f>IF(B1392&lt;&gt;"",IF(_xlfn.IFNA(VLOOKUP(B1392,OmsControlTable!T:T,1,0),"尚未處理")&lt;&gt;"尚未處理","已處理","尚未處理"),"")</f>
        <v/>
      </c>
      <c r="B1392" s="2"/>
      <c r="C1392" s="2"/>
      <c r="D1392" s="2"/>
      <c r="E1392" s="2"/>
    </row>
    <row r="1393" spans="1:5" x14ac:dyDescent="0.25">
      <c r="A1393" s="2" t="str">
        <f>IF(B1393&lt;&gt;"",IF(_xlfn.IFNA(VLOOKUP(B1393,OmsControlTable!T:T,1,0),"尚未處理")&lt;&gt;"尚未處理","已處理","尚未處理"),"")</f>
        <v/>
      </c>
      <c r="B1393" s="2"/>
      <c r="C1393" s="2"/>
      <c r="D1393" s="2"/>
      <c r="E1393" s="2"/>
    </row>
    <row r="1394" spans="1:5" x14ac:dyDescent="0.25">
      <c r="A1394" s="2" t="str">
        <f>IF(B1394&lt;&gt;"",IF(_xlfn.IFNA(VLOOKUP(B1394,OmsControlTable!T:T,1,0),"尚未處理")&lt;&gt;"尚未處理","已處理","尚未處理"),"")</f>
        <v/>
      </c>
      <c r="B1394" s="2"/>
      <c r="C1394" s="2"/>
      <c r="D1394" s="2"/>
      <c r="E1394" s="2"/>
    </row>
    <row r="1395" spans="1:5" x14ac:dyDescent="0.25">
      <c r="A1395" s="2" t="str">
        <f>IF(B1395&lt;&gt;"",IF(_xlfn.IFNA(VLOOKUP(B1395,OmsControlTable!T:T,1,0),"尚未處理")&lt;&gt;"尚未處理","已處理","尚未處理"),"")</f>
        <v/>
      </c>
      <c r="B1395" s="2"/>
      <c r="C1395" s="2"/>
      <c r="D1395" s="2"/>
      <c r="E1395" s="2"/>
    </row>
    <row r="1396" spans="1:5" x14ac:dyDescent="0.25">
      <c r="A1396" s="2" t="str">
        <f>IF(B1396&lt;&gt;"",IF(_xlfn.IFNA(VLOOKUP(B1396,OmsControlTable!T:T,1,0),"尚未處理")&lt;&gt;"尚未處理","已處理","尚未處理"),"")</f>
        <v/>
      </c>
      <c r="B1396" s="2"/>
      <c r="C1396" s="2"/>
      <c r="D1396" s="2"/>
      <c r="E1396" s="2"/>
    </row>
    <row r="1397" spans="1:5" x14ac:dyDescent="0.25">
      <c r="A1397" s="2" t="str">
        <f>IF(B1397&lt;&gt;"",IF(_xlfn.IFNA(VLOOKUP(B1397,OmsControlTable!T:T,1,0),"尚未處理")&lt;&gt;"尚未處理","已處理","尚未處理"),"")</f>
        <v/>
      </c>
      <c r="B1397" s="2"/>
      <c r="C1397" s="2"/>
      <c r="D1397" s="2"/>
      <c r="E1397" s="2"/>
    </row>
    <row r="1398" spans="1:5" x14ac:dyDescent="0.25">
      <c r="A1398" s="2" t="str">
        <f>IF(B1398&lt;&gt;"",IF(_xlfn.IFNA(VLOOKUP(B1398,OmsControlTable!T:T,1,0),"尚未處理")&lt;&gt;"尚未處理","已處理","尚未處理"),"")</f>
        <v/>
      </c>
      <c r="B1398" s="2"/>
      <c r="C1398" s="2"/>
      <c r="D1398" s="2"/>
      <c r="E1398" s="2"/>
    </row>
    <row r="1399" spans="1:5" x14ac:dyDescent="0.25">
      <c r="A1399" s="2" t="str">
        <f>IF(B1399&lt;&gt;"",IF(_xlfn.IFNA(VLOOKUP(B1399,OmsControlTable!T:T,1,0),"尚未處理")&lt;&gt;"尚未處理","已處理","尚未處理"),"")</f>
        <v/>
      </c>
      <c r="B1399" s="2"/>
      <c r="C1399" s="2"/>
      <c r="D1399" s="2"/>
      <c r="E1399" s="2"/>
    </row>
    <row r="1400" spans="1:5" x14ac:dyDescent="0.25">
      <c r="A1400" s="2" t="str">
        <f>IF(B1400&lt;&gt;"",IF(_xlfn.IFNA(VLOOKUP(B1400,OmsControlTable!T:T,1,0),"尚未處理")&lt;&gt;"尚未處理","已處理","尚未處理"),"")</f>
        <v/>
      </c>
      <c r="B1400" s="2"/>
      <c r="C1400" s="2"/>
      <c r="D1400" s="2"/>
      <c r="E1400" s="2"/>
    </row>
    <row r="1401" spans="1:5" x14ac:dyDescent="0.25">
      <c r="A1401" s="2" t="str">
        <f>IF(B1401&lt;&gt;"",IF(_xlfn.IFNA(VLOOKUP(B1401,OmsControlTable!T:T,1,0),"尚未處理")&lt;&gt;"尚未處理","已處理","尚未處理"),"")</f>
        <v/>
      </c>
      <c r="B1401" s="2"/>
      <c r="C1401" s="2"/>
      <c r="D1401" s="2"/>
      <c r="E1401" s="2"/>
    </row>
    <row r="1402" spans="1:5" x14ac:dyDescent="0.25">
      <c r="A1402" s="2" t="str">
        <f>IF(B1402&lt;&gt;"",IF(_xlfn.IFNA(VLOOKUP(B1402,OmsControlTable!T:T,1,0),"尚未處理")&lt;&gt;"尚未處理","已處理","尚未處理"),"")</f>
        <v/>
      </c>
      <c r="B1402" s="2"/>
      <c r="C1402" s="2"/>
      <c r="D1402" s="2"/>
      <c r="E1402" s="2"/>
    </row>
    <row r="1403" spans="1:5" x14ac:dyDescent="0.25">
      <c r="A1403" s="2" t="str">
        <f>IF(B1403&lt;&gt;"",IF(_xlfn.IFNA(VLOOKUP(B1403,OmsControlTable!T:T,1,0),"尚未處理")&lt;&gt;"尚未處理","已處理","尚未處理"),"")</f>
        <v/>
      </c>
      <c r="B1403" s="2"/>
      <c r="C1403" s="2"/>
      <c r="D1403" s="2"/>
      <c r="E1403" s="2"/>
    </row>
    <row r="1404" spans="1:5" x14ac:dyDescent="0.25">
      <c r="A1404" s="2" t="str">
        <f>IF(B1404&lt;&gt;"",IF(_xlfn.IFNA(VLOOKUP(B1404,OmsControlTable!T:T,1,0),"尚未處理")&lt;&gt;"尚未處理","已處理","尚未處理"),"")</f>
        <v/>
      </c>
      <c r="B1404" s="2"/>
      <c r="C1404" s="2"/>
      <c r="D1404" s="2"/>
      <c r="E1404" s="2"/>
    </row>
    <row r="1405" spans="1:5" x14ac:dyDescent="0.25">
      <c r="A1405" s="2" t="str">
        <f>IF(B1405&lt;&gt;"",IF(_xlfn.IFNA(VLOOKUP(B1405,OmsControlTable!T:T,1,0),"尚未處理")&lt;&gt;"尚未處理","已處理","尚未處理"),"")</f>
        <v/>
      </c>
      <c r="B1405" s="2"/>
      <c r="C1405" s="2"/>
      <c r="D1405" s="2"/>
      <c r="E1405" s="2"/>
    </row>
    <row r="1406" spans="1:5" x14ac:dyDescent="0.25">
      <c r="A1406" s="2" t="str">
        <f>IF(B1406&lt;&gt;"",IF(_xlfn.IFNA(VLOOKUP(B1406,OmsControlTable!T:T,1,0),"尚未處理")&lt;&gt;"尚未處理","已處理","尚未處理"),"")</f>
        <v/>
      </c>
      <c r="B1406" s="2"/>
      <c r="C1406" s="2"/>
      <c r="D1406" s="2"/>
      <c r="E1406" s="2"/>
    </row>
    <row r="1407" spans="1:5" x14ac:dyDescent="0.25">
      <c r="A1407" s="2" t="str">
        <f>IF(B1407&lt;&gt;"",IF(_xlfn.IFNA(VLOOKUP(B1407,OmsControlTable!T:T,1,0),"尚未處理")&lt;&gt;"尚未處理","已處理","尚未處理"),"")</f>
        <v/>
      </c>
      <c r="B1407" s="2"/>
      <c r="C1407" s="2"/>
      <c r="D1407" s="2"/>
      <c r="E1407" s="2"/>
    </row>
    <row r="1408" spans="1:5" x14ac:dyDescent="0.25">
      <c r="A1408" s="2" t="str">
        <f>IF(B1408&lt;&gt;"",IF(_xlfn.IFNA(VLOOKUP(B1408,OmsControlTable!T:T,1,0),"尚未處理")&lt;&gt;"尚未處理","已處理","尚未處理"),"")</f>
        <v/>
      </c>
      <c r="B1408" s="2"/>
      <c r="C1408" s="2"/>
      <c r="D1408" s="2"/>
      <c r="E1408" s="2"/>
    </row>
    <row r="1409" spans="1:5" x14ac:dyDescent="0.25">
      <c r="A1409" s="2" t="str">
        <f>IF(B1409&lt;&gt;"",IF(_xlfn.IFNA(VLOOKUP(B1409,OmsControlTable!T:T,1,0),"尚未處理")&lt;&gt;"尚未處理","已處理","尚未處理"),"")</f>
        <v/>
      </c>
      <c r="B1409" s="2"/>
      <c r="C1409" s="2"/>
      <c r="D1409" s="2"/>
      <c r="E1409" s="2"/>
    </row>
    <row r="1410" spans="1:5" x14ac:dyDescent="0.25">
      <c r="A1410" s="2" t="str">
        <f>IF(B1410&lt;&gt;"",IF(_xlfn.IFNA(VLOOKUP(B1410,OmsControlTable!T:T,1,0),"尚未處理")&lt;&gt;"尚未處理","已處理","尚未處理"),"")</f>
        <v/>
      </c>
      <c r="B1410" s="2"/>
      <c r="C1410" s="2"/>
      <c r="D1410" s="2"/>
      <c r="E1410" s="2"/>
    </row>
    <row r="1411" spans="1:5" x14ac:dyDescent="0.25">
      <c r="A1411" s="2" t="str">
        <f>IF(B1411&lt;&gt;"",IF(_xlfn.IFNA(VLOOKUP(B1411,OmsControlTable!T:T,1,0),"尚未處理")&lt;&gt;"尚未處理","已處理","尚未處理"),"")</f>
        <v/>
      </c>
      <c r="B1411" s="2"/>
      <c r="C1411" s="2"/>
      <c r="D1411" s="2"/>
      <c r="E1411" s="2"/>
    </row>
    <row r="1412" spans="1:5" x14ac:dyDescent="0.25">
      <c r="A1412" s="2" t="str">
        <f>IF(B1412&lt;&gt;"",IF(_xlfn.IFNA(VLOOKUP(B1412,OmsControlTable!T:T,1,0),"尚未處理")&lt;&gt;"尚未處理","已處理","尚未處理"),"")</f>
        <v/>
      </c>
      <c r="B1412" s="2"/>
      <c r="C1412" s="2"/>
      <c r="D1412" s="2"/>
      <c r="E1412" s="2"/>
    </row>
    <row r="1413" spans="1:5" x14ac:dyDescent="0.25">
      <c r="A1413" s="2" t="str">
        <f>IF(B1413&lt;&gt;"",IF(_xlfn.IFNA(VLOOKUP(B1413,OmsControlTable!T:T,1,0),"尚未處理")&lt;&gt;"尚未處理","已處理","尚未處理"),"")</f>
        <v/>
      </c>
      <c r="B1413" s="2"/>
      <c r="C1413" s="2"/>
      <c r="D1413" s="2"/>
      <c r="E1413" s="2"/>
    </row>
    <row r="1414" spans="1:5" x14ac:dyDescent="0.25">
      <c r="A1414" s="2" t="str">
        <f>IF(B1414&lt;&gt;"",IF(_xlfn.IFNA(VLOOKUP(B1414,OmsControlTable!T:T,1,0),"尚未處理")&lt;&gt;"尚未處理","已處理","尚未處理"),"")</f>
        <v/>
      </c>
      <c r="B1414" s="2"/>
      <c r="C1414" s="2"/>
      <c r="D1414" s="2"/>
      <c r="E1414" s="2"/>
    </row>
    <row r="1415" spans="1:5" x14ac:dyDescent="0.25">
      <c r="A1415" s="2" t="str">
        <f>IF(B1415&lt;&gt;"",IF(_xlfn.IFNA(VLOOKUP(B1415,OmsControlTable!T:T,1,0),"尚未處理")&lt;&gt;"尚未處理","已處理","尚未處理"),"")</f>
        <v/>
      </c>
      <c r="B1415" s="2"/>
      <c r="C1415" s="2"/>
      <c r="D1415" s="2"/>
      <c r="E1415" s="2"/>
    </row>
    <row r="1416" spans="1:5" x14ac:dyDescent="0.25">
      <c r="A1416" s="2" t="str">
        <f>IF(B1416&lt;&gt;"",IF(_xlfn.IFNA(VLOOKUP(B1416,OmsControlTable!T:T,1,0),"尚未處理")&lt;&gt;"尚未處理","已處理","尚未處理"),"")</f>
        <v/>
      </c>
      <c r="B1416" s="2"/>
      <c r="C1416" s="2"/>
      <c r="D1416" s="2"/>
      <c r="E1416" s="2"/>
    </row>
    <row r="1417" spans="1:5" x14ac:dyDescent="0.25">
      <c r="A1417" s="2" t="str">
        <f>IF(B1417&lt;&gt;"",IF(_xlfn.IFNA(VLOOKUP(B1417,OmsControlTable!T:T,1,0),"尚未處理")&lt;&gt;"尚未處理","已處理","尚未處理"),"")</f>
        <v/>
      </c>
      <c r="B1417" s="2"/>
      <c r="C1417" s="2"/>
      <c r="D1417" s="2"/>
      <c r="E1417" s="2"/>
    </row>
    <row r="1418" spans="1:5" x14ac:dyDescent="0.25">
      <c r="A1418" s="2" t="str">
        <f>IF(B1418&lt;&gt;"",IF(_xlfn.IFNA(VLOOKUP(B1418,OmsControlTable!T:T,1,0),"尚未處理")&lt;&gt;"尚未處理","已處理","尚未處理"),"")</f>
        <v/>
      </c>
      <c r="B1418" s="2"/>
      <c r="C1418" s="2"/>
      <c r="D1418" s="2"/>
      <c r="E1418" s="2"/>
    </row>
    <row r="1419" spans="1:5" x14ac:dyDescent="0.25">
      <c r="A1419" s="2" t="str">
        <f>IF(B1419&lt;&gt;"",IF(_xlfn.IFNA(VLOOKUP(B1419,OmsControlTable!T:T,1,0),"尚未處理")&lt;&gt;"尚未處理","已處理","尚未處理"),"")</f>
        <v/>
      </c>
      <c r="B1419" s="2"/>
      <c r="C1419" s="2"/>
      <c r="D1419" s="2"/>
      <c r="E1419" s="2"/>
    </row>
    <row r="1420" spans="1:5" x14ac:dyDescent="0.25">
      <c r="A1420" s="2" t="str">
        <f>IF(B1420&lt;&gt;"",IF(_xlfn.IFNA(VLOOKUP(B1420,OmsControlTable!T:T,1,0),"尚未處理")&lt;&gt;"尚未處理","已處理","尚未處理"),"")</f>
        <v/>
      </c>
      <c r="B1420" s="2"/>
      <c r="C1420" s="2"/>
      <c r="D1420" s="2"/>
      <c r="E1420" s="2"/>
    </row>
    <row r="1421" spans="1:5" x14ac:dyDescent="0.25">
      <c r="A1421" s="2" t="str">
        <f>IF(B1421&lt;&gt;"",IF(_xlfn.IFNA(VLOOKUP(B1421,OmsControlTable!T:T,1,0),"尚未處理")&lt;&gt;"尚未處理","已處理","尚未處理"),"")</f>
        <v/>
      </c>
      <c r="B1421" s="2"/>
      <c r="C1421" s="2"/>
      <c r="D1421" s="2"/>
      <c r="E1421" s="2"/>
    </row>
    <row r="1422" spans="1:5" x14ac:dyDescent="0.25">
      <c r="A1422" s="2" t="str">
        <f>IF(B1422&lt;&gt;"",IF(_xlfn.IFNA(VLOOKUP(B1422,OmsControlTable!T:T,1,0),"尚未處理")&lt;&gt;"尚未處理","已處理","尚未處理"),"")</f>
        <v/>
      </c>
      <c r="B1422" s="2"/>
      <c r="C1422" s="2"/>
      <c r="D1422" s="2"/>
      <c r="E1422" s="2"/>
    </row>
    <row r="1423" spans="1:5" x14ac:dyDescent="0.25">
      <c r="A1423" s="2" t="str">
        <f>IF(B1423&lt;&gt;"",IF(_xlfn.IFNA(VLOOKUP(B1423,OmsControlTable!T:T,1,0),"尚未處理")&lt;&gt;"尚未處理","已處理","尚未處理"),"")</f>
        <v/>
      </c>
      <c r="B1423" s="2"/>
      <c r="C1423" s="2"/>
      <c r="D1423" s="2"/>
      <c r="E1423" s="2"/>
    </row>
    <row r="1424" spans="1:5" x14ac:dyDescent="0.25">
      <c r="A1424" s="2" t="str">
        <f>IF(B1424&lt;&gt;"",IF(_xlfn.IFNA(VLOOKUP(B1424,OmsControlTable!T:T,1,0),"尚未處理")&lt;&gt;"尚未處理","已處理","尚未處理"),"")</f>
        <v/>
      </c>
      <c r="B1424" s="2"/>
      <c r="C1424" s="2"/>
      <c r="D1424" s="2"/>
      <c r="E1424" s="2"/>
    </row>
    <row r="1425" spans="1:5" x14ac:dyDescent="0.25">
      <c r="A1425" s="2" t="str">
        <f>IF(B1425&lt;&gt;"",IF(_xlfn.IFNA(VLOOKUP(B1425,OmsControlTable!T:T,1,0),"尚未處理")&lt;&gt;"尚未處理","已處理","尚未處理"),"")</f>
        <v/>
      </c>
      <c r="B1425" s="2"/>
      <c r="C1425" s="2"/>
      <c r="D1425" s="2"/>
      <c r="E1425" s="2"/>
    </row>
    <row r="1426" spans="1:5" x14ac:dyDescent="0.25">
      <c r="A1426" s="2" t="str">
        <f>IF(B1426&lt;&gt;"",IF(_xlfn.IFNA(VLOOKUP(B1426,OmsControlTable!T:T,1,0),"尚未處理")&lt;&gt;"尚未處理","已處理","尚未處理"),"")</f>
        <v/>
      </c>
      <c r="B1426" s="2"/>
      <c r="C1426" s="2"/>
      <c r="D1426" s="2"/>
      <c r="E1426" s="2"/>
    </row>
    <row r="1427" spans="1:5" x14ac:dyDescent="0.25">
      <c r="A1427" s="2" t="str">
        <f>IF(B1427&lt;&gt;"",IF(_xlfn.IFNA(VLOOKUP(B1427,OmsControlTable!T:T,1,0),"尚未處理")&lt;&gt;"尚未處理","已處理","尚未處理"),"")</f>
        <v/>
      </c>
      <c r="B1427" s="2"/>
      <c r="C1427" s="2"/>
      <c r="D1427" s="2"/>
      <c r="E1427" s="2"/>
    </row>
    <row r="1428" spans="1:5" x14ac:dyDescent="0.25">
      <c r="A1428" s="2" t="str">
        <f>IF(B1428&lt;&gt;"",IF(_xlfn.IFNA(VLOOKUP(B1428,OmsControlTable!T:T,1,0),"尚未處理")&lt;&gt;"尚未處理","已處理","尚未處理"),"")</f>
        <v/>
      </c>
      <c r="B1428" s="2"/>
      <c r="C1428" s="2"/>
      <c r="D1428" s="2"/>
      <c r="E1428" s="2"/>
    </row>
    <row r="1429" spans="1:5" x14ac:dyDescent="0.25">
      <c r="A1429" s="2" t="str">
        <f>IF(B1429&lt;&gt;"",IF(_xlfn.IFNA(VLOOKUP(B1429,OmsControlTable!T:T,1,0),"尚未處理")&lt;&gt;"尚未處理","已處理","尚未處理"),"")</f>
        <v/>
      </c>
      <c r="B1429" s="2"/>
      <c r="C1429" s="2"/>
      <c r="D1429" s="2"/>
      <c r="E1429" s="2"/>
    </row>
    <row r="1430" spans="1:5" x14ac:dyDescent="0.25">
      <c r="A1430" s="2" t="str">
        <f>IF(B1430&lt;&gt;"",IF(_xlfn.IFNA(VLOOKUP(B1430,OmsControlTable!T:T,1,0),"尚未處理")&lt;&gt;"尚未處理","已處理","尚未處理"),"")</f>
        <v/>
      </c>
      <c r="B1430" s="2"/>
      <c r="C1430" s="2"/>
      <c r="D1430" s="2"/>
      <c r="E1430" s="2"/>
    </row>
    <row r="1431" spans="1:5" x14ac:dyDescent="0.25">
      <c r="A1431" s="2" t="str">
        <f>IF(B1431&lt;&gt;"",IF(_xlfn.IFNA(VLOOKUP(B1431,OmsControlTable!T:T,1,0),"尚未處理")&lt;&gt;"尚未處理","已處理","尚未處理"),"")</f>
        <v/>
      </c>
      <c r="B1431" s="2"/>
      <c r="C1431" s="2"/>
      <c r="D1431" s="2"/>
      <c r="E1431" s="2"/>
    </row>
    <row r="1432" spans="1:5" x14ac:dyDescent="0.25">
      <c r="A1432" s="2" t="str">
        <f>IF(B1432&lt;&gt;"",IF(_xlfn.IFNA(VLOOKUP(B1432,OmsControlTable!T:T,1,0),"尚未處理")&lt;&gt;"尚未處理","已處理","尚未處理"),"")</f>
        <v/>
      </c>
      <c r="B1432" s="2"/>
      <c r="C1432" s="2"/>
      <c r="D1432" s="2"/>
      <c r="E1432" s="2"/>
    </row>
    <row r="1433" spans="1:5" x14ac:dyDescent="0.25">
      <c r="A1433" s="2" t="str">
        <f>IF(B1433&lt;&gt;"",IF(_xlfn.IFNA(VLOOKUP(B1433,OmsControlTable!T:T,1,0),"尚未處理")&lt;&gt;"尚未處理","已處理","尚未處理"),"")</f>
        <v/>
      </c>
      <c r="B1433" s="2"/>
      <c r="C1433" s="2"/>
      <c r="D1433" s="2"/>
      <c r="E1433" s="2"/>
    </row>
    <row r="1434" spans="1:5" x14ac:dyDescent="0.25">
      <c r="A1434" s="2" t="str">
        <f>IF(B1434&lt;&gt;"",IF(_xlfn.IFNA(VLOOKUP(B1434,OmsControlTable!T:T,1,0),"尚未處理")&lt;&gt;"尚未處理","已處理","尚未處理"),"")</f>
        <v/>
      </c>
      <c r="B1434" s="2"/>
      <c r="C1434" s="2"/>
      <c r="D1434" s="2"/>
      <c r="E1434" s="2"/>
    </row>
    <row r="1435" spans="1:5" x14ac:dyDescent="0.25">
      <c r="A1435" s="2" t="str">
        <f>IF(B1435&lt;&gt;"",IF(_xlfn.IFNA(VLOOKUP(B1435,OmsControlTable!T:T,1,0),"尚未處理")&lt;&gt;"尚未處理","已處理","尚未處理"),"")</f>
        <v/>
      </c>
      <c r="B1435" s="2"/>
      <c r="C1435" s="2"/>
      <c r="D1435" s="2"/>
      <c r="E1435" s="2"/>
    </row>
    <row r="1436" spans="1:5" x14ac:dyDescent="0.25">
      <c r="A1436" s="2" t="str">
        <f>IF(B1436&lt;&gt;"",IF(_xlfn.IFNA(VLOOKUP(B1436,OmsControlTable!T:T,1,0),"尚未處理")&lt;&gt;"尚未處理","已處理","尚未處理"),"")</f>
        <v/>
      </c>
      <c r="B1436" s="2"/>
      <c r="C1436" s="2"/>
      <c r="D1436" s="2"/>
      <c r="E1436" s="2"/>
    </row>
    <row r="1437" spans="1:5" x14ac:dyDescent="0.25">
      <c r="A1437" s="2" t="str">
        <f>IF(B1437&lt;&gt;"",IF(_xlfn.IFNA(VLOOKUP(B1437,OmsControlTable!T:T,1,0),"尚未處理")&lt;&gt;"尚未處理","已處理","尚未處理"),"")</f>
        <v/>
      </c>
      <c r="B1437" s="2"/>
      <c r="C1437" s="2"/>
      <c r="D1437" s="2"/>
      <c r="E1437" s="2"/>
    </row>
    <row r="1438" spans="1:5" x14ac:dyDescent="0.25">
      <c r="A1438" s="2" t="str">
        <f>IF(B1438&lt;&gt;"",IF(_xlfn.IFNA(VLOOKUP(B1438,OmsControlTable!T:T,1,0),"尚未處理")&lt;&gt;"尚未處理","已處理","尚未處理"),"")</f>
        <v/>
      </c>
      <c r="B1438" s="2"/>
      <c r="C1438" s="2"/>
      <c r="D1438" s="2"/>
      <c r="E1438" s="2"/>
    </row>
    <row r="1439" spans="1:5" x14ac:dyDescent="0.25">
      <c r="A1439" s="2" t="str">
        <f>IF(B1439&lt;&gt;"",IF(_xlfn.IFNA(VLOOKUP(B1439,OmsControlTable!T:T,1,0),"尚未處理")&lt;&gt;"尚未處理","已處理","尚未處理"),"")</f>
        <v/>
      </c>
      <c r="B1439" s="2"/>
      <c r="C1439" s="2"/>
      <c r="D1439" s="2"/>
      <c r="E1439" s="2"/>
    </row>
    <row r="1440" spans="1:5" x14ac:dyDescent="0.25">
      <c r="A1440" s="2" t="str">
        <f>IF(B1440&lt;&gt;"",IF(_xlfn.IFNA(VLOOKUP(B1440,OmsControlTable!T:T,1,0),"尚未處理")&lt;&gt;"尚未處理","已處理","尚未處理"),"")</f>
        <v/>
      </c>
      <c r="B1440" s="2"/>
      <c r="C1440" s="2"/>
      <c r="D1440" s="2"/>
      <c r="E1440" s="2"/>
    </row>
    <row r="1441" spans="1:5" x14ac:dyDescent="0.25">
      <c r="A1441" s="2" t="str">
        <f>IF(B1441&lt;&gt;"",IF(_xlfn.IFNA(VLOOKUP(B1441,OmsControlTable!T:T,1,0),"尚未處理")&lt;&gt;"尚未處理","已處理","尚未處理"),"")</f>
        <v/>
      </c>
      <c r="B1441" s="2"/>
      <c r="C1441" s="2"/>
      <c r="D1441" s="2"/>
      <c r="E1441" s="2"/>
    </row>
    <row r="1442" spans="1:5" x14ac:dyDescent="0.25">
      <c r="A1442" s="2" t="str">
        <f>IF(B1442&lt;&gt;"",IF(_xlfn.IFNA(VLOOKUP(B1442,OmsControlTable!T:T,1,0),"尚未處理")&lt;&gt;"尚未處理","已處理","尚未處理"),"")</f>
        <v/>
      </c>
      <c r="B1442" s="2"/>
      <c r="C1442" s="2"/>
      <c r="D1442" s="2"/>
      <c r="E1442" s="2"/>
    </row>
    <row r="1443" spans="1:5" x14ac:dyDescent="0.25">
      <c r="A1443" s="2" t="str">
        <f>IF(B1443&lt;&gt;"",IF(_xlfn.IFNA(VLOOKUP(B1443,OmsControlTable!T:T,1,0),"尚未處理")&lt;&gt;"尚未處理","已處理","尚未處理"),"")</f>
        <v/>
      </c>
      <c r="B1443" s="2"/>
      <c r="C1443" s="2"/>
      <c r="D1443" s="2"/>
      <c r="E1443" s="2"/>
    </row>
    <row r="1444" spans="1:5" x14ac:dyDescent="0.25">
      <c r="A1444" s="2" t="str">
        <f>IF(B1444&lt;&gt;"",IF(_xlfn.IFNA(VLOOKUP(B1444,OmsControlTable!T:T,1,0),"尚未處理")&lt;&gt;"尚未處理","已處理","尚未處理"),"")</f>
        <v/>
      </c>
      <c r="B1444" s="2"/>
      <c r="C1444" s="2"/>
      <c r="D1444" s="2"/>
      <c r="E1444" s="2"/>
    </row>
    <row r="1445" spans="1:5" x14ac:dyDescent="0.25">
      <c r="A1445" s="2" t="str">
        <f>IF(B1445&lt;&gt;"",IF(_xlfn.IFNA(VLOOKUP(B1445,OmsControlTable!T:T,1,0),"尚未處理")&lt;&gt;"尚未處理","已處理","尚未處理"),"")</f>
        <v/>
      </c>
      <c r="B1445" s="2"/>
      <c r="C1445" s="2"/>
      <c r="D1445" s="2"/>
      <c r="E1445" s="2"/>
    </row>
    <row r="1446" spans="1:5" x14ac:dyDescent="0.25">
      <c r="A1446" s="2" t="str">
        <f>IF(B1446&lt;&gt;"",IF(_xlfn.IFNA(VLOOKUP(B1446,OmsControlTable!T:T,1,0),"尚未處理")&lt;&gt;"尚未處理","已處理","尚未處理"),"")</f>
        <v/>
      </c>
      <c r="B1446" s="2"/>
      <c r="C1446" s="2"/>
      <c r="D1446" s="2"/>
      <c r="E1446" s="2"/>
    </row>
    <row r="1447" spans="1:5" x14ac:dyDescent="0.25">
      <c r="A1447" s="2" t="str">
        <f>IF(B1447&lt;&gt;"",IF(_xlfn.IFNA(VLOOKUP(B1447,OmsControlTable!T:T,1,0),"尚未處理")&lt;&gt;"尚未處理","已處理","尚未處理"),"")</f>
        <v/>
      </c>
      <c r="B1447" s="2"/>
      <c r="C1447" s="2"/>
      <c r="D1447" s="2"/>
      <c r="E1447" s="2"/>
    </row>
    <row r="1448" spans="1:5" x14ac:dyDescent="0.25">
      <c r="A1448" s="2" t="str">
        <f>IF(B1448&lt;&gt;"",IF(_xlfn.IFNA(VLOOKUP(B1448,OmsControlTable!T:T,1,0),"尚未處理")&lt;&gt;"尚未處理","已處理","尚未處理"),"")</f>
        <v/>
      </c>
      <c r="B1448" s="2"/>
      <c r="C1448" s="2"/>
      <c r="D1448" s="2"/>
      <c r="E1448" s="2"/>
    </row>
    <row r="1449" spans="1:5" x14ac:dyDescent="0.25">
      <c r="A1449" s="2" t="str">
        <f>IF(B1449&lt;&gt;"",IF(_xlfn.IFNA(VLOOKUP(B1449,OmsControlTable!T:T,1,0),"尚未處理")&lt;&gt;"尚未處理","已處理","尚未處理"),"")</f>
        <v/>
      </c>
      <c r="B1449" s="2"/>
      <c r="C1449" s="2"/>
      <c r="D1449" s="2"/>
      <c r="E1449" s="2"/>
    </row>
    <row r="1450" spans="1:5" x14ac:dyDescent="0.25">
      <c r="A1450" s="2" t="str">
        <f>IF(B1450&lt;&gt;"",IF(_xlfn.IFNA(VLOOKUP(B1450,OmsControlTable!T:T,1,0),"尚未處理")&lt;&gt;"尚未處理","已處理","尚未處理"),"")</f>
        <v/>
      </c>
      <c r="B1450" s="2"/>
      <c r="C1450" s="2"/>
      <c r="D1450" s="2"/>
      <c r="E1450" s="2"/>
    </row>
    <row r="1451" spans="1:5" x14ac:dyDescent="0.25">
      <c r="A1451" s="2" t="str">
        <f>IF(B1451&lt;&gt;"",IF(_xlfn.IFNA(VLOOKUP(B1451,OmsControlTable!T:T,1,0),"尚未處理")&lt;&gt;"尚未處理","已處理","尚未處理"),"")</f>
        <v/>
      </c>
      <c r="B1451" s="2"/>
      <c r="C1451" s="2"/>
      <c r="D1451" s="2"/>
      <c r="E1451" s="2"/>
    </row>
    <row r="1452" spans="1:5" x14ac:dyDescent="0.25">
      <c r="A1452" s="2" t="str">
        <f>IF(B1452&lt;&gt;"",IF(_xlfn.IFNA(VLOOKUP(B1452,OmsControlTable!T:T,1,0),"尚未處理")&lt;&gt;"尚未處理","已處理","尚未處理"),"")</f>
        <v/>
      </c>
      <c r="B1452" s="2"/>
      <c r="C1452" s="2"/>
      <c r="D1452" s="2"/>
      <c r="E1452" s="2"/>
    </row>
    <row r="1453" spans="1:5" x14ac:dyDescent="0.25">
      <c r="A1453" s="2" t="str">
        <f>IF(B1453&lt;&gt;"",IF(_xlfn.IFNA(VLOOKUP(B1453,OmsControlTable!T:T,1,0),"尚未處理")&lt;&gt;"尚未處理","已處理","尚未處理"),"")</f>
        <v/>
      </c>
      <c r="B1453" s="2"/>
      <c r="C1453" s="2"/>
      <c r="D1453" s="2"/>
      <c r="E1453" s="2"/>
    </row>
    <row r="1454" spans="1:5" x14ac:dyDescent="0.25">
      <c r="A1454" s="2" t="str">
        <f>IF(B1454&lt;&gt;"",IF(_xlfn.IFNA(VLOOKUP(B1454,OmsControlTable!T:T,1,0),"尚未處理")&lt;&gt;"尚未處理","已處理","尚未處理"),"")</f>
        <v/>
      </c>
      <c r="B1454" s="2"/>
      <c r="C1454" s="2"/>
      <c r="D1454" s="2"/>
      <c r="E1454" s="2"/>
    </row>
    <row r="1455" spans="1:5" x14ac:dyDescent="0.25">
      <c r="A1455" s="2" t="str">
        <f>IF(B1455&lt;&gt;"",IF(_xlfn.IFNA(VLOOKUP(B1455,OmsControlTable!T:T,1,0),"尚未處理")&lt;&gt;"尚未處理","已處理","尚未處理"),"")</f>
        <v/>
      </c>
      <c r="B1455" s="2"/>
      <c r="C1455" s="2"/>
      <c r="D1455" s="2"/>
      <c r="E1455" s="2"/>
    </row>
    <row r="1456" spans="1:5" x14ac:dyDescent="0.25">
      <c r="A1456" s="2" t="str">
        <f>IF(B1456&lt;&gt;"",IF(_xlfn.IFNA(VLOOKUP(B1456,OmsControlTable!T:T,1,0),"尚未處理")&lt;&gt;"尚未處理","已處理","尚未處理"),"")</f>
        <v/>
      </c>
      <c r="B1456" s="2"/>
      <c r="C1456" s="2"/>
      <c r="D1456" s="2"/>
      <c r="E1456" s="2"/>
    </row>
    <row r="1457" spans="1:5" x14ac:dyDescent="0.25">
      <c r="A1457" s="2" t="str">
        <f>IF(B1457&lt;&gt;"",IF(_xlfn.IFNA(VLOOKUP(B1457,OmsControlTable!T:T,1,0),"尚未處理")&lt;&gt;"尚未處理","已處理","尚未處理"),"")</f>
        <v/>
      </c>
      <c r="B1457" s="2"/>
      <c r="C1457" s="2"/>
      <c r="D1457" s="2"/>
      <c r="E1457" s="2"/>
    </row>
    <row r="1458" spans="1:5" x14ac:dyDescent="0.25">
      <c r="A1458" s="2" t="str">
        <f>IF(B1458&lt;&gt;"",IF(_xlfn.IFNA(VLOOKUP(B1458,OmsControlTable!T:T,1,0),"尚未處理")&lt;&gt;"尚未處理","已處理","尚未處理"),"")</f>
        <v/>
      </c>
      <c r="B1458" s="2"/>
      <c r="C1458" s="2"/>
      <c r="D1458" s="2"/>
      <c r="E1458" s="2"/>
    </row>
    <row r="1459" spans="1:5" x14ac:dyDescent="0.25">
      <c r="A1459" s="2" t="str">
        <f>IF(B1459&lt;&gt;"",IF(_xlfn.IFNA(VLOOKUP(B1459,OmsControlTable!T:T,1,0),"尚未處理")&lt;&gt;"尚未處理","已處理","尚未處理"),"")</f>
        <v/>
      </c>
      <c r="B1459" s="2"/>
      <c r="C1459" s="2"/>
      <c r="D1459" s="2"/>
      <c r="E1459" s="2"/>
    </row>
    <row r="1460" spans="1:5" x14ac:dyDescent="0.25">
      <c r="A1460" s="2" t="str">
        <f>IF(B1460&lt;&gt;"",IF(_xlfn.IFNA(VLOOKUP(B1460,OmsControlTable!T:T,1,0),"尚未處理")&lt;&gt;"尚未處理","已處理","尚未處理"),"")</f>
        <v/>
      </c>
      <c r="B1460" s="2"/>
      <c r="C1460" s="2"/>
      <c r="D1460" s="2"/>
      <c r="E1460" s="2"/>
    </row>
    <row r="1461" spans="1:5" x14ac:dyDescent="0.25">
      <c r="A1461" s="2" t="str">
        <f>IF(B1461&lt;&gt;"",IF(_xlfn.IFNA(VLOOKUP(B1461,OmsControlTable!T:T,1,0),"尚未處理")&lt;&gt;"尚未處理","已處理","尚未處理"),"")</f>
        <v/>
      </c>
      <c r="B1461" s="2"/>
      <c r="C1461" s="2"/>
      <c r="D1461" s="2"/>
      <c r="E1461" s="2"/>
    </row>
    <row r="1462" spans="1:5" x14ac:dyDescent="0.25">
      <c r="A1462" s="2" t="str">
        <f>IF(B1462&lt;&gt;"",IF(_xlfn.IFNA(VLOOKUP(B1462,OmsControlTable!T:T,1,0),"尚未處理")&lt;&gt;"尚未處理","已處理","尚未處理"),"")</f>
        <v/>
      </c>
      <c r="B1462" s="2"/>
      <c r="C1462" s="2"/>
      <c r="D1462" s="2"/>
      <c r="E1462" s="2"/>
    </row>
    <row r="1463" spans="1:5" x14ac:dyDescent="0.25">
      <c r="A1463" s="2" t="str">
        <f>IF(B1463&lt;&gt;"",IF(_xlfn.IFNA(VLOOKUP(B1463,OmsControlTable!T:T,1,0),"尚未處理")&lt;&gt;"尚未處理","已處理","尚未處理"),"")</f>
        <v/>
      </c>
      <c r="B1463" s="2"/>
      <c r="C1463" s="2"/>
      <c r="D1463" s="2"/>
      <c r="E1463" s="2"/>
    </row>
    <row r="1464" spans="1:5" x14ac:dyDescent="0.25">
      <c r="A1464" s="2" t="str">
        <f>IF(B1464&lt;&gt;"",IF(_xlfn.IFNA(VLOOKUP(B1464,OmsControlTable!T:T,1,0),"尚未處理")&lt;&gt;"尚未處理","已處理","尚未處理"),"")</f>
        <v/>
      </c>
      <c r="B1464" s="2"/>
      <c r="C1464" s="2"/>
      <c r="D1464" s="2"/>
      <c r="E1464" s="2"/>
    </row>
    <row r="1465" spans="1:5" x14ac:dyDescent="0.25">
      <c r="A1465" s="2" t="str">
        <f>IF(B1465&lt;&gt;"",IF(_xlfn.IFNA(VLOOKUP(B1465,OmsControlTable!T:T,1,0),"尚未處理")&lt;&gt;"尚未處理","已處理","尚未處理"),"")</f>
        <v/>
      </c>
      <c r="B1465" s="2"/>
      <c r="C1465" s="2"/>
      <c r="D1465" s="2"/>
      <c r="E1465" s="2"/>
    </row>
    <row r="1466" spans="1:5" x14ac:dyDescent="0.25">
      <c r="A1466" s="2" t="str">
        <f>IF(B1466&lt;&gt;"",IF(_xlfn.IFNA(VLOOKUP(B1466,OmsControlTable!T:T,1,0),"尚未處理")&lt;&gt;"尚未處理","已處理","尚未處理"),"")</f>
        <v/>
      </c>
      <c r="B1466" s="2"/>
      <c r="C1466" s="2"/>
      <c r="D1466" s="2"/>
      <c r="E1466" s="2"/>
    </row>
    <row r="1467" spans="1:5" x14ac:dyDescent="0.25">
      <c r="A1467" s="2" t="str">
        <f>IF(B1467&lt;&gt;"",IF(_xlfn.IFNA(VLOOKUP(B1467,OmsControlTable!T:T,1,0),"尚未處理")&lt;&gt;"尚未處理","已處理","尚未處理"),"")</f>
        <v/>
      </c>
      <c r="B1467" s="2"/>
      <c r="C1467" s="2"/>
      <c r="D1467" s="2"/>
      <c r="E1467" s="2"/>
    </row>
    <row r="1468" spans="1:5" x14ac:dyDescent="0.25">
      <c r="A1468" s="2" t="str">
        <f>IF(B1468&lt;&gt;"",IF(_xlfn.IFNA(VLOOKUP(B1468,OmsControlTable!T:T,1,0),"尚未處理")&lt;&gt;"尚未處理","已處理","尚未處理"),"")</f>
        <v/>
      </c>
      <c r="B1468" s="2"/>
      <c r="C1468" s="2"/>
      <c r="D1468" s="2"/>
      <c r="E1468" s="2"/>
    </row>
    <row r="1469" spans="1:5" x14ac:dyDescent="0.25">
      <c r="A1469" s="2" t="str">
        <f>IF(B1469&lt;&gt;"",IF(_xlfn.IFNA(VLOOKUP(B1469,OmsControlTable!T:T,1,0),"尚未處理")&lt;&gt;"尚未處理","已處理","尚未處理"),"")</f>
        <v/>
      </c>
      <c r="B1469" s="2"/>
      <c r="C1469" s="2"/>
      <c r="D1469" s="2"/>
      <c r="E1469" s="2"/>
    </row>
    <row r="1470" spans="1:5" x14ac:dyDescent="0.25">
      <c r="A1470" s="2" t="str">
        <f>IF(B1470&lt;&gt;"",IF(_xlfn.IFNA(VLOOKUP(B1470,OmsControlTable!T:T,1,0),"尚未處理")&lt;&gt;"尚未處理","已處理","尚未處理"),"")</f>
        <v/>
      </c>
      <c r="B1470" s="2"/>
      <c r="C1470" s="2"/>
      <c r="D1470" s="2"/>
      <c r="E1470" s="2"/>
    </row>
    <row r="1471" spans="1:5" x14ac:dyDescent="0.25">
      <c r="A1471" s="2" t="str">
        <f>IF(B1471&lt;&gt;"",IF(_xlfn.IFNA(VLOOKUP(B1471,OmsControlTable!T:T,1,0),"尚未處理")&lt;&gt;"尚未處理","已處理","尚未處理"),"")</f>
        <v/>
      </c>
      <c r="B1471" s="2"/>
      <c r="C1471" s="2"/>
      <c r="D1471" s="2"/>
      <c r="E1471" s="2"/>
    </row>
    <row r="1472" spans="1:5" x14ac:dyDescent="0.25">
      <c r="A1472" s="2" t="str">
        <f>IF(B1472&lt;&gt;"",IF(_xlfn.IFNA(VLOOKUP(B1472,OmsControlTable!T:T,1,0),"尚未處理")&lt;&gt;"尚未處理","已處理","尚未處理"),"")</f>
        <v/>
      </c>
      <c r="B1472" s="2"/>
      <c r="C1472" s="2"/>
      <c r="D1472" s="2"/>
      <c r="E1472" s="2"/>
    </row>
    <row r="1473" spans="1:5" x14ac:dyDescent="0.25">
      <c r="A1473" s="2" t="str">
        <f>IF(B1473&lt;&gt;"",IF(_xlfn.IFNA(VLOOKUP(B1473,OmsControlTable!T:T,1,0),"尚未處理")&lt;&gt;"尚未處理","已處理","尚未處理"),"")</f>
        <v/>
      </c>
      <c r="B1473" s="2"/>
      <c r="C1473" s="2"/>
      <c r="D1473" s="2"/>
      <c r="E1473" s="2"/>
    </row>
    <row r="1474" spans="1:5" x14ac:dyDescent="0.25">
      <c r="A1474" s="2" t="str">
        <f>IF(B1474&lt;&gt;"",IF(_xlfn.IFNA(VLOOKUP(B1474,OmsControlTable!T:T,1,0),"尚未處理")&lt;&gt;"尚未處理","已處理","尚未處理"),"")</f>
        <v/>
      </c>
      <c r="B1474" s="2"/>
      <c r="C1474" s="2"/>
      <c r="D1474" s="2"/>
      <c r="E1474" s="2"/>
    </row>
    <row r="1475" spans="1:5" x14ac:dyDescent="0.25">
      <c r="A1475" s="2" t="str">
        <f>IF(B1475&lt;&gt;"",IF(_xlfn.IFNA(VLOOKUP(B1475,OmsControlTable!T:T,1,0),"尚未處理")&lt;&gt;"尚未處理","已處理","尚未處理"),"")</f>
        <v/>
      </c>
      <c r="B1475" s="2"/>
      <c r="C1475" s="2"/>
      <c r="D1475" s="2"/>
      <c r="E1475" s="2"/>
    </row>
    <row r="1476" spans="1:5" x14ac:dyDescent="0.25">
      <c r="A1476" s="2" t="str">
        <f>IF(B1476&lt;&gt;"",IF(_xlfn.IFNA(VLOOKUP(B1476,OmsControlTable!T:T,1,0),"尚未處理")&lt;&gt;"尚未處理","已處理","尚未處理"),"")</f>
        <v/>
      </c>
      <c r="B1476" s="2"/>
      <c r="C1476" s="2"/>
      <c r="D1476" s="2"/>
      <c r="E1476" s="2"/>
    </row>
    <row r="1477" spans="1:5" x14ac:dyDescent="0.25">
      <c r="A1477" s="2" t="str">
        <f>IF(B1477&lt;&gt;"",IF(_xlfn.IFNA(VLOOKUP(B1477,OmsControlTable!T:T,1,0),"尚未處理")&lt;&gt;"尚未處理","已處理","尚未處理"),"")</f>
        <v/>
      </c>
      <c r="B1477" s="2"/>
      <c r="C1477" s="2"/>
      <c r="D1477" s="2"/>
      <c r="E1477" s="2"/>
    </row>
    <row r="1478" spans="1:5" x14ac:dyDescent="0.25">
      <c r="A1478" s="2" t="str">
        <f>IF(B1478&lt;&gt;"",IF(_xlfn.IFNA(VLOOKUP(B1478,OmsControlTable!T:T,1,0),"尚未處理")&lt;&gt;"尚未處理","已處理","尚未處理"),"")</f>
        <v/>
      </c>
      <c r="B1478" s="2"/>
      <c r="C1478" s="2"/>
      <c r="D1478" s="2"/>
      <c r="E1478" s="2"/>
    </row>
    <row r="1479" spans="1:5" x14ac:dyDescent="0.25">
      <c r="A1479" s="2" t="str">
        <f>IF(B1479&lt;&gt;"",IF(_xlfn.IFNA(VLOOKUP(B1479,OmsControlTable!T:T,1,0),"尚未處理")&lt;&gt;"尚未處理","已處理","尚未處理"),"")</f>
        <v/>
      </c>
      <c r="B1479" s="2"/>
      <c r="C1479" s="2"/>
      <c r="D1479" s="2"/>
      <c r="E1479" s="2"/>
    </row>
    <row r="1480" spans="1:5" x14ac:dyDescent="0.25">
      <c r="A1480" s="2" t="str">
        <f>IF(B1480&lt;&gt;"",IF(_xlfn.IFNA(VLOOKUP(B1480,OmsControlTable!T:T,1,0),"尚未處理")&lt;&gt;"尚未處理","已處理","尚未處理"),"")</f>
        <v/>
      </c>
      <c r="B1480" s="2"/>
      <c r="C1480" s="2"/>
      <c r="D1480" s="2"/>
      <c r="E1480" s="2"/>
    </row>
    <row r="1481" spans="1:5" x14ac:dyDescent="0.25">
      <c r="A1481" s="2" t="str">
        <f>IF(B1481&lt;&gt;"",IF(_xlfn.IFNA(VLOOKUP(B1481,OmsControlTable!T:T,1,0),"尚未處理")&lt;&gt;"尚未處理","已處理","尚未處理"),"")</f>
        <v/>
      </c>
      <c r="B1481" s="2"/>
      <c r="C1481" s="2"/>
      <c r="D1481" s="2"/>
      <c r="E1481" s="2"/>
    </row>
    <row r="1482" spans="1:5" x14ac:dyDescent="0.25">
      <c r="A1482" s="2" t="str">
        <f>IF(B1482&lt;&gt;"",IF(_xlfn.IFNA(VLOOKUP(B1482,OmsControlTable!T:T,1,0),"尚未處理")&lt;&gt;"尚未處理","已處理","尚未處理"),"")</f>
        <v/>
      </c>
      <c r="B1482" s="2"/>
      <c r="C1482" s="2"/>
      <c r="D1482" s="2"/>
      <c r="E1482" s="2"/>
    </row>
    <row r="1483" spans="1:5" x14ac:dyDescent="0.25">
      <c r="A1483" s="2" t="str">
        <f>IF(B1483&lt;&gt;"",IF(_xlfn.IFNA(VLOOKUP(B1483,OmsControlTable!T:T,1,0),"尚未處理")&lt;&gt;"尚未處理","已處理","尚未處理"),"")</f>
        <v/>
      </c>
      <c r="B1483" s="2"/>
      <c r="C1483" s="2"/>
      <c r="D1483" s="2"/>
      <c r="E1483" s="2"/>
    </row>
    <row r="1484" spans="1:5" x14ac:dyDescent="0.25">
      <c r="A1484" s="2" t="str">
        <f>IF(B1484&lt;&gt;"",IF(_xlfn.IFNA(VLOOKUP(B1484,OmsControlTable!T:T,1,0),"尚未處理")&lt;&gt;"尚未處理","已處理","尚未處理"),"")</f>
        <v/>
      </c>
      <c r="B1484" s="2"/>
      <c r="C1484" s="2"/>
      <c r="D1484" s="2"/>
      <c r="E1484" s="2"/>
    </row>
    <row r="1485" spans="1:5" x14ac:dyDescent="0.25">
      <c r="A1485" s="2" t="str">
        <f>IF(B1485&lt;&gt;"",IF(_xlfn.IFNA(VLOOKUP(B1485,OmsControlTable!T:T,1,0),"尚未處理")&lt;&gt;"尚未處理","已處理","尚未處理"),"")</f>
        <v/>
      </c>
      <c r="B1485" s="2"/>
      <c r="C1485" s="2"/>
      <c r="D1485" s="2"/>
      <c r="E1485" s="2"/>
    </row>
    <row r="1486" spans="1:5" x14ac:dyDescent="0.25">
      <c r="A1486" s="2" t="str">
        <f>IF(B1486&lt;&gt;"",IF(_xlfn.IFNA(VLOOKUP(B1486,OmsControlTable!T:T,1,0),"尚未處理")&lt;&gt;"尚未處理","已處理","尚未處理"),"")</f>
        <v/>
      </c>
      <c r="B1486" s="2"/>
      <c r="C1486" s="2"/>
      <c r="D1486" s="2"/>
      <c r="E1486" s="2"/>
    </row>
    <row r="1487" spans="1:5" x14ac:dyDescent="0.25">
      <c r="A1487" s="2" t="str">
        <f>IF(B1487&lt;&gt;"",IF(_xlfn.IFNA(VLOOKUP(B1487,OmsControlTable!T:T,1,0),"尚未處理")&lt;&gt;"尚未處理","已處理","尚未處理"),"")</f>
        <v/>
      </c>
      <c r="B1487" s="2"/>
      <c r="C1487" s="2"/>
      <c r="D1487" s="2"/>
      <c r="E1487" s="2"/>
    </row>
    <row r="1488" spans="1:5" x14ac:dyDescent="0.25">
      <c r="A1488" s="2" t="str">
        <f>IF(B1488&lt;&gt;"",IF(_xlfn.IFNA(VLOOKUP(B1488,OmsControlTable!T:T,1,0),"尚未處理")&lt;&gt;"尚未處理","已處理","尚未處理"),"")</f>
        <v/>
      </c>
      <c r="B1488" s="2"/>
      <c r="C1488" s="2"/>
      <c r="D1488" s="2"/>
      <c r="E1488" s="2"/>
    </row>
    <row r="1489" spans="1:5" x14ac:dyDescent="0.25">
      <c r="A1489" s="2" t="str">
        <f>IF(B1489&lt;&gt;"",IF(_xlfn.IFNA(VLOOKUP(B1489,OmsControlTable!T:T,1,0),"尚未處理")&lt;&gt;"尚未處理","已處理","尚未處理"),"")</f>
        <v/>
      </c>
      <c r="B1489" s="2"/>
      <c r="C1489" s="2"/>
      <c r="D1489" s="2"/>
      <c r="E1489" s="2"/>
    </row>
    <row r="1490" spans="1:5" x14ac:dyDescent="0.25">
      <c r="A1490" s="2" t="str">
        <f>IF(B1490&lt;&gt;"",IF(_xlfn.IFNA(VLOOKUP(B1490,OmsControlTable!T:T,1,0),"尚未處理")&lt;&gt;"尚未處理","已處理","尚未處理"),"")</f>
        <v/>
      </c>
      <c r="B1490" s="2"/>
      <c r="C1490" s="2"/>
      <c r="D1490" s="2"/>
      <c r="E1490" s="2"/>
    </row>
    <row r="1491" spans="1:5" x14ac:dyDescent="0.25">
      <c r="A1491" s="2" t="str">
        <f>IF(B1491&lt;&gt;"",IF(_xlfn.IFNA(VLOOKUP(B1491,OmsControlTable!T:T,1,0),"尚未處理")&lt;&gt;"尚未處理","已處理","尚未處理"),"")</f>
        <v/>
      </c>
      <c r="B1491" s="2"/>
      <c r="C1491" s="2"/>
      <c r="D1491" s="2"/>
      <c r="E1491" s="2"/>
    </row>
    <row r="1492" spans="1:5" x14ac:dyDescent="0.25">
      <c r="A1492" s="2" t="str">
        <f>IF(B1492&lt;&gt;"",IF(_xlfn.IFNA(VLOOKUP(B1492,OmsControlTable!T:T,1,0),"尚未處理")&lt;&gt;"尚未處理","已處理","尚未處理"),"")</f>
        <v/>
      </c>
      <c r="B1492" s="2"/>
      <c r="C1492" s="2"/>
      <c r="D1492" s="2"/>
      <c r="E1492" s="2"/>
    </row>
    <row r="1493" spans="1:5" x14ac:dyDescent="0.25">
      <c r="A1493" s="2" t="str">
        <f>IF(B1493&lt;&gt;"",IF(_xlfn.IFNA(VLOOKUP(B1493,OmsControlTable!T:T,1,0),"尚未處理")&lt;&gt;"尚未處理","已處理","尚未處理"),"")</f>
        <v/>
      </c>
      <c r="B1493" s="2"/>
      <c r="C1493" s="2"/>
      <c r="D1493" s="2"/>
      <c r="E1493" s="2"/>
    </row>
    <row r="1494" spans="1:5" x14ac:dyDescent="0.25">
      <c r="A1494" s="2" t="str">
        <f>IF(B1494&lt;&gt;"",IF(_xlfn.IFNA(VLOOKUP(B1494,OmsControlTable!T:T,1,0),"尚未處理")&lt;&gt;"尚未處理","已處理","尚未處理"),"")</f>
        <v/>
      </c>
      <c r="B1494" s="2"/>
      <c r="C1494" s="2"/>
      <c r="D1494" s="2"/>
      <c r="E1494" s="2"/>
    </row>
    <row r="1495" spans="1:5" x14ac:dyDescent="0.25">
      <c r="A1495" s="2" t="str">
        <f>IF(B1495&lt;&gt;"",IF(_xlfn.IFNA(VLOOKUP(B1495,OmsControlTable!T:T,1,0),"尚未處理")&lt;&gt;"尚未處理","已處理","尚未處理"),"")</f>
        <v/>
      </c>
      <c r="B1495" s="2"/>
      <c r="C1495" s="2"/>
      <c r="D1495" s="2"/>
      <c r="E1495" s="2"/>
    </row>
    <row r="1496" spans="1:5" x14ac:dyDescent="0.25">
      <c r="A1496" s="2" t="str">
        <f>IF(B1496&lt;&gt;"",IF(_xlfn.IFNA(VLOOKUP(B1496,OmsControlTable!T:T,1,0),"尚未處理")&lt;&gt;"尚未處理","已處理","尚未處理"),"")</f>
        <v/>
      </c>
      <c r="B1496" s="2"/>
      <c r="C1496" s="2"/>
      <c r="D1496" s="2"/>
      <c r="E1496" s="2"/>
    </row>
    <row r="1497" spans="1:5" x14ac:dyDescent="0.25">
      <c r="A1497" s="2" t="str">
        <f>IF(B1497&lt;&gt;"",IF(_xlfn.IFNA(VLOOKUP(B1497,OmsControlTable!T:T,1,0),"尚未處理")&lt;&gt;"尚未處理","已處理","尚未處理"),"")</f>
        <v/>
      </c>
      <c r="B1497" s="2"/>
      <c r="C1497" s="2"/>
      <c r="D1497" s="2"/>
      <c r="E1497" s="2"/>
    </row>
    <row r="1498" spans="1:5" x14ac:dyDescent="0.25">
      <c r="A1498" s="2" t="str">
        <f>IF(B1498&lt;&gt;"",IF(_xlfn.IFNA(VLOOKUP(B1498,OmsControlTable!T:T,1,0),"尚未處理")&lt;&gt;"尚未處理","已處理","尚未處理"),"")</f>
        <v/>
      </c>
      <c r="B1498" s="2"/>
      <c r="C1498" s="2"/>
      <c r="D1498" s="2"/>
      <c r="E1498" s="2"/>
    </row>
    <row r="1499" spans="1:5" x14ac:dyDescent="0.25">
      <c r="A1499" s="2" t="str">
        <f>IF(B1499&lt;&gt;"",IF(_xlfn.IFNA(VLOOKUP(B1499,OmsControlTable!T:T,1,0),"尚未處理")&lt;&gt;"尚未處理","已處理","尚未處理"),"")</f>
        <v/>
      </c>
      <c r="B1499" s="2"/>
      <c r="C1499" s="2"/>
      <c r="D1499" s="2"/>
      <c r="E1499" s="2"/>
    </row>
    <row r="1500" spans="1:5" x14ac:dyDescent="0.25">
      <c r="A1500" s="2" t="str">
        <f>IF(B1500&lt;&gt;"",IF(_xlfn.IFNA(VLOOKUP(B1500,OmsControlTable!T:T,1,0),"尚未處理")&lt;&gt;"尚未處理","已處理","尚未處理"),"")</f>
        <v/>
      </c>
      <c r="B1500" s="2"/>
      <c r="C1500" s="2"/>
      <c r="D1500" s="2"/>
      <c r="E1500" s="2"/>
    </row>
    <row r="1501" spans="1:5" x14ac:dyDescent="0.25">
      <c r="A1501" s="2" t="str">
        <f>IF(B1501&lt;&gt;"",IF(_xlfn.IFNA(VLOOKUP(B1501,OmsControlTable!T:T,1,0),"尚未處理")&lt;&gt;"尚未處理","已處理","尚未處理"),"")</f>
        <v/>
      </c>
      <c r="B1501" s="2"/>
      <c r="C1501" s="2"/>
      <c r="D1501" s="2"/>
      <c r="E1501" s="2"/>
    </row>
    <row r="1502" spans="1:5" x14ac:dyDescent="0.25">
      <c r="A1502" s="2" t="str">
        <f>IF(B1502&lt;&gt;"",IF(_xlfn.IFNA(VLOOKUP(B1502,OmsControlTable!T:T,1,0),"尚未處理")&lt;&gt;"尚未處理","已處理","尚未處理"),"")</f>
        <v/>
      </c>
      <c r="B1502" s="2"/>
      <c r="C1502" s="2"/>
      <c r="D1502" s="2"/>
      <c r="E1502" s="2"/>
    </row>
    <row r="1503" spans="1:5" x14ac:dyDescent="0.25">
      <c r="A1503" s="2" t="str">
        <f>IF(B1503&lt;&gt;"",IF(_xlfn.IFNA(VLOOKUP(B1503,OmsControlTable!T:T,1,0),"尚未處理")&lt;&gt;"尚未處理","已處理","尚未處理"),"")</f>
        <v/>
      </c>
      <c r="B1503" s="2"/>
      <c r="C1503" s="2"/>
      <c r="D1503" s="2"/>
      <c r="E1503" s="2"/>
    </row>
    <row r="1504" spans="1:5" x14ac:dyDescent="0.25">
      <c r="A1504" s="2" t="str">
        <f>IF(B1504&lt;&gt;"",IF(_xlfn.IFNA(VLOOKUP(B1504,OmsControlTable!T:T,1,0),"尚未處理")&lt;&gt;"尚未處理","已處理","尚未處理"),"")</f>
        <v/>
      </c>
      <c r="B1504" s="2"/>
      <c r="C1504" s="2"/>
      <c r="D1504" s="2"/>
      <c r="E1504" s="2"/>
    </row>
    <row r="1505" spans="1:5" x14ac:dyDescent="0.25">
      <c r="A1505" s="2" t="str">
        <f>IF(B1505&lt;&gt;"",IF(_xlfn.IFNA(VLOOKUP(B1505,OmsControlTable!T:T,1,0),"尚未處理")&lt;&gt;"尚未處理","已處理","尚未處理"),"")</f>
        <v/>
      </c>
      <c r="B1505" s="2"/>
      <c r="C1505" s="2"/>
      <c r="D1505" s="2"/>
      <c r="E1505" s="2"/>
    </row>
    <row r="1506" spans="1:5" x14ac:dyDescent="0.25">
      <c r="A1506" s="2" t="str">
        <f>IF(B1506&lt;&gt;"",IF(_xlfn.IFNA(VLOOKUP(B1506,OmsControlTable!T:T,1,0),"尚未處理")&lt;&gt;"尚未處理","已處理","尚未處理"),"")</f>
        <v/>
      </c>
      <c r="B1506" s="2"/>
      <c r="C1506" s="2"/>
      <c r="D1506" s="2"/>
      <c r="E1506" s="2"/>
    </row>
    <row r="1507" spans="1:5" x14ac:dyDescent="0.25">
      <c r="A1507" s="2" t="str">
        <f>IF(B1507&lt;&gt;"",IF(_xlfn.IFNA(VLOOKUP(B1507,OmsControlTable!T:T,1,0),"尚未處理")&lt;&gt;"尚未處理","已處理","尚未處理"),"")</f>
        <v/>
      </c>
      <c r="B1507" s="2"/>
      <c r="C1507" s="2"/>
      <c r="D1507" s="2"/>
      <c r="E1507" s="2"/>
    </row>
    <row r="1508" spans="1:5" x14ac:dyDescent="0.25">
      <c r="A1508" s="2" t="str">
        <f>IF(B1508&lt;&gt;"",IF(_xlfn.IFNA(VLOOKUP(B1508,OmsControlTable!T:T,1,0),"尚未處理")&lt;&gt;"尚未處理","已處理","尚未處理"),"")</f>
        <v/>
      </c>
      <c r="B1508" s="2"/>
      <c r="C1508" s="2"/>
      <c r="D1508" s="2"/>
      <c r="E1508" s="2"/>
    </row>
    <row r="1509" spans="1:5" x14ac:dyDescent="0.25">
      <c r="A1509" s="2" t="str">
        <f>IF(B1509&lt;&gt;"",IF(_xlfn.IFNA(VLOOKUP(B1509,OmsControlTable!T:T,1,0),"尚未處理")&lt;&gt;"尚未處理","已處理","尚未處理"),"")</f>
        <v/>
      </c>
      <c r="B1509" s="2"/>
      <c r="C1509" s="2"/>
      <c r="D1509" s="2"/>
      <c r="E1509" s="2"/>
    </row>
    <row r="1510" spans="1:5" x14ac:dyDescent="0.25">
      <c r="A1510" s="2" t="str">
        <f>IF(B1510&lt;&gt;"",IF(_xlfn.IFNA(VLOOKUP(B1510,OmsControlTable!T:T,1,0),"尚未處理")&lt;&gt;"尚未處理","已處理","尚未處理"),"")</f>
        <v/>
      </c>
      <c r="B1510" s="2"/>
      <c r="C1510" s="2"/>
      <c r="D1510" s="2"/>
      <c r="E1510" s="2"/>
    </row>
    <row r="1511" spans="1:5" x14ac:dyDescent="0.25">
      <c r="A1511" s="2" t="str">
        <f>IF(B1511&lt;&gt;"",IF(_xlfn.IFNA(VLOOKUP(B1511,OmsControlTable!T:T,1,0),"尚未處理")&lt;&gt;"尚未處理","已處理","尚未處理"),"")</f>
        <v/>
      </c>
      <c r="B1511" s="2"/>
      <c r="C1511" s="2"/>
      <c r="D1511" s="2"/>
      <c r="E1511" s="2"/>
    </row>
    <row r="1512" spans="1:5" x14ac:dyDescent="0.25">
      <c r="A1512" s="2" t="str">
        <f>IF(B1512&lt;&gt;"",IF(_xlfn.IFNA(VLOOKUP(B1512,OmsControlTable!T:T,1,0),"尚未處理")&lt;&gt;"尚未處理","已處理","尚未處理"),"")</f>
        <v/>
      </c>
      <c r="B1512" s="2"/>
      <c r="C1512" s="2"/>
      <c r="D1512" s="2"/>
      <c r="E1512" s="2"/>
    </row>
    <row r="1513" spans="1:5" x14ac:dyDescent="0.25">
      <c r="A1513" s="2" t="str">
        <f>IF(B1513&lt;&gt;"",IF(_xlfn.IFNA(VLOOKUP(B1513,OmsControlTable!T:T,1,0),"尚未處理")&lt;&gt;"尚未處理","已處理","尚未處理"),"")</f>
        <v/>
      </c>
      <c r="B1513" s="2"/>
      <c r="C1513" s="2"/>
      <c r="D1513" s="2"/>
      <c r="E1513" s="2"/>
    </row>
    <row r="1514" spans="1:5" x14ac:dyDescent="0.25">
      <c r="A1514" s="2" t="str">
        <f>IF(B1514&lt;&gt;"",IF(_xlfn.IFNA(VLOOKUP(B1514,OmsControlTable!T:T,1,0),"尚未處理")&lt;&gt;"尚未處理","已處理","尚未處理"),"")</f>
        <v/>
      </c>
      <c r="B1514" s="2"/>
      <c r="C1514" s="2"/>
      <c r="D1514" s="2"/>
      <c r="E1514" s="2"/>
    </row>
    <row r="1515" spans="1:5" x14ac:dyDescent="0.25">
      <c r="A1515" s="2" t="str">
        <f>IF(B1515&lt;&gt;"",IF(_xlfn.IFNA(VLOOKUP(B1515,OmsControlTable!T:T,1,0),"尚未處理")&lt;&gt;"尚未處理","已處理","尚未處理"),"")</f>
        <v/>
      </c>
      <c r="B1515" s="2"/>
      <c r="C1515" s="2"/>
      <c r="D1515" s="2"/>
      <c r="E1515" s="2"/>
    </row>
    <row r="1516" spans="1:5" x14ac:dyDescent="0.25">
      <c r="A1516" s="2" t="str">
        <f>IF(B1516&lt;&gt;"",IF(_xlfn.IFNA(VLOOKUP(B1516,OmsControlTable!T:T,1,0),"尚未處理")&lt;&gt;"尚未處理","已處理","尚未處理"),"")</f>
        <v/>
      </c>
      <c r="B1516" s="2"/>
      <c r="C1516" s="2"/>
      <c r="D1516" s="2"/>
      <c r="E1516" s="2"/>
    </row>
    <row r="1517" spans="1:5" x14ac:dyDescent="0.25">
      <c r="A1517" s="2" t="str">
        <f>IF(B1517&lt;&gt;"",IF(_xlfn.IFNA(VLOOKUP(B1517,OmsControlTable!T:T,1,0),"尚未處理")&lt;&gt;"尚未處理","已處理","尚未處理"),"")</f>
        <v/>
      </c>
      <c r="B1517" s="2"/>
      <c r="C1517" s="2"/>
      <c r="D1517" s="2"/>
      <c r="E1517" s="2"/>
    </row>
    <row r="1518" spans="1:5" x14ac:dyDescent="0.25">
      <c r="A1518" s="2" t="str">
        <f>IF(B1518&lt;&gt;"",IF(_xlfn.IFNA(VLOOKUP(B1518,OmsControlTable!T:T,1,0),"尚未處理")&lt;&gt;"尚未處理","已處理","尚未處理"),"")</f>
        <v/>
      </c>
      <c r="B1518" s="2"/>
      <c r="C1518" s="2"/>
      <c r="D1518" s="2"/>
      <c r="E1518" s="2"/>
    </row>
    <row r="1519" spans="1:5" x14ac:dyDescent="0.25">
      <c r="A1519" s="2" t="str">
        <f>IF(B1519&lt;&gt;"",IF(_xlfn.IFNA(VLOOKUP(B1519,OmsControlTable!T:T,1,0),"尚未處理")&lt;&gt;"尚未處理","已處理","尚未處理"),"")</f>
        <v/>
      </c>
      <c r="B1519" s="2"/>
      <c r="C1519" s="2"/>
      <c r="D1519" s="2"/>
      <c r="E1519" s="2"/>
    </row>
    <row r="1520" spans="1:5" x14ac:dyDescent="0.25">
      <c r="A1520" s="2" t="str">
        <f>IF(B1520&lt;&gt;"",IF(_xlfn.IFNA(VLOOKUP(B1520,OmsControlTable!T:T,1,0),"尚未處理")&lt;&gt;"尚未處理","已處理","尚未處理"),"")</f>
        <v/>
      </c>
      <c r="B1520" s="2"/>
      <c r="C1520" s="2"/>
      <c r="D1520" s="2"/>
      <c r="E1520" s="2"/>
    </row>
    <row r="1521" spans="1:5" x14ac:dyDescent="0.25">
      <c r="A1521" s="2" t="str">
        <f>IF(B1521&lt;&gt;"",IF(_xlfn.IFNA(VLOOKUP(B1521,OmsControlTable!T:T,1,0),"尚未處理")&lt;&gt;"尚未處理","已處理","尚未處理"),"")</f>
        <v/>
      </c>
      <c r="B1521" s="2"/>
      <c r="C1521" s="2"/>
      <c r="D1521" s="2"/>
      <c r="E1521" s="2"/>
    </row>
    <row r="1522" spans="1:5" x14ac:dyDescent="0.25">
      <c r="A1522" s="2" t="str">
        <f>IF(B1522&lt;&gt;"",IF(_xlfn.IFNA(VLOOKUP(B1522,OmsControlTable!T:T,1,0),"尚未處理")&lt;&gt;"尚未處理","已處理","尚未處理"),"")</f>
        <v/>
      </c>
      <c r="B1522" s="2"/>
      <c r="C1522" s="2"/>
      <c r="D1522" s="2"/>
      <c r="E1522" s="2"/>
    </row>
    <row r="1523" spans="1:5" x14ac:dyDescent="0.25">
      <c r="A1523" s="2" t="str">
        <f>IF(B1523&lt;&gt;"",IF(_xlfn.IFNA(VLOOKUP(B1523,OmsControlTable!T:T,1,0),"尚未處理")&lt;&gt;"尚未處理","已處理","尚未處理"),"")</f>
        <v/>
      </c>
      <c r="B1523" s="2"/>
      <c r="C1523" s="2"/>
      <c r="D1523" s="2"/>
      <c r="E1523" s="2"/>
    </row>
    <row r="1524" spans="1:5" x14ac:dyDescent="0.25">
      <c r="A1524" s="2" t="str">
        <f>IF(B1524&lt;&gt;"",IF(_xlfn.IFNA(VLOOKUP(B1524,OmsControlTable!T:T,1,0),"尚未處理")&lt;&gt;"尚未處理","已處理","尚未處理"),"")</f>
        <v/>
      </c>
      <c r="B1524" s="2"/>
      <c r="C1524" s="2"/>
      <c r="D1524" s="2"/>
      <c r="E1524" s="2"/>
    </row>
    <row r="1525" spans="1:5" x14ac:dyDescent="0.25">
      <c r="A1525" s="2" t="str">
        <f>IF(B1525&lt;&gt;"",IF(_xlfn.IFNA(VLOOKUP(B1525,OmsControlTable!T:T,1,0),"尚未處理")&lt;&gt;"尚未處理","已處理","尚未處理"),"")</f>
        <v/>
      </c>
      <c r="B1525" s="2"/>
      <c r="C1525" s="2"/>
      <c r="D1525" s="2"/>
      <c r="E1525" s="2"/>
    </row>
    <row r="1526" spans="1:5" x14ac:dyDescent="0.25">
      <c r="A1526" s="2" t="str">
        <f>IF(B1526&lt;&gt;"",IF(_xlfn.IFNA(VLOOKUP(B1526,OmsControlTable!T:T,1,0),"尚未處理")&lt;&gt;"尚未處理","已處理","尚未處理"),"")</f>
        <v/>
      </c>
      <c r="B1526" s="2"/>
      <c r="C1526" s="2"/>
      <c r="D1526" s="2"/>
      <c r="E1526" s="2"/>
    </row>
    <row r="1527" spans="1:5" x14ac:dyDescent="0.25">
      <c r="A1527" s="2" t="str">
        <f>IF(B1527&lt;&gt;"",IF(_xlfn.IFNA(VLOOKUP(B1527,OmsControlTable!T:T,1,0),"尚未處理")&lt;&gt;"尚未處理","已處理","尚未處理"),"")</f>
        <v/>
      </c>
      <c r="B1527" s="2"/>
      <c r="C1527" s="2"/>
      <c r="D1527" s="2"/>
      <c r="E1527" s="2"/>
    </row>
    <row r="1528" spans="1:5" x14ac:dyDescent="0.25">
      <c r="A1528" s="2" t="str">
        <f>IF(B1528&lt;&gt;"",IF(_xlfn.IFNA(VLOOKUP(B1528,OmsControlTable!T:T,1,0),"尚未處理")&lt;&gt;"尚未處理","已處理","尚未處理"),"")</f>
        <v/>
      </c>
      <c r="B1528" s="2"/>
      <c r="C1528" s="2"/>
      <c r="D1528" s="2"/>
      <c r="E1528" s="2"/>
    </row>
    <row r="1529" spans="1:5" x14ac:dyDescent="0.25">
      <c r="A1529" s="2" t="str">
        <f>IF(B1529&lt;&gt;"",IF(_xlfn.IFNA(VLOOKUP(B1529,OmsControlTable!T:T,1,0),"尚未處理")&lt;&gt;"尚未處理","已處理","尚未處理"),"")</f>
        <v/>
      </c>
      <c r="B1529" s="2"/>
      <c r="C1529" s="2"/>
      <c r="D1529" s="2"/>
      <c r="E1529" s="2"/>
    </row>
    <row r="1530" spans="1:5" x14ac:dyDescent="0.25">
      <c r="A1530" s="2" t="str">
        <f>IF(B1530&lt;&gt;"",IF(_xlfn.IFNA(VLOOKUP(B1530,OmsControlTable!T:T,1,0),"尚未處理")&lt;&gt;"尚未處理","已處理","尚未處理"),"")</f>
        <v/>
      </c>
      <c r="B1530" s="2"/>
      <c r="C1530" s="2"/>
      <c r="D1530" s="2"/>
      <c r="E1530" s="2"/>
    </row>
    <row r="1531" spans="1:5" x14ac:dyDescent="0.25">
      <c r="A1531" s="2" t="str">
        <f>IF(B1531&lt;&gt;"",IF(_xlfn.IFNA(VLOOKUP(B1531,OmsControlTable!T:T,1,0),"尚未處理")&lt;&gt;"尚未處理","已處理","尚未處理"),"")</f>
        <v/>
      </c>
      <c r="B1531" s="2"/>
      <c r="C1531" s="2"/>
      <c r="D1531" s="2"/>
      <c r="E1531" s="2"/>
    </row>
    <row r="1532" spans="1:5" x14ac:dyDescent="0.25">
      <c r="A1532" s="2" t="str">
        <f>IF(B1532&lt;&gt;"",IF(_xlfn.IFNA(VLOOKUP(B1532,OmsControlTable!T:T,1,0),"尚未處理")&lt;&gt;"尚未處理","已處理","尚未處理"),"")</f>
        <v/>
      </c>
      <c r="B1532" s="2"/>
      <c r="C1532" s="2"/>
      <c r="D1532" s="2"/>
      <c r="E1532" s="2"/>
    </row>
    <row r="1533" spans="1:5" x14ac:dyDescent="0.25">
      <c r="A1533" s="2" t="str">
        <f>IF(B1533&lt;&gt;"",IF(_xlfn.IFNA(VLOOKUP(B1533,OmsControlTable!T:T,1,0),"尚未處理")&lt;&gt;"尚未處理","已處理","尚未處理"),"")</f>
        <v/>
      </c>
      <c r="B1533" s="2"/>
      <c r="C1533" s="2"/>
      <c r="D1533" s="2"/>
      <c r="E1533" s="2"/>
    </row>
    <row r="1534" spans="1:5" x14ac:dyDescent="0.25">
      <c r="A1534" s="2" t="str">
        <f>IF(B1534&lt;&gt;"",IF(_xlfn.IFNA(VLOOKUP(B1534,OmsControlTable!T:T,1,0),"尚未處理")&lt;&gt;"尚未處理","已處理","尚未處理"),"")</f>
        <v/>
      </c>
      <c r="B1534" s="2"/>
      <c r="C1534" s="2"/>
      <c r="D1534" s="2"/>
      <c r="E1534" s="2"/>
    </row>
    <row r="1535" spans="1:5" x14ac:dyDescent="0.25">
      <c r="A1535" s="2" t="str">
        <f>IF(B1535&lt;&gt;"",IF(_xlfn.IFNA(VLOOKUP(B1535,OmsControlTable!T:T,1,0),"尚未處理")&lt;&gt;"尚未處理","已處理","尚未處理"),"")</f>
        <v/>
      </c>
      <c r="B1535" s="2"/>
      <c r="C1535" s="2"/>
      <c r="D1535" s="2"/>
      <c r="E1535" s="2"/>
    </row>
    <row r="1536" spans="1:5" x14ac:dyDescent="0.25">
      <c r="A1536" s="2" t="str">
        <f>IF(B1536&lt;&gt;"",IF(_xlfn.IFNA(VLOOKUP(B1536,OmsControlTable!T:T,1,0),"尚未處理")&lt;&gt;"尚未處理","已處理","尚未處理"),"")</f>
        <v/>
      </c>
      <c r="B1536" s="2"/>
      <c r="C1536" s="2"/>
      <c r="D1536" s="2"/>
      <c r="E1536" s="2"/>
    </row>
    <row r="1537" spans="1:5" x14ac:dyDescent="0.25">
      <c r="A1537" s="2" t="str">
        <f>IF(B1537&lt;&gt;"",IF(_xlfn.IFNA(VLOOKUP(B1537,OmsControlTable!T:T,1,0),"尚未處理")&lt;&gt;"尚未處理","已處理","尚未處理"),"")</f>
        <v/>
      </c>
      <c r="B1537" s="2"/>
      <c r="C1537" s="2"/>
      <c r="D1537" s="2"/>
      <c r="E1537" s="2"/>
    </row>
    <row r="1538" spans="1:5" x14ac:dyDescent="0.25">
      <c r="A1538" s="2" t="str">
        <f>IF(B1538&lt;&gt;"",IF(_xlfn.IFNA(VLOOKUP(B1538,OmsControlTable!T:T,1,0),"尚未處理")&lt;&gt;"尚未處理","已處理","尚未處理"),"")</f>
        <v/>
      </c>
      <c r="B1538" s="2"/>
      <c r="C1538" s="2"/>
      <c r="D1538" s="2"/>
      <c r="E1538" s="2"/>
    </row>
    <row r="1539" spans="1:5" x14ac:dyDescent="0.25">
      <c r="A1539" s="2" t="str">
        <f>IF(B1539&lt;&gt;"",IF(_xlfn.IFNA(VLOOKUP(B1539,OmsControlTable!T:T,1,0),"尚未處理")&lt;&gt;"尚未處理","已處理","尚未處理"),"")</f>
        <v/>
      </c>
      <c r="B1539" s="2"/>
      <c r="C1539" s="2"/>
      <c r="D1539" s="2"/>
      <c r="E1539" s="2"/>
    </row>
    <row r="1540" spans="1:5" x14ac:dyDescent="0.25">
      <c r="A1540" s="2" t="str">
        <f>IF(B1540&lt;&gt;"",IF(_xlfn.IFNA(VLOOKUP(B1540,OmsControlTable!T:T,1,0),"尚未處理")&lt;&gt;"尚未處理","已處理","尚未處理"),"")</f>
        <v/>
      </c>
      <c r="B1540" s="2"/>
      <c r="C1540" s="2"/>
      <c r="D1540" s="2"/>
      <c r="E1540" s="2"/>
    </row>
    <row r="1541" spans="1:5" x14ac:dyDescent="0.25">
      <c r="A1541" s="2" t="str">
        <f>IF(B1541&lt;&gt;"",IF(_xlfn.IFNA(VLOOKUP(B1541,OmsControlTable!T:T,1,0),"尚未處理")&lt;&gt;"尚未處理","已處理","尚未處理"),"")</f>
        <v/>
      </c>
      <c r="B1541" s="2"/>
      <c r="C1541" s="2"/>
      <c r="D1541" s="2"/>
      <c r="E1541" s="2"/>
    </row>
    <row r="1542" spans="1:5" x14ac:dyDescent="0.25">
      <c r="A1542" s="2" t="str">
        <f>IF(B1542&lt;&gt;"",IF(_xlfn.IFNA(VLOOKUP(B1542,OmsControlTable!T:T,1,0),"尚未處理")&lt;&gt;"尚未處理","已處理","尚未處理"),"")</f>
        <v/>
      </c>
      <c r="B1542" s="2"/>
      <c r="C1542" s="2"/>
      <c r="D1542" s="2"/>
      <c r="E1542" s="2"/>
    </row>
    <row r="1543" spans="1:5" x14ac:dyDescent="0.25">
      <c r="A1543" s="2" t="str">
        <f>IF(B1543&lt;&gt;"",IF(_xlfn.IFNA(VLOOKUP(B1543,OmsControlTable!T:T,1,0),"尚未處理")&lt;&gt;"尚未處理","已處理","尚未處理"),"")</f>
        <v/>
      </c>
      <c r="B1543" s="2"/>
      <c r="C1543" s="2"/>
      <c r="D1543" s="2"/>
      <c r="E1543" s="2"/>
    </row>
    <row r="1544" spans="1:5" x14ac:dyDescent="0.25">
      <c r="A1544" s="2" t="str">
        <f>IF(B1544&lt;&gt;"",IF(_xlfn.IFNA(VLOOKUP(B1544,OmsControlTable!T:T,1,0),"尚未處理")&lt;&gt;"尚未處理","已處理","尚未處理"),"")</f>
        <v/>
      </c>
      <c r="B1544" s="2"/>
      <c r="C1544" s="2"/>
      <c r="D1544" s="2"/>
      <c r="E1544" s="2"/>
    </row>
    <row r="1545" spans="1:5" x14ac:dyDescent="0.25">
      <c r="A1545" s="2" t="str">
        <f>IF(B1545&lt;&gt;"",IF(_xlfn.IFNA(VLOOKUP(B1545,OmsControlTable!T:T,1,0),"尚未處理")&lt;&gt;"尚未處理","已處理","尚未處理"),"")</f>
        <v/>
      </c>
      <c r="B1545" s="2"/>
      <c r="C1545" s="2"/>
      <c r="D1545" s="2"/>
      <c r="E1545" s="2"/>
    </row>
    <row r="1546" spans="1:5" x14ac:dyDescent="0.25">
      <c r="A1546" s="2" t="str">
        <f>IF(B1546&lt;&gt;"",IF(_xlfn.IFNA(VLOOKUP(B1546,OmsControlTable!T:T,1,0),"尚未處理")&lt;&gt;"尚未處理","已處理","尚未處理"),"")</f>
        <v/>
      </c>
      <c r="B1546" s="2"/>
      <c r="C1546" s="2"/>
      <c r="D1546" s="2"/>
      <c r="E1546" s="2"/>
    </row>
    <row r="1547" spans="1:5" x14ac:dyDescent="0.25">
      <c r="A1547" s="2" t="str">
        <f>IF(B1547&lt;&gt;"",IF(_xlfn.IFNA(VLOOKUP(B1547,OmsControlTable!T:T,1,0),"尚未處理")&lt;&gt;"尚未處理","已處理","尚未處理"),"")</f>
        <v/>
      </c>
      <c r="B1547" s="2"/>
      <c r="C1547" s="2"/>
      <c r="D1547" s="2"/>
      <c r="E1547" s="2"/>
    </row>
    <row r="1548" spans="1:5" x14ac:dyDescent="0.25">
      <c r="A1548" s="2" t="str">
        <f>IF(B1548&lt;&gt;"",IF(_xlfn.IFNA(VLOOKUP(B1548,OmsControlTable!T:T,1,0),"尚未處理")&lt;&gt;"尚未處理","已處理","尚未處理"),"")</f>
        <v/>
      </c>
      <c r="B1548" s="2"/>
      <c r="C1548" s="2"/>
      <c r="D1548" s="2"/>
      <c r="E1548" s="2"/>
    </row>
    <row r="1549" spans="1:5" x14ac:dyDescent="0.25">
      <c r="A1549" s="2" t="str">
        <f>IF(B1549&lt;&gt;"",IF(_xlfn.IFNA(VLOOKUP(B1549,OmsControlTable!T:T,1,0),"尚未處理")&lt;&gt;"尚未處理","已處理","尚未處理"),"")</f>
        <v/>
      </c>
      <c r="B1549" s="2"/>
      <c r="C1549" s="2"/>
      <c r="D1549" s="2"/>
      <c r="E1549" s="2"/>
    </row>
    <row r="1550" spans="1:5" x14ac:dyDescent="0.25">
      <c r="A1550" s="2" t="str">
        <f>IF(B1550&lt;&gt;"",IF(_xlfn.IFNA(VLOOKUP(B1550,OmsControlTable!T:T,1,0),"尚未處理")&lt;&gt;"尚未處理","已處理","尚未處理"),"")</f>
        <v/>
      </c>
      <c r="B1550" s="2"/>
      <c r="C1550" s="2"/>
      <c r="D1550" s="2"/>
      <c r="E1550" s="2"/>
    </row>
    <row r="1551" spans="1:5" x14ac:dyDescent="0.25">
      <c r="A1551" s="2" t="str">
        <f>IF(B1551&lt;&gt;"",IF(_xlfn.IFNA(VLOOKUP(B1551,OmsControlTable!T:T,1,0),"尚未處理")&lt;&gt;"尚未處理","已處理","尚未處理"),"")</f>
        <v/>
      </c>
      <c r="B1551" s="2"/>
      <c r="C1551" s="2"/>
      <c r="D1551" s="2"/>
      <c r="E1551" s="2"/>
    </row>
    <row r="1552" spans="1:5" x14ac:dyDescent="0.25">
      <c r="A1552" s="2" t="str">
        <f>IF(B1552&lt;&gt;"",IF(_xlfn.IFNA(VLOOKUP(B1552,OmsControlTable!T:T,1,0),"尚未處理")&lt;&gt;"尚未處理","已處理","尚未處理"),"")</f>
        <v/>
      </c>
      <c r="B1552" s="2"/>
      <c r="C1552" s="2"/>
      <c r="D1552" s="2"/>
      <c r="E1552" s="2"/>
    </row>
    <row r="1553" spans="1:5" x14ac:dyDescent="0.25">
      <c r="A1553" s="2" t="str">
        <f>IF(B1553&lt;&gt;"",IF(_xlfn.IFNA(VLOOKUP(B1553,OmsControlTable!T:T,1,0),"尚未處理")&lt;&gt;"尚未處理","已處理","尚未處理"),"")</f>
        <v/>
      </c>
      <c r="B1553" s="2"/>
      <c r="C1553" s="2"/>
      <c r="D1553" s="2"/>
      <c r="E1553" s="2"/>
    </row>
    <row r="1554" spans="1:5" x14ac:dyDescent="0.25">
      <c r="A1554" s="2" t="str">
        <f>IF(B1554&lt;&gt;"",IF(_xlfn.IFNA(VLOOKUP(B1554,OmsControlTable!T:T,1,0),"尚未處理")&lt;&gt;"尚未處理","已處理","尚未處理"),"")</f>
        <v/>
      </c>
      <c r="B1554" s="2"/>
      <c r="C1554" s="2"/>
      <c r="D1554" s="2"/>
      <c r="E1554" s="2"/>
    </row>
    <row r="1555" spans="1:5" x14ac:dyDescent="0.25">
      <c r="A1555" s="2" t="str">
        <f>IF(B1555&lt;&gt;"",IF(_xlfn.IFNA(VLOOKUP(B1555,OmsControlTable!T:T,1,0),"尚未處理")&lt;&gt;"尚未處理","已處理","尚未處理"),"")</f>
        <v/>
      </c>
      <c r="B1555" s="2"/>
      <c r="C1555" s="2"/>
      <c r="D1555" s="2"/>
      <c r="E1555" s="2"/>
    </row>
    <row r="1556" spans="1:5" x14ac:dyDescent="0.25">
      <c r="A1556" s="2" t="str">
        <f>IF(B1556&lt;&gt;"",IF(_xlfn.IFNA(VLOOKUP(B1556,OmsControlTable!T:T,1,0),"尚未處理")&lt;&gt;"尚未處理","已處理","尚未處理"),"")</f>
        <v/>
      </c>
      <c r="B1556" s="2"/>
      <c r="C1556" s="2"/>
      <c r="D1556" s="2"/>
      <c r="E1556" s="2"/>
    </row>
    <row r="1557" spans="1:5" x14ac:dyDescent="0.25">
      <c r="A1557" s="2" t="str">
        <f>IF(B1557&lt;&gt;"",IF(_xlfn.IFNA(VLOOKUP(B1557,OmsControlTable!T:T,1,0),"尚未處理")&lt;&gt;"尚未處理","已處理","尚未處理"),"")</f>
        <v/>
      </c>
      <c r="B1557" s="2"/>
      <c r="C1557" s="2"/>
      <c r="D1557" s="2"/>
      <c r="E1557" s="2"/>
    </row>
    <row r="1558" spans="1:5" x14ac:dyDescent="0.25">
      <c r="A1558" s="2" t="str">
        <f>IF(B1558&lt;&gt;"",IF(_xlfn.IFNA(VLOOKUP(B1558,OmsControlTable!T:T,1,0),"尚未處理")&lt;&gt;"尚未處理","已處理","尚未處理"),"")</f>
        <v/>
      </c>
      <c r="B1558" s="2"/>
      <c r="C1558" s="2"/>
      <c r="D1558" s="2"/>
      <c r="E1558" s="2"/>
    </row>
    <row r="1559" spans="1:5" x14ac:dyDescent="0.25">
      <c r="A1559" s="2" t="str">
        <f>IF(B1559&lt;&gt;"",IF(_xlfn.IFNA(VLOOKUP(B1559,OmsControlTable!T:T,1,0),"尚未處理")&lt;&gt;"尚未處理","已處理","尚未處理"),"")</f>
        <v/>
      </c>
      <c r="B1559" s="2"/>
      <c r="C1559" s="2"/>
      <c r="D1559" s="2"/>
      <c r="E1559" s="2"/>
    </row>
    <row r="1560" spans="1:5" x14ac:dyDescent="0.25">
      <c r="A1560" s="2" t="str">
        <f>IF(B1560&lt;&gt;"",IF(_xlfn.IFNA(VLOOKUP(B1560,OmsControlTable!T:T,1,0),"尚未處理")&lt;&gt;"尚未處理","已處理","尚未處理"),"")</f>
        <v/>
      </c>
      <c r="B1560" s="2"/>
      <c r="C1560" s="2"/>
      <c r="D1560" s="2"/>
      <c r="E1560" s="2"/>
    </row>
    <row r="1561" spans="1:5" x14ac:dyDescent="0.25">
      <c r="A1561" s="2" t="str">
        <f>IF(B1561&lt;&gt;"",IF(_xlfn.IFNA(VLOOKUP(B1561,OmsControlTable!T:T,1,0),"尚未處理")&lt;&gt;"尚未處理","已處理","尚未處理"),"")</f>
        <v/>
      </c>
      <c r="B1561" s="2"/>
      <c r="C1561" s="2"/>
      <c r="D1561" s="2"/>
      <c r="E1561" s="2"/>
    </row>
    <row r="1562" spans="1:5" x14ac:dyDescent="0.25">
      <c r="A1562" s="2" t="str">
        <f>IF(B1562&lt;&gt;"",IF(_xlfn.IFNA(VLOOKUP(B1562,OmsControlTable!T:T,1,0),"尚未處理")&lt;&gt;"尚未處理","已處理","尚未處理"),"")</f>
        <v/>
      </c>
      <c r="B1562" s="2"/>
      <c r="C1562" s="2"/>
      <c r="D1562" s="2"/>
      <c r="E1562" s="2"/>
    </row>
    <row r="1563" spans="1:5" x14ac:dyDescent="0.25">
      <c r="A1563" s="2" t="str">
        <f>IF(B1563&lt;&gt;"",IF(_xlfn.IFNA(VLOOKUP(B1563,OmsControlTable!T:T,1,0),"尚未處理")&lt;&gt;"尚未處理","已處理","尚未處理"),"")</f>
        <v/>
      </c>
      <c r="B1563" s="2"/>
      <c r="C1563" s="2"/>
      <c r="D1563" s="2"/>
      <c r="E1563" s="2"/>
    </row>
    <row r="1564" spans="1:5" x14ac:dyDescent="0.25">
      <c r="A1564" s="2" t="str">
        <f>IF(B1564&lt;&gt;"",IF(_xlfn.IFNA(VLOOKUP(B1564,OmsControlTable!T:T,1,0),"尚未處理")&lt;&gt;"尚未處理","已處理","尚未處理"),"")</f>
        <v/>
      </c>
      <c r="B1564" s="2"/>
      <c r="C1564" s="2"/>
      <c r="D1564" s="2"/>
      <c r="E1564" s="2"/>
    </row>
    <row r="1565" spans="1:5" x14ac:dyDescent="0.25">
      <c r="A1565" s="2" t="str">
        <f>IF(B1565&lt;&gt;"",IF(_xlfn.IFNA(VLOOKUP(B1565,OmsControlTable!T:T,1,0),"尚未處理")&lt;&gt;"尚未處理","已處理","尚未處理"),"")</f>
        <v/>
      </c>
      <c r="B1565" s="2"/>
      <c r="C1565" s="2"/>
      <c r="D1565" s="2"/>
      <c r="E1565" s="2"/>
    </row>
    <row r="1566" spans="1:5" x14ac:dyDescent="0.25">
      <c r="A1566" s="2" t="str">
        <f>IF(B1566&lt;&gt;"",IF(_xlfn.IFNA(VLOOKUP(B1566,OmsControlTable!T:T,1,0),"尚未處理")&lt;&gt;"尚未處理","已處理","尚未處理"),"")</f>
        <v/>
      </c>
      <c r="B1566" s="2"/>
      <c r="C1566" s="2"/>
      <c r="D1566" s="2"/>
      <c r="E1566" s="2"/>
    </row>
    <row r="1567" spans="1:5" x14ac:dyDescent="0.25">
      <c r="A1567" s="2" t="str">
        <f>IF(B1567&lt;&gt;"",IF(_xlfn.IFNA(VLOOKUP(B1567,OmsControlTable!T:T,1,0),"尚未處理")&lt;&gt;"尚未處理","已處理","尚未處理"),"")</f>
        <v/>
      </c>
      <c r="B1567" s="2"/>
      <c r="C1567" s="2"/>
      <c r="D1567" s="2"/>
      <c r="E1567" s="2"/>
    </row>
    <row r="1568" spans="1:5" x14ac:dyDescent="0.25">
      <c r="A1568" s="2" t="str">
        <f>IF(B1568&lt;&gt;"",IF(_xlfn.IFNA(VLOOKUP(B1568,OmsControlTable!T:T,1,0),"尚未處理")&lt;&gt;"尚未處理","已處理","尚未處理"),"")</f>
        <v/>
      </c>
      <c r="B1568" s="2"/>
      <c r="C1568" s="2"/>
      <c r="D1568" s="2"/>
      <c r="E1568" s="2"/>
    </row>
    <row r="1569" spans="1:5" x14ac:dyDescent="0.25">
      <c r="A1569" s="2" t="str">
        <f>IF(B1569&lt;&gt;"",IF(_xlfn.IFNA(VLOOKUP(B1569,OmsControlTable!T:T,1,0),"尚未處理")&lt;&gt;"尚未處理","已處理","尚未處理"),"")</f>
        <v/>
      </c>
      <c r="B1569" s="2"/>
      <c r="C1569" s="2"/>
      <c r="D1569" s="2"/>
      <c r="E1569" s="2"/>
    </row>
    <row r="1570" spans="1:5" x14ac:dyDescent="0.25">
      <c r="A1570" s="2" t="str">
        <f>IF(B1570&lt;&gt;"",IF(_xlfn.IFNA(VLOOKUP(B1570,OmsControlTable!T:T,1,0),"尚未處理")&lt;&gt;"尚未處理","已處理","尚未處理"),"")</f>
        <v/>
      </c>
      <c r="B1570" s="2"/>
      <c r="C1570" s="2"/>
      <c r="D1570" s="2"/>
      <c r="E1570" s="2"/>
    </row>
    <row r="1571" spans="1:5" x14ac:dyDescent="0.25">
      <c r="A1571" s="2" t="str">
        <f>IF(B1571&lt;&gt;"",IF(_xlfn.IFNA(VLOOKUP(B1571,OmsControlTable!T:T,1,0),"尚未處理")&lt;&gt;"尚未處理","已處理","尚未處理"),"")</f>
        <v/>
      </c>
      <c r="B1571" s="2"/>
      <c r="C1571" s="2"/>
      <c r="D1571" s="2"/>
      <c r="E1571" s="2"/>
    </row>
    <row r="1572" spans="1:5" x14ac:dyDescent="0.25">
      <c r="A1572" s="2" t="str">
        <f>IF(B1572&lt;&gt;"",IF(_xlfn.IFNA(VLOOKUP(B1572,OmsControlTable!T:T,1,0),"尚未處理")&lt;&gt;"尚未處理","已處理","尚未處理"),"")</f>
        <v/>
      </c>
      <c r="B1572" s="2"/>
      <c r="C1572" s="2"/>
      <c r="D1572" s="2"/>
      <c r="E1572" s="2"/>
    </row>
    <row r="1573" spans="1:5" x14ac:dyDescent="0.25">
      <c r="A1573" s="2" t="str">
        <f>IF(B1573&lt;&gt;"",IF(_xlfn.IFNA(VLOOKUP(B1573,OmsControlTable!T:T,1,0),"尚未處理")&lt;&gt;"尚未處理","已處理","尚未處理"),"")</f>
        <v/>
      </c>
      <c r="B1573" s="2"/>
      <c r="C1573" s="2"/>
      <c r="D1573" s="2"/>
      <c r="E1573" s="2"/>
    </row>
    <row r="1574" spans="1:5" x14ac:dyDescent="0.25">
      <c r="A1574" s="2" t="str">
        <f>IF(B1574&lt;&gt;"",IF(_xlfn.IFNA(VLOOKUP(B1574,OmsControlTable!T:T,1,0),"尚未處理")&lt;&gt;"尚未處理","已處理","尚未處理"),"")</f>
        <v/>
      </c>
      <c r="B1574" s="2"/>
      <c r="C1574" s="2"/>
      <c r="D1574" s="2"/>
      <c r="E1574" s="2"/>
    </row>
    <row r="1575" spans="1:5" x14ac:dyDescent="0.25">
      <c r="A1575" s="2" t="str">
        <f>IF(B1575&lt;&gt;"",IF(_xlfn.IFNA(VLOOKUP(B1575,OmsControlTable!T:T,1,0),"尚未處理")&lt;&gt;"尚未處理","已處理","尚未處理"),"")</f>
        <v/>
      </c>
      <c r="B1575" s="2"/>
      <c r="C1575" s="2"/>
      <c r="D1575" s="2"/>
      <c r="E1575" s="2"/>
    </row>
    <row r="1576" spans="1:5" x14ac:dyDescent="0.25">
      <c r="A1576" s="2" t="str">
        <f>IF(B1576&lt;&gt;"",IF(_xlfn.IFNA(VLOOKUP(B1576,OmsControlTable!T:T,1,0),"尚未處理")&lt;&gt;"尚未處理","已處理","尚未處理"),"")</f>
        <v/>
      </c>
      <c r="B1576" s="2"/>
      <c r="C1576" s="2"/>
      <c r="D1576" s="2"/>
      <c r="E1576" s="2"/>
    </row>
    <row r="1577" spans="1:5" x14ac:dyDescent="0.25">
      <c r="A1577" s="2" t="str">
        <f>IF(B1577&lt;&gt;"",IF(_xlfn.IFNA(VLOOKUP(B1577,OmsControlTable!T:T,1,0),"尚未處理")&lt;&gt;"尚未處理","已處理","尚未處理"),"")</f>
        <v/>
      </c>
      <c r="B1577" s="2"/>
      <c r="C1577" s="2"/>
      <c r="D1577" s="2"/>
      <c r="E1577" s="2"/>
    </row>
    <row r="1578" spans="1:5" x14ac:dyDescent="0.25">
      <c r="A1578" s="2" t="str">
        <f>IF(B1578&lt;&gt;"",IF(_xlfn.IFNA(VLOOKUP(B1578,OmsControlTable!T:T,1,0),"尚未處理")&lt;&gt;"尚未處理","已處理","尚未處理"),"")</f>
        <v/>
      </c>
      <c r="B1578" s="2"/>
      <c r="C1578" s="2"/>
      <c r="D1578" s="2"/>
      <c r="E1578" s="2"/>
    </row>
    <row r="1579" spans="1:5" x14ac:dyDescent="0.25">
      <c r="A1579" s="2" t="str">
        <f>IF(B1579&lt;&gt;"",IF(_xlfn.IFNA(VLOOKUP(B1579,OmsControlTable!T:T,1,0),"尚未處理")&lt;&gt;"尚未處理","已處理","尚未處理"),"")</f>
        <v/>
      </c>
      <c r="B1579" s="2"/>
      <c r="C1579" s="2"/>
      <c r="D1579" s="2"/>
      <c r="E1579" s="2"/>
    </row>
    <row r="1580" spans="1:5" x14ac:dyDescent="0.25">
      <c r="A1580" s="2" t="str">
        <f>IF(B1580&lt;&gt;"",IF(_xlfn.IFNA(VLOOKUP(B1580,OmsControlTable!T:T,1,0),"尚未處理")&lt;&gt;"尚未處理","已處理","尚未處理"),"")</f>
        <v/>
      </c>
      <c r="B1580" s="2"/>
      <c r="C1580" s="2"/>
      <c r="D1580" s="2"/>
      <c r="E1580" s="2"/>
    </row>
    <row r="1581" spans="1:5" x14ac:dyDescent="0.25">
      <c r="A1581" s="2" t="str">
        <f>IF(B1581&lt;&gt;"",IF(_xlfn.IFNA(VLOOKUP(B1581,OmsControlTable!T:T,1,0),"尚未處理")&lt;&gt;"尚未處理","已處理","尚未處理"),"")</f>
        <v/>
      </c>
      <c r="B1581" s="2"/>
      <c r="C1581" s="2"/>
      <c r="D1581" s="2"/>
      <c r="E1581" s="2"/>
    </row>
    <row r="1582" spans="1:5" x14ac:dyDescent="0.25">
      <c r="A1582" s="2" t="str">
        <f>IF(B1582&lt;&gt;"",IF(_xlfn.IFNA(VLOOKUP(B1582,OmsControlTable!T:T,1,0),"尚未處理")&lt;&gt;"尚未處理","已處理","尚未處理"),"")</f>
        <v/>
      </c>
      <c r="B1582" s="2"/>
      <c r="C1582" s="2"/>
      <c r="D1582" s="2"/>
      <c r="E1582" s="2"/>
    </row>
    <row r="1583" spans="1:5" x14ac:dyDescent="0.25">
      <c r="A1583" s="2" t="str">
        <f>IF(B1583&lt;&gt;"",IF(_xlfn.IFNA(VLOOKUP(B1583,OmsControlTable!T:T,1,0),"尚未處理")&lt;&gt;"尚未處理","已處理","尚未處理"),"")</f>
        <v/>
      </c>
      <c r="B1583" s="2"/>
      <c r="C1583" s="2"/>
      <c r="D1583" s="2"/>
      <c r="E1583" s="2"/>
    </row>
    <row r="1584" spans="1:5" x14ac:dyDescent="0.25">
      <c r="A1584" s="2" t="str">
        <f>IF(B1584&lt;&gt;"",IF(_xlfn.IFNA(VLOOKUP(B1584,OmsControlTable!T:T,1,0),"尚未處理")&lt;&gt;"尚未處理","已處理","尚未處理"),"")</f>
        <v/>
      </c>
      <c r="B1584" s="2"/>
      <c r="C1584" s="2"/>
      <c r="D1584" s="2"/>
      <c r="E1584" s="2"/>
    </row>
    <row r="1585" spans="1:5" x14ac:dyDescent="0.25">
      <c r="A1585" s="2" t="str">
        <f>IF(B1585&lt;&gt;"",IF(_xlfn.IFNA(VLOOKUP(B1585,OmsControlTable!T:T,1,0),"尚未處理")&lt;&gt;"尚未處理","已處理","尚未處理"),"")</f>
        <v/>
      </c>
      <c r="B1585" s="2"/>
      <c r="C1585" s="2"/>
      <c r="D1585" s="2"/>
      <c r="E1585" s="2"/>
    </row>
    <row r="1586" spans="1:5" x14ac:dyDescent="0.25">
      <c r="A1586" s="2" t="str">
        <f>IF(B1586&lt;&gt;"",IF(_xlfn.IFNA(VLOOKUP(B1586,OmsControlTable!T:T,1,0),"尚未處理")&lt;&gt;"尚未處理","已處理","尚未處理"),"")</f>
        <v/>
      </c>
      <c r="B1586" s="2"/>
      <c r="C1586" s="2"/>
      <c r="D1586" s="2"/>
      <c r="E1586" s="2"/>
    </row>
    <row r="1587" spans="1:5" x14ac:dyDescent="0.25">
      <c r="A1587" s="2" t="str">
        <f>IF(B1587&lt;&gt;"",IF(_xlfn.IFNA(VLOOKUP(B1587,OmsControlTable!T:T,1,0),"尚未處理")&lt;&gt;"尚未處理","已處理","尚未處理"),"")</f>
        <v/>
      </c>
      <c r="B1587" s="2"/>
      <c r="C1587" s="2"/>
      <c r="D1587" s="2"/>
      <c r="E1587" s="2"/>
    </row>
    <row r="1588" spans="1:5" x14ac:dyDescent="0.25">
      <c r="A1588" s="2" t="str">
        <f>IF(B1588&lt;&gt;"",IF(_xlfn.IFNA(VLOOKUP(B1588,OmsControlTable!T:T,1,0),"尚未處理")&lt;&gt;"尚未處理","已處理","尚未處理"),"")</f>
        <v/>
      </c>
      <c r="B1588" s="2"/>
      <c r="C1588" s="2"/>
      <c r="D1588" s="2"/>
      <c r="E1588" s="2"/>
    </row>
    <row r="1589" spans="1:5" x14ac:dyDescent="0.25">
      <c r="A1589" s="2" t="str">
        <f>IF(B1589&lt;&gt;"",IF(_xlfn.IFNA(VLOOKUP(B1589,OmsControlTable!T:T,1,0),"尚未處理")&lt;&gt;"尚未處理","已處理","尚未處理"),"")</f>
        <v/>
      </c>
      <c r="B1589" s="2"/>
      <c r="C1589" s="2"/>
      <c r="D1589" s="2"/>
      <c r="E1589" s="2"/>
    </row>
    <row r="1590" spans="1:5" x14ac:dyDescent="0.25">
      <c r="A1590" s="2" t="str">
        <f>IF(B1590&lt;&gt;"",IF(_xlfn.IFNA(VLOOKUP(B1590,OmsControlTable!T:T,1,0),"尚未處理")&lt;&gt;"尚未處理","已處理","尚未處理"),"")</f>
        <v/>
      </c>
      <c r="B1590" s="2"/>
      <c r="C1590" s="2"/>
      <c r="D1590" s="2"/>
      <c r="E1590" s="2"/>
    </row>
    <row r="1591" spans="1:5" x14ac:dyDescent="0.25">
      <c r="A1591" s="2" t="str">
        <f>IF(B1591&lt;&gt;"",IF(_xlfn.IFNA(VLOOKUP(B1591,OmsControlTable!T:T,1,0),"尚未處理")&lt;&gt;"尚未處理","已處理","尚未處理"),"")</f>
        <v/>
      </c>
      <c r="B1591" s="2"/>
      <c r="C1591" s="2"/>
      <c r="D1591" s="2"/>
      <c r="E1591" s="2"/>
    </row>
    <row r="1592" spans="1:5" x14ac:dyDescent="0.25">
      <c r="A1592" s="2" t="str">
        <f>IF(B1592&lt;&gt;"",IF(_xlfn.IFNA(VLOOKUP(B1592,OmsControlTable!T:T,1,0),"尚未處理")&lt;&gt;"尚未處理","已處理","尚未處理"),"")</f>
        <v/>
      </c>
      <c r="B1592" s="2"/>
      <c r="C1592" s="2"/>
      <c r="D1592" s="2"/>
      <c r="E1592" s="2"/>
    </row>
    <row r="1593" spans="1:5" x14ac:dyDescent="0.25">
      <c r="A1593" s="2" t="str">
        <f>IF(B1593&lt;&gt;"",IF(_xlfn.IFNA(VLOOKUP(B1593,OmsControlTable!T:T,1,0),"尚未處理")&lt;&gt;"尚未處理","已處理","尚未處理"),"")</f>
        <v/>
      </c>
      <c r="B1593" s="2"/>
      <c r="C1593" s="2"/>
      <c r="D1593" s="2"/>
      <c r="E1593" s="2"/>
    </row>
    <row r="1594" spans="1:5" x14ac:dyDescent="0.25">
      <c r="A1594" s="2" t="str">
        <f>IF(B1594&lt;&gt;"",IF(_xlfn.IFNA(VLOOKUP(B1594,OmsControlTable!T:T,1,0),"尚未處理")&lt;&gt;"尚未處理","已處理","尚未處理"),"")</f>
        <v/>
      </c>
      <c r="B1594" s="2"/>
      <c r="C1594" s="2"/>
      <c r="D1594" s="2"/>
      <c r="E1594" s="2"/>
    </row>
    <row r="1595" spans="1:5" x14ac:dyDescent="0.25">
      <c r="A1595" s="2" t="str">
        <f>IF(B1595&lt;&gt;"",IF(_xlfn.IFNA(VLOOKUP(B1595,OmsControlTable!T:T,1,0),"尚未處理")&lt;&gt;"尚未處理","已處理","尚未處理"),"")</f>
        <v/>
      </c>
      <c r="B1595" s="2"/>
      <c r="C1595" s="2"/>
      <c r="D1595" s="2"/>
      <c r="E1595" s="2"/>
    </row>
    <row r="1596" spans="1:5" x14ac:dyDescent="0.25">
      <c r="A1596" s="2" t="str">
        <f>IF(B1596&lt;&gt;"",IF(_xlfn.IFNA(VLOOKUP(B1596,OmsControlTable!T:T,1,0),"尚未處理")&lt;&gt;"尚未處理","已處理","尚未處理"),"")</f>
        <v/>
      </c>
      <c r="B1596" s="2"/>
      <c r="C1596" s="2"/>
      <c r="D1596" s="2"/>
      <c r="E1596" s="2"/>
    </row>
    <row r="1597" spans="1:5" x14ac:dyDescent="0.25">
      <c r="A1597" s="2" t="str">
        <f>IF(B1597&lt;&gt;"",IF(_xlfn.IFNA(VLOOKUP(B1597,OmsControlTable!T:T,1,0),"尚未處理")&lt;&gt;"尚未處理","已處理","尚未處理"),"")</f>
        <v/>
      </c>
      <c r="B1597" s="2"/>
      <c r="C1597" s="2"/>
      <c r="D1597" s="2"/>
      <c r="E1597" s="2"/>
    </row>
    <row r="1598" spans="1:5" x14ac:dyDescent="0.25">
      <c r="A1598" s="2" t="str">
        <f>IF(B1598&lt;&gt;"",IF(_xlfn.IFNA(VLOOKUP(B1598,OmsControlTable!T:T,1,0),"尚未處理")&lt;&gt;"尚未處理","已處理","尚未處理"),"")</f>
        <v/>
      </c>
      <c r="B1598" s="2"/>
      <c r="C1598" s="2"/>
      <c r="D1598" s="2"/>
      <c r="E1598" s="2"/>
    </row>
    <row r="1599" spans="1:5" x14ac:dyDescent="0.25">
      <c r="A1599" s="2" t="str">
        <f>IF(B1599&lt;&gt;"",IF(_xlfn.IFNA(VLOOKUP(B1599,OmsControlTable!T:T,1,0),"尚未處理")&lt;&gt;"尚未處理","已處理","尚未處理"),"")</f>
        <v/>
      </c>
      <c r="B1599" s="2"/>
      <c r="C1599" s="2"/>
      <c r="D1599" s="2"/>
      <c r="E1599" s="2"/>
    </row>
    <row r="1600" spans="1:5" x14ac:dyDescent="0.25">
      <c r="A1600" s="2" t="str">
        <f>IF(B1600&lt;&gt;"",IF(_xlfn.IFNA(VLOOKUP(B1600,OmsControlTable!T:T,1,0),"尚未處理")&lt;&gt;"尚未處理","已處理","尚未處理"),"")</f>
        <v/>
      </c>
      <c r="B1600" s="2"/>
      <c r="C1600" s="2"/>
      <c r="D1600" s="2"/>
      <c r="E1600" s="2"/>
    </row>
    <row r="1601" spans="1:5" x14ac:dyDescent="0.25">
      <c r="A1601" s="2" t="str">
        <f>IF(B1601&lt;&gt;"",IF(_xlfn.IFNA(VLOOKUP(B1601,OmsControlTable!T:T,1,0),"尚未處理")&lt;&gt;"尚未處理","已處理","尚未處理"),"")</f>
        <v/>
      </c>
      <c r="B1601" s="2"/>
      <c r="C1601" s="2"/>
      <c r="D1601" s="2"/>
      <c r="E1601" s="2"/>
    </row>
    <row r="1602" spans="1:5" x14ac:dyDescent="0.25">
      <c r="A1602" s="2" t="str">
        <f>IF(B1602&lt;&gt;"",IF(_xlfn.IFNA(VLOOKUP(B1602,OmsControlTable!T:T,1,0),"尚未處理")&lt;&gt;"尚未處理","已處理","尚未處理"),"")</f>
        <v/>
      </c>
      <c r="B1602" s="2"/>
      <c r="C1602" s="2"/>
      <c r="D1602" s="2"/>
      <c r="E1602" s="2"/>
    </row>
    <row r="1603" spans="1:5" x14ac:dyDescent="0.25">
      <c r="A1603" s="2" t="str">
        <f>IF(B1603&lt;&gt;"",IF(_xlfn.IFNA(VLOOKUP(B1603,OmsControlTable!T:T,1,0),"尚未處理")&lt;&gt;"尚未處理","已處理","尚未處理"),"")</f>
        <v/>
      </c>
      <c r="B1603" s="2"/>
      <c r="C1603" s="2"/>
      <c r="D1603" s="2"/>
      <c r="E1603" s="2"/>
    </row>
    <row r="1604" spans="1:5" x14ac:dyDescent="0.25">
      <c r="A1604" s="2" t="str">
        <f>IF(B1604&lt;&gt;"",IF(_xlfn.IFNA(VLOOKUP(B1604,OmsControlTable!T:T,1,0),"尚未處理")&lt;&gt;"尚未處理","已處理","尚未處理"),"")</f>
        <v/>
      </c>
      <c r="B1604" s="2"/>
      <c r="C1604" s="2"/>
      <c r="D1604" s="2"/>
      <c r="E1604" s="2"/>
    </row>
    <row r="1605" spans="1:5" x14ac:dyDescent="0.25">
      <c r="A1605" s="2" t="str">
        <f>IF(B1605&lt;&gt;"",IF(_xlfn.IFNA(VLOOKUP(B1605,OmsControlTable!T:T,1,0),"尚未處理")&lt;&gt;"尚未處理","已處理","尚未處理"),"")</f>
        <v/>
      </c>
      <c r="B1605" s="2"/>
      <c r="C1605" s="2"/>
      <c r="D1605" s="2"/>
      <c r="E1605" s="2"/>
    </row>
    <row r="1606" spans="1:5" x14ac:dyDescent="0.25">
      <c r="A1606" s="2" t="str">
        <f>IF(B1606&lt;&gt;"",IF(_xlfn.IFNA(VLOOKUP(B1606,OmsControlTable!T:T,1,0),"尚未處理")&lt;&gt;"尚未處理","已處理","尚未處理"),"")</f>
        <v/>
      </c>
      <c r="B1606" s="2"/>
      <c r="C1606" s="2"/>
      <c r="D1606" s="2"/>
      <c r="E1606" s="2"/>
    </row>
    <row r="1607" spans="1:5" x14ac:dyDescent="0.25">
      <c r="A1607" s="2" t="str">
        <f>IF(B1607&lt;&gt;"",IF(_xlfn.IFNA(VLOOKUP(B1607,OmsControlTable!T:T,1,0),"尚未處理")&lt;&gt;"尚未處理","已處理","尚未處理"),"")</f>
        <v/>
      </c>
      <c r="B1607" s="2"/>
      <c r="C1607" s="2"/>
      <c r="D1607" s="2"/>
      <c r="E1607" s="2"/>
    </row>
    <row r="1608" spans="1:5" x14ac:dyDescent="0.25">
      <c r="A1608" s="2" t="str">
        <f>IF(B1608&lt;&gt;"",IF(_xlfn.IFNA(VLOOKUP(B1608,OmsControlTable!T:T,1,0),"尚未處理")&lt;&gt;"尚未處理","已處理","尚未處理"),"")</f>
        <v/>
      </c>
      <c r="B1608" s="2"/>
      <c r="C1608" s="2"/>
      <c r="D1608" s="2"/>
      <c r="E1608" s="2"/>
    </row>
    <row r="1609" spans="1:5" x14ac:dyDescent="0.25">
      <c r="A1609" s="2" t="str">
        <f>IF(B1609&lt;&gt;"",IF(_xlfn.IFNA(VLOOKUP(B1609,OmsControlTable!T:T,1,0),"尚未處理")&lt;&gt;"尚未處理","已處理","尚未處理"),"")</f>
        <v/>
      </c>
      <c r="B1609" s="2"/>
      <c r="C1609" s="2"/>
      <c r="D1609" s="2"/>
      <c r="E1609" s="2"/>
    </row>
    <row r="1610" spans="1:5" x14ac:dyDescent="0.25">
      <c r="A1610" s="2" t="str">
        <f>IF(B1610&lt;&gt;"",IF(_xlfn.IFNA(VLOOKUP(B1610,OmsControlTable!T:T,1,0),"尚未處理")&lt;&gt;"尚未處理","已處理","尚未處理"),"")</f>
        <v/>
      </c>
      <c r="B1610" s="2"/>
      <c r="C1610" s="2"/>
      <c r="D1610" s="2"/>
      <c r="E1610" s="2"/>
    </row>
    <row r="1611" spans="1:5" x14ac:dyDescent="0.25">
      <c r="A1611" s="2" t="str">
        <f>IF(B1611&lt;&gt;"",IF(_xlfn.IFNA(VLOOKUP(B1611,OmsControlTable!T:T,1,0),"尚未處理")&lt;&gt;"尚未處理","已處理","尚未處理"),"")</f>
        <v/>
      </c>
      <c r="B1611" s="2"/>
      <c r="C1611" s="2"/>
      <c r="D1611" s="2"/>
      <c r="E1611" s="2"/>
    </row>
    <row r="1612" spans="1:5" x14ac:dyDescent="0.25">
      <c r="A1612" s="2" t="str">
        <f>IF(B1612&lt;&gt;"",IF(_xlfn.IFNA(VLOOKUP(B1612,OmsControlTable!T:T,1,0),"尚未處理")&lt;&gt;"尚未處理","已處理","尚未處理"),"")</f>
        <v/>
      </c>
      <c r="B1612" s="2"/>
      <c r="C1612" s="2"/>
      <c r="D1612" s="2"/>
      <c r="E1612" s="2"/>
    </row>
    <row r="1613" spans="1:5" x14ac:dyDescent="0.25">
      <c r="A1613" s="2" t="str">
        <f>IF(B1613&lt;&gt;"",IF(_xlfn.IFNA(VLOOKUP(B1613,OmsControlTable!T:T,1,0),"尚未處理")&lt;&gt;"尚未處理","已處理","尚未處理"),"")</f>
        <v/>
      </c>
      <c r="B1613" s="2"/>
      <c r="C1613" s="2"/>
      <c r="D1613" s="2"/>
      <c r="E1613" s="2"/>
    </row>
    <row r="1614" spans="1:5" x14ac:dyDescent="0.25">
      <c r="A1614" s="2" t="str">
        <f>IF(B1614&lt;&gt;"",IF(_xlfn.IFNA(VLOOKUP(B1614,OmsControlTable!T:T,1,0),"尚未處理")&lt;&gt;"尚未處理","已處理","尚未處理"),"")</f>
        <v/>
      </c>
      <c r="B1614" s="2"/>
      <c r="C1614" s="2"/>
      <c r="D1614" s="2"/>
      <c r="E1614" s="2"/>
    </row>
    <row r="1615" spans="1:5" x14ac:dyDescent="0.25">
      <c r="A1615" s="2" t="str">
        <f>IF(B1615&lt;&gt;"",IF(_xlfn.IFNA(VLOOKUP(B1615,OmsControlTable!T:T,1,0),"尚未處理")&lt;&gt;"尚未處理","已處理","尚未處理"),"")</f>
        <v/>
      </c>
      <c r="B1615" s="2"/>
      <c r="C1615" s="2"/>
      <c r="D1615" s="2"/>
      <c r="E1615" s="2"/>
    </row>
    <row r="1616" spans="1:5" x14ac:dyDescent="0.25">
      <c r="A1616" s="2" t="str">
        <f>IF(B1616&lt;&gt;"",IF(_xlfn.IFNA(VLOOKUP(B1616,OmsControlTable!T:T,1,0),"尚未處理")&lt;&gt;"尚未處理","已處理","尚未處理"),"")</f>
        <v/>
      </c>
      <c r="B1616" s="2"/>
      <c r="C1616" s="2"/>
      <c r="D1616" s="2"/>
      <c r="E1616" s="2"/>
    </row>
    <row r="1617" spans="1:5" x14ac:dyDescent="0.25">
      <c r="A1617" s="2" t="str">
        <f>IF(B1617&lt;&gt;"",IF(_xlfn.IFNA(VLOOKUP(B1617,OmsControlTable!T:T,1,0),"尚未處理")&lt;&gt;"尚未處理","已處理","尚未處理"),"")</f>
        <v/>
      </c>
      <c r="B1617" s="2"/>
      <c r="C1617" s="2"/>
      <c r="D1617" s="2"/>
      <c r="E1617" s="2"/>
    </row>
    <row r="1618" spans="1:5" x14ac:dyDescent="0.25">
      <c r="A1618" s="2" t="str">
        <f>IF(B1618&lt;&gt;"",IF(_xlfn.IFNA(VLOOKUP(B1618,OmsControlTable!T:T,1,0),"尚未處理")&lt;&gt;"尚未處理","已處理","尚未處理"),"")</f>
        <v/>
      </c>
      <c r="B1618" s="2"/>
      <c r="C1618" s="2"/>
      <c r="D1618" s="2"/>
      <c r="E1618" s="2"/>
    </row>
    <row r="1619" spans="1:5" x14ac:dyDescent="0.25">
      <c r="A1619" s="2" t="str">
        <f>IF(B1619&lt;&gt;"",IF(_xlfn.IFNA(VLOOKUP(B1619,OmsControlTable!T:T,1,0),"尚未處理")&lt;&gt;"尚未處理","已處理","尚未處理"),"")</f>
        <v/>
      </c>
      <c r="B1619" s="2"/>
      <c r="C1619" s="2"/>
      <c r="D1619" s="2"/>
      <c r="E1619" s="2"/>
    </row>
    <row r="1620" spans="1:5" x14ac:dyDescent="0.25">
      <c r="A1620" s="2" t="str">
        <f>IF(B1620&lt;&gt;"",IF(_xlfn.IFNA(VLOOKUP(B1620,OmsControlTable!T:T,1,0),"尚未處理")&lt;&gt;"尚未處理","已處理","尚未處理"),"")</f>
        <v/>
      </c>
      <c r="B1620" s="2"/>
      <c r="C1620" s="2"/>
      <c r="D1620" s="2"/>
      <c r="E1620" s="2"/>
    </row>
    <row r="1621" spans="1:5" x14ac:dyDescent="0.25">
      <c r="A1621" s="2" t="str">
        <f>IF(B1621&lt;&gt;"",IF(_xlfn.IFNA(VLOOKUP(B1621,OmsControlTable!T:T,1,0),"尚未處理")&lt;&gt;"尚未處理","已處理","尚未處理"),"")</f>
        <v/>
      </c>
      <c r="B1621" s="2"/>
      <c r="C1621" s="2"/>
      <c r="D1621" s="2"/>
      <c r="E1621" s="2"/>
    </row>
    <row r="1622" spans="1:5" x14ac:dyDescent="0.25">
      <c r="A1622" s="2" t="str">
        <f>IF(B1622&lt;&gt;"",IF(_xlfn.IFNA(VLOOKUP(B1622,OmsControlTable!T:T,1,0),"尚未處理")&lt;&gt;"尚未處理","已處理","尚未處理"),"")</f>
        <v/>
      </c>
      <c r="B1622" s="2"/>
      <c r="C1622" s="2"/>
      <c r="D1622" s="2"/>
      <c r="E1622" s="2"/>
    </row>
    <row r="1623" spans="1:5" x14ac:dyDescent="0.25">
      <c r="A1623" s="2" t="str">
        <f>IF(B1623&lt;&gt;"",IF(_xlfn.IFNA(VLOOKUP(B1623,OmsControlTable!T:T,1,0),"尚未處理")&lt;&gt;"尚未處理","已處理","尚未處理"),"")</f>
        <v/>
      </c>
      <c r="B1623" s="2"/>
      <c r="C1623" s="2"/>
      <c r="D1623" s="2"/>
      <c r="E1623" s="2"/>
    </row>
    <row r="1624" spans="1:5" x14ac:dyDescent="0.25">
      <c r="A1624" s="2" t="str">
        <f>IF(B1624&lt;&gt;"",IF(_xlfn.IFNA(VLOOKUP(B1624,OmsControlTable!T:T,1,0),"尚未處理")&lt;&gt;"尚未處理","已處理","尚未處理"),"")</f>
        <v/>
      </c>
      <c r="B1624" s="2"/>
      <c r="C1624" s="2"/>
      <c r="D1624" s="2"/>
      <c r="E1624" s="2"/>
    </row>
    <row r="1625" spans="1:5" x14ac:dyDescent="0.25">
      <c r="A1625" s="2" t="str">
        <f>IF(B1625&lt;&gt;"",IF(_xlfn.IFNA(VLOOKUP(B1625,OmsControlTable!T:T,1,0),"尚未處理")&lt;&gt;"尚未處理","已處理","尚未處理"),"")</f>
        <v/>
      </c>
      <c r="B1625" s="2"/>
      <c r="C1625" s="2"/>
      <c r="D1625" s="2"/>
      <c r="E1625" s="2"/>
    </row>
    <row r="1626" spans="1:5" x14ac:dyDescent="0.25">
      <c r="A1626" s="2" t="str">
        <f>IF(B1626&lt;&gt;"",IF(_xlfn.IFNA(VLOOKUP(B1626,OmsControlTable!T:T,1,0),"尚未處理")&lt;&gt;"尚未處理","已處理","尚未處理"),"")</f>
        <v/>
      </c>
      <c r="B1626" s="2"/>
      <c r="C1626" s="2"/>
      <c r="D1626" s="2"/>
      <c r="E1626" s="2"/>
    </row>
    <row r="1627" spans="1:5" x14ac:dyDescent="0.25">
      <c r="A1627" s="2" t="str">
        <f>IF(B1627&lt;&gt;"",IF(_xlfn.IFNA(VLOOKUP(B1627,OmsControlTable!T:T,1,0),"尚未處理")&lt;&gt;"尚未處理","已處理","尚未處理"),"")</f>
        <v/>
      </c>
      <c r="B1627" s="2"/>
      <c r="C1627" s="2"/>
      <c r="D1627" s="2"/>
      <c r="E1627" s="2"/>
    </row>
    <row r="1628" spans="1:5" x14ac:dyDescent="0.25">
      <c r="A1628" s="2" t="str">
        <f>IF(B1628&lt;&gt;"",IF(_xlfn.IFNA(VLOOKUP(B1628,OmsControlTable!T:T,1,0),"尚未處理")&lt;&gt;"尚未處理","已處理","尚未處理"),"")</f>
        <v/>
      </c>
      <c r="B1628" s="2"/>
      <c r="C1628" s="2"/>
      <c r="D1628" s="2"/>
      <c r="E1628" s="2"/>
    </row>
    <row r="1629" spans="1:5" x14ac:dyDescent="0.25">
      <c r="A1629" s="2" t="str">
        <f>IF(B1629&lt;&gt;"",IF(_xlfn.IFNA(VLOOKUP(B1629,OmsControlTable!T:T,1,0),"尚未處理")&lt;&gt;"尚未處理","已處理","尚未處理"),"")</f>
        <v/>
      </c>
      <c r="B1629" s="2"/>
      <c r="C1629" s="2"/>
      <c r="D1629" s="2"/>
      <c r="E1629" s="2"/>
    </row>
    <row r="1630" spans="1:5" x14ac:dyDescent="0.25">
      <c r="A1630" s="2" t="str">
        <f>IF(B1630&lt;&gt;"",IF(_xlfn.IFNA(VLOOKUP(B1630,OmsControlTable!T:T,1,0),"尚未處理")&lt;&gt;"尚未處理","已處理","尚未處理"),"")</f>
        <v/>
      </c>
      <c r="B1630" s="2"/>
      <c r="C1630" s="2"/>
      <c r="D1630" s="2"/>
      <c r="E1630" s="2"/>
    </row>
    <row r="1631" spans="1:5" x14ac:dyDescent="0.25">
      <c r="A1631" s="2" t="str">
        <f>IF(B1631&lt;&gt;"",IF(_xlfn.IFNA(VLOOKUP(B1631,OmsControlTable!T:T,1,0),"尚未處理")&lt;&gt;"尚未處理","已處理","尚未處理"),"")</f>
        <v/>
      </c>
      <c r="B1631" s="2"/>
      <c r="C1631" s="2"/>
      <c r="D1631" s="2"/>
      <c r="E1631" s="2"/>
    </row>
    <row r="1632" spans="1:5" x14ac:dyDescent="0.25">
      <c r="A1632" s="2" t="str">
        <f>IF(B1632&lt;&gt;"",IF(_xlfn.IFNA(VLOOKUP(B1632,OmsControlTable!T:T,1,0),"尚未處理")&lt;&gt;"尚未處理","已處理","尚未處理"),"")</f>
        <v/>
      </c>
      <c r="B1632" s="2"/>
      <c r="C1632" s="2"/>
      <c r="D1632" s="2"/>
      <c r="E1632" s="2"/>
    </row>
    <row r="1633" spans="1:5" x14ac:dyDescent="0.25">
      <c r="A1633" s="2" t="str">
        <f>IF(B1633&lt;&gt;"",IF(_xlfn.IFNA(VLOOKUP(B1633,OmsControlTable!T:T,1,0),"尚未處理")&lt;&gt;"尚未處理","已處理","尚未處理"),"")</f>
        <v/>
      </c>
      <c r="B1633" s="2"/>
      <c r="C1633" s="2"/>
      <c r="D1633" s="2"/>
      <c r="E1633" s="2"/>
    </row>
    <row r="1634" spans="1:5" x14ac:dyDescent="0.25">
      <c r="A1634" s="2" t="str">
        <f>IF(B1634&lt;&gt;"",IF(_xlfn.IFNA(VLOOKUP(B1634,OmsControlTable!T:T,1,0),"尚未處理")&lt;&gt;"尚未處理","已處理","尚未處理"),"")</f>
        <v/>
      </c>
      <c r="B1634" s="2"/>
      <c r="C1634" s="2"/>
      <c r="D1634" s="2"/>
      <c r="E1634" s="2"/>
    </row>
    <row r="1635" spans="1:5" x14ac:dyDescent="0.25">
      <c r="A1635" s="2" t="str">
        <f>IF(B1635&lt;&gt;"",IF(_xlfn.IFNA(VLOOKUP(B1635,OmsControlTable!T:T,1,0),"尚未處理")&lt;&gt;"尚未處理","已處理","尚未處理"),"")</f>
        <v/>
      </c>
      <c r="B1635" s="2"/>
      <c r="C1635" s="2"/>
      <c r="D1635" s="2"/>
      <c r="E1635" s="2"/>
    </row>
    <row r="1636" spans="1:5" x14ac:dyDescent="0.25">
      <c r="A1636" s="2" t="str">
        <f>IF(B1636&lt;&gt;"",IF(_xlfn.IFNA(VLOOKUP(B1636,OmsControlTable!T:T,1,0),"尚未處理")&lt;&gt;"尚未處理","已處理","尚未處理"),"")</f>
        <v/>
      </c>
      <c r="B1636" s="2"/>
      <c r="C1636" s="2"/>
      <c r="D1636" s="2"/>
      <c r="E1636" s="2"/>
    </row>
    <row r="1637" spans="1:5" x14ac:dyDescent="0.25">
      <c r="A1637" s="2" t="str">
        <f>IF(B1637&lt;&gt;"",IF(_xlfn.IFNA(VLOOKUP(B1637,OmsControlTable!T:T,1,0),"尚未處理")&lt;&gt;"尚未處理","已處理","尚未處理"),"")</f>
        <v/>
      </c>
      <c r="B1637" s="2"/>
      <c r="C1637" s="2"/>
      <c r="D1637" s="2"/>
      <c r="E1637" s="2"/>
    </row>
    <row r="1638" spans="1:5" x14ac:dyDescent="0.25">
      <c r="A1638" s="2" t="str">
        <f>IF(B1638&lt;&gt;"",IF(_xlfn.IFNA(VLOOKUP(B1638,OmsControlTable!T:T,1,0),"尚未處理")&lt;&gt;"尚未處理","已處理","尚未處理"),"")</f>
        <v/>
      </c>
      <c r="B1638" s="2"/>
      <c r="C1638" s="2"/>
      <c r="D1638" s="2"/>
      <c r="E1638" s="2"/>
    </row>
    <row r="1639" spans="1:5" x14ac:dyDescent="0.25">
      <c r="A1639" s="2" t="str">
        <f>IF(B1639&lt;&gt;"",IF(_xlfn.IFNA(VLOOKUP(B1639,OmsControlTable!T:T,1,0),"尚未處理")&lt;&gt;"尚未處理","已處理","尚未處理"),"")</f>
        <v/>
      </c>
      <c r="B1639" s="2"/>
      <c r="C1639" s="2"/>
      <c r="D1639" s="2"/>
      <c r="E1639" s="2"/>
    </row>
    <row r="1640" spans="1:5" x14ac:dyDescent="0.25">
      <c r="A1640" s="2" t="str">
        <f>IF(B1640&lt;&gt;"",IF(_xlfn.IFNA(VLOOKUP(B1640,OmsControlTable!T:T,1,0),"尚未處理")&lt;&gt;"尚未處理","已處理","尚未處理"),"")</f>
        <v/>
      </c>
      <c r="B1640" s="2"/>
      <c r="C1640" s="2"/>
      <c r="D1640" s="2"/>
      <c r="E1640" s="2"/>
    </row>
    <row r="1641" spans="1:5" x14ac:dyDescent="0.25">
      <c r="A1641" s="2" t="str">
        <f>IF(B1641&lt;&gt;"",IF(_xlfn.IFNA(VLOOKUP(B1641,OmsControlTable!T:T,1,0),"尚未處理")&lt;&gt;"尚未處理","已處理","尚未處理"),"")</f>
        <v/>
      </c>
      <c r="B1641" s="2"/>
      <c r="C1641" s="2"/>
      <c r="D1641" s="2"/>
      <c r="E1641" s="2"/>
    </row>
    <row r="1642" spans="1:5" x14ac:dyDescent="0.25">
      <c r="A1642" s="2" t="str">
        <f>IF(B1642&lt;&gt;"",IF(_xlfn.IFNA(VLOOKUP(B1642,OmsControlTable!T:T,1,0),"尚未處理")&lt;&gt;"尚未處理","已處理","尚未處理"),"")</f>
        <v/>
      </c>
      <c r="B1642" s="2"/>
      <c r="C1642" s="2"/>
      <c r="D1642" s="2"/>
      <c r="E1642" s="2"/>
    </row>
    <row r="1643" spans="1:5" x14ac:dyDescent="0.25">
      <c r="A1643" s="2" t="str">
        <f>IF(B1643&lt;&gt;"",IF(_xlfn.IFNA(VLOOKUP(B1643,OmsControlTable!T:T,1,0),"尚未處理")&lt;&gt;"尚未處理","已處理","尚未處理"),"")</f>
        <v/>
      </c>
      <c r="B1643" s="2"/>
      <c r="C1643" s="2"/>
      <c r="D1643" s="2"/>
      <c r="E1643" s="2"/>
    </row>
    <row r="1644" spans="1:5" x14ac:dyDescent="0.25">
      <c r="A1644" s="2" t="str">
        <f>IF(B1644&lt;&gt;"",IF(_xlfn.IFNA(VLOOKUP(B1644,OmsControlTable!T:T,1,0),"尚未處理")&lt;&gt;"尚未處理","已處理","尚未處理"),"")</f>
        <v/>
      </c>
      <c r="B1644" s="2"/>
      <c r="C1644" s="2"/>
      <c r="D1644" s="2"/>
      <c r="E1644" s="2"/>
    </row>
    <row r="1645" spans="1:5" x14ac:dyDescent="0.25">
      <c r="A1645" s="2" t="str">
        <f>IF(B1645&lt;&gt;"",IF(_xlfn.IFNA(VLOOKUP(B1645,OmsControlTable!T:T,1,0),"尚未處理")&lt;&gt;"尚未處理","已處理","尚未處理"),"")</f>
        <v/>
      </c>
      <c r="B1645" s="2"/>
      <c r="C1645" s="2"/>
      <c r="D1645" s="2"/>
      <c r="E1645" s="2"/>
    </row>
    <row r="1646" spans="1:5" x14ac:dyDescent="0.25">
      <c r="A1646" s="2" t="str">
        <f>IF(B1646&lt;&gt;"",IF(_xlfn.IFNA(VLOOKUP(B1646,OmsControlTable!T:T,1,0),"尚未處理")&lt;&gt;"尚未處理","已處理","尚未處理"),"")</f>
        <v/>
      </c>
      <c r="B1646" s="2"/>
      <c r="C1646" s="2"/>
      <c r="D1646" s="2"/>
      <c r="E1646" s="2"/>
    </row>
    <row r="1647" spans="1:5" x14ac:dyDescent="0.25">
      <c r="A1647" s="2" t="str">
        <f>IF(B1647&lt;&gt;"",IF(_xlfn.IFNA(VLOOKUP(B1647,OmsControlTable!T:T,1,0),"尚未處理")&lt;&gt;"尚未處理","已處理","尚未處理"),"")</f>
        <v/>
      </c>
      <c r="B1647" s="2"/>
      <c r="C1647" s="2"/>
      <c r="D1647" s="2"/>
      <c r="E1647" s="2"/>
    </row>
    <row r="1648" spans="1:5" x14ac:dyDescent="0.25">
      <c r="A1648" s="2" t="str">
        <f>IF(B1648&lt;&gt;"",IF(_xlfn.IFNA(VLOOKUP(B1648,OmsControlTable!T:T,1,0),"尚未處理")&lt;&gt;"尚未處理","已處理","尚未處理"),"")</f>
        <v/>
      </c>
      <c r="B1648" s="2"/>
      <c r="C1648" s="2"/>
      <c r="D1648" s="2"/>
      <c r="E1648" s="2"/>
    </row>
    <row r="1649" spans="1:5" x14ac:dyDescent="0.25">
      <c r="A1649" s="2" t="str">
        <f>IF(B1649&lt;&gt;"",IF(_xlfn.IFNA(VLOOKUP(B1649,OmsControlTable!T:T,1,0),"尚未處理")&lt;&gt;"尚未處理","已處理","尚未處理"),"")</f>
        <v/>
      </c>
      <c r="B1649" s="2"/>
      <c r="C1649" s="2"/>
      <c r="D1649" s="2"/>
      <c r="E1649" s="2"/>
    </row>
    <row r="1650" spans="1:5" x14ac:dyDescent="0.25">
      <c r="A1650" s="2" t="str">
        <f>IF(B1650&lt;&gt;"",IF(_xlfn.IFNA(VLOOKUP(B1650,OmsControlTable!T:T,1,0),"尚未處理")&lt;&gt;"尚未處理","已處理","尚未處理"),"")</f>
        <v/>
      </c>
      <c r="B1650" s="2"/>
      <c r="C1650" s="2"/>
      <c r="D1650" s="2"/>
      <c r="E1650" s="2"/>
    </row>
    <row r="1651" spans="1:5" x14ac:dyDescent="0.25">
      <c r="A1651" s="2" t="str">
        <f>IF(B1651&lt;&gt;"",IF(_xlfn.IFNA(VLOOKUP(B1651,OmsControlTable!T:T,1,0),"尚未處理")&lt;&gt;"尚未處理","已處理","尚未處理"),"")</f>
        <v/>
      </c>
      <c r="B1651" s="2"/>
      <c r="C1651" s="2"/>
      <c r="D1651" s="2"/>
      <c r="E1651" s="2"/>
    </row>
    <row r="1652" spans="1:5" x14ac:dyDescent="0.25">
      <c r="A1652" s="2" t="str">
        <f>IF(B1652&lt;&gt;"",IF(_xlfn.IFNA(VLOOKUP(B1652,OmsControlTable!T:T,1,0),"尚未處理")&lt;&gt;"尚未處理","已處理","尚未處理"),"")</f>
        <v/>
      </c>
      <c r="B1652" s="2"/>
      <c r="C1652" s="2"/>
      <c r="D1652" s="2"/>
      <c r="E1652" s="2"/>
    </row>
    <row r="1653" spans="1:5" x14ac:dyDescent="0.25">
      <c r="A1653" s="2" t="str">
        <f>IF(B1653&lt;&gt;"",IF(_xlfn.IFNA(VLOOKUP(B1653,OmsControlTable!T:T,1,0),"尚未處理")&lt;&gt;"尚未處理","已處理","尚未處理"),"")</f>
        <v/>
      </c>
      <c r="B1653" s="2"/>
      <c r="C1653" s="2"/>
      <c r="D1653" s="2"/>
      <c r="E1653" s="2"/>
    </row>
    <row r="1654" spans="1:5" x14ac:dyDescent="0.25">
      <c r="A1654" s="2" t="str">
        <f>IF(B1654&lt;&gt;"",IF(_xlfn.IFNA(VLOOKUP(B1654,OmsControlTable!T:T,1,0),"尚未處理")&lt;&gt;"尚未處理","已處理","尚未處理"),"")</f>
        <v/>
      </c>
      <c r="B1654" s="2"/>
      <c r="C1654" s="2"/>
      <c r="D1654" s="2"/>
      <c r="E1654" s="2"/>
    </row>
    <row r="1655" spans="1:5" x14ac:dyDescent="0.25">
      <c r="A1655" s="2" t="str">
        <f>IF(B1655&lt;&gt;"",IF(_xlfn.IFNA(VLOOKUP(B1655,OmsControlTable!T:T,1,0),"尚未處理")&lt;&gt;"尚未處理","已處理","尚未處理"),"")</f>
        <v/>
      </c>
      <c r="B1655" s="2"/>
      <c r="C1655" s="2"/>
      <c r="D1655" s="2"/>
      <c r="E1655" s="2"/>
    </row>
    <row r="1656" spans="1:5" x14ac:dyDescent="0.25">
      <c r="A1656" s="2" t="str">
        <f>IF(B1656&lt;&gt;"",IF(_xlfn.IFNA(VLOOKUP(B1656,OmsControlTable!T:T,1,0),"尚未處理")&lt;&gt;"尚未處理","已處理","尚未處理"),"")</f>
        <v/>
      </c>
      <c r="B1656" s="2"/>
      <c r="C1656" s="2"/>
      <c r="D1656" s="2"/>
      <c r="E1656" s="2"/>
    </row>
    <row r="1657" spans="1:5" x14ac:dyDescent="0.25">
      <c r="A1657" s="2" t="str">
        <f>IF(B1657&lt;&gt;"",IF(_xlfn.IFNA(VLOOKUP(B1657,OmsControlTable!T:T,1,0),"尚未處理")&lt;&gt;"尚未處理","已處理","尚未處理"),"")</f>
        <v/>
      </c>
      <c r="B1657" s="2"/>
      <c r="C1657" s="2"/>
      <c r="D1657" s="2"/>
      <c r="E1657" s="2"/>
    </row>
    <row r="1658" spans="1:5" x14ac:dyDescent="0.25">
      <c r="A1658" s="2" t="str">
        <f>IF(B1658&lt;&gt;"",IF(_xlfn.IFNA(VLOOKUP(B1658,OmsControlTable!T:T,1,0),"尚未處理")&lt;&gt;"尚未處理","已處理","尚未處理"),"")</f>
        <v/>
      </c>
      <c r="B1658" s="2"/>
      <c r="C1658" s="2"/>
      <c r="D1658" s="2"/>
      <c r="E1658" s="2"/>
    </row>
    <row r="1659" spans="1:5" x14ac:dyDescent="0.25">
      <c r="A1659" s="2" t="str">
        <f>IF(B1659&lt;&gt;"",IF(_xlfn.IFNA(VLOOKUP(B1659,OmsControlTable!T:T,1,0),"尚未處理")&lt;&gt;"尚未處理","已處理","尚未處理"),"")</f>
        <v/>
      </c>
      <c r="B1659" s="2"/>
      <c r="C1659" s="2"/>
      <c r="D1659" s="2"/>
      <c r="E1659" s="2"/>
    </row>
    <row r="1660" spans="1:5" x14ac:dyDescent="0.25">
      <c r="A1660" s="2" t="str">
        <f>IF(B1660&lt;&gt;"",IF(_xlfn.IFNA(VLOOKUP(B1660,OmsControlTable!T:T,1,0),"尚未處理")&lt;&gt;"尚未處理","已處理","尚未處理"),"")</f>
        <v/>
      </c>
      <c r="B1660" s="2"/>
      <c r="C1660" s="2"/>
      <c r="D1660" s="2"/>
      <c r="E1660" s="2"/>
    </row>
    <row r="1661" spans="1:5" x14ac:dyDescent="0.25">
      <c r="A1661" s="2" t="str">
        <f>IF(B1661&lt;&gt;"",IF(_xlfn.IFNA(VLOOKUP(B1661,OmsControlTable!T:T,1,0),"尚未處理")&lt;&gt;"尚未處理","已處理","尚未處理"),"")</f>
        <v/>
      </c>
      <c r="B1661" s="2"/>
      <c r="C1661" s="2"/>
      <c r="D1661" s="2"/>
      <c r="E1661" s="2"/>
    </row>
    <row r="1662" spans="1:5" x14ac:dyDescent="0.25">
      <c r="A1662" s="2" t="str">
        <f>IF(B1662&lt;&gt;"",IF(_xlfn.IFNA(VLOOKUP(B1662,OmsControlTable!T:T,1,0),"尚未處理")&lt;&gt;"尚未處理","已處理","尚未處理"),"")</f>
        <v/>
      </c>
      <c r="B1662" s="2"/>
      <c r="C1662" s="2"/>
      <c r="D1662" s="2"/>
      <c r="E1662" s="2"/>
    </row>
    <row r="1663" spans="1:5" x14ac:dyDescent="0.25">
      <c r="A1663" s="2" t="str">
        <f>IF(B1663&lt;&gt;"",IF(_xlfn.IFNA(VLOOKUP(B1663,OmsControlTable!T:T,1,0),"尚未處理")&lt;&gt;"尚未處理","已處理","尚未處理"),"")</f>
        <v/>
      </c>
      <c r="B1663" s="2"/>
      <c r="C1663" s="2"/>
      <c r="D1663" s="2"/>
      <c r="E1663" s="2"/>
    </row>
    <row r="1664" spans="1:5" x14ac:dyDescent="0.25">
      <c r="A1664" s="2" t="str">
        <f>IF(B1664&lt;&gt;"",IF(_xlfn.IFNA(VLOOKUP(B1664,OmsControlTable!T:T,1,0),"尚未處理")&lt;&gt;"尚未處理","已處理","尚未處理"),"")</f>
        <v/>
      </c>
      <c r="B1664" s="2"/>
      <c r="C1664" s="2"/>
      <c r="D1664" s="2"/>
      <c r="E1664" s="2"/>
    </row>
    <row r="1665" spans="1:5" x14ac:dyDescent="0.25">
      <c r="A1665" s="2" t="str">
        <f>IF(B1665&lt;&gt;"",IF(_xlfn.IFNA(VLOOKUP(B1665,OmsControlTable!T:T,1,0),"尚未處理")&lt;&gt;"尚未處理","已處理","尚未處理"),"")</f>
        <v/>
      </c>
      <c r="B1665" s="2"/>
      <c r="C1665" s="2"/>
      <c r="D1665" s="2"/>
      <c r="E1665" s="2"/>
    </row>
    <row r="1666" spans="1:5" x14ac:dyDescent="0.25">
      <c r="A1666" s="2" t="str">
        <f>IF(B1666&lt;&gt;"",IF(_xlfn.IFNA(VLOOKUP(B1666,OmsControlTable!T:T,1,0),"尚未處理")&lt;&gt;"尚未處理","已處理","尚未處理"),"")</f>
        <v/>
      </c>
      <c r="B1666" s="2"/>
      <c r="C1666" s="2"/>
      <c r="D1666" s="2"/>
      <c r="E1666" s="2"/>
    </row>
    <row r="1667" spans="1:5" x14ac:dyDescent="0.25">
      <c r="A1667" s="2" t="str">
        <f>IF(B1667&lt;&gt;"",IF(_xlfn.IFNA(VLOOKUP(B1667,OmsControlTable!T:T,1,0),"尚未處理")&lt;&gt;"尚未處理","已處理","尚未處理"),"")</f>
        <v/>
      </c>
      <c r="B1667" s="2"/>
      <c r="C1667" s="2"/>
      <c r="D1667" s="2"/>
      <c r="E1667" s="2"/>
    </row>
    <row r="1668" spans="1:5" x14ac:dyDescent="0.25">
      <c r="A1668" s="2" t="str">
        <f>IF(B1668&lt;&gt;"",IF(_xlfn.IFNA(VLOOKUP(B1668,OmsControlTable!T:T,1,0),"尚未處理")&lt;&gt;"尚未處理","已處理","尚未處理"),"")</f>
        <v/>
      </c>
      <c r="B1668" s="2"/>
      <c r="C1668" s="2"/>
      <c r="D1668" s="2"/>
      <c r="E1668" s="2"/>
    </row>
    <row r="1669" spans="1:5" x14ac:dyDescent="0.25">
      <c r="A1669" s="2" t="str">
        <f>IF(B1669&lt;&gt;"",IF(_xlfn.IFNA(VLOOKUP(B1669,OmsControlTable!T:T,1,0),"尚未處理")&lt;&gt;"尚未處理","已處理","尚未處理"),"")</f>
        <v/>
      </c>
      <c r="B1669" s="2"/>
      <c r="C1669" s="2"/>
      <c r="D1669" s="2"/>
      <c r="E1669" s="2"/>
    </row>
    <row r="1670" spans="1:5" x14ac:dyDescent="0.25">
      <c r="A1670" s="2" t="str">
        <f>IF(B1670&lt;&gt;"",IF(_xlfn.IFNA(VLOOKUP(B1670,OmsControlTable!T:T,1,0),"尚未處理")&lt;&gt;"尚未處理","已處理","尚未處理"),"")</f>
        <v/>
      </c>
      <c r="B1670" s="2"/>
      <c r="C1670" s="2"/>
      <c r="D1670" s="2"/>
      <c r="E1670" s="2"/>
    </row>
    <row r="1671" spans="1:5" x14ac:dyDescent="0.25">
      <c r="A1671" s="2" t="str">
        <f>IF(B1671&lt;&gt;"",IF(_xlfn.IFNA(VLOOKUP(B1671,OmsControlTable!T:T,1,0),"尚未處理")&lt;&gt;"尚未處理","已處理","尚未處理"),"")</f>
        <v/>
      </c>
      <c r="B1671" s="2"/>
      <c r="C1671" s="2"/>
      <c r="D1671" s="2"/>
      <c r="E1671" s="2"/>
    </row>
    <row r="1672" spans="1:5" x14ac:dyDescent="0.25">
      <c r="A1672" s="2" t="str">
        <f>IF(B1672&lt;&gt;"",IF(_xlfn.IFNA(VLOOKUP(B1672,OmsControlTable!T:T,1,0),"尚未處理")&lt;&gt;"尚未處理","已處理","尚未處理"),"")</f>
        <v/>
      </c>
      <c r="B1672" s="2"/>
      <c r="C1672" s="2"/>
      <c r="D1672" s="2"/>
      <c r="E1672" s="2"/>
    </row>
    <row r="1673" spans="1:5" x14ac:dyDescent="0.25">
      <c r="A1673" s="2" t="str">
        <f>IF(B1673&lt;&gt;"",IF(_xlfn.IFNA(VLOOKUP(B1673,OmsControlTable!T:T,1,0),"尚未處理")&lt;&gt;"尚未處理","已處理","尚未處理"),"")</f>
        <v/>
      </c>
      <c r="B1673" s="2"/>
      <c r="C1673" s="2"/>
      <c r="D1673" s="2"/>
      <c r="E1673" s="2"/>
    </row>
    <row r="1674" spans="1:5" x14ac:dyDescent="0.25">
      <c r="A1674" s="2" t="str">
        <f>IF(B1674&lt;&gt;"",IF(_xlfn.IFNA(VLOOKUP(B1674,OmsControlTable!T:T,1,0),"尚未處理")&lt;&gt;"尚未處理","已處理","尚未處理"),"")</f>
        <v/>
      </c>
      <c r="B1674" s="2"/>
      <c r="C1674" s="2"/>
      <c r="D1674" s="2"/>
      <c r="E1674" s="2"/>
    </row>
    <row r="1675" spans="1:5" x14ac:dyDescent="0.25">
      <c r="A1675" s="2" t="str">
        <f>IF(B1675&lt;&gt;"",IF(_xlfn.IFNA(VLOOKUP(B1675,OmsControlTable!T:T,1,0),"尚未處理")&lt;&gt;"尚未處理","已處理","尚未處理"),"")</f>
        <v/>
      </c>
      <c r="B1675" s="2"/>
      <c r="C1675" s="2"/>
      <c r="D1675" s="2"/>
      <c r="E1675" s="2"/>
    </row>
    <row r="1676" spans="1:5" x14ac:dyDescent="0.25">
      <c r="A1676" s="2" t="str">
        <f>IF(B1676&lt;&gt;"",IF(_xlfn.IFNA(VLOOKUP(B1676,OmsControlTable!T:T,1,0),"尚未處理")&lt;&gt;"尚未處理","已處理","尚未處理"),"")</f>
        <v/>
      </c>
      <c r="B1676" s="2"/>
      <c r="C1676" s="2"/>
      <c r="D1676" s="2"/>
      <c r="E1676" s="2"/>
    </row>
    <row r="1677" spans="1:5" x14ac:dyDescent="0.25">
      <c r="A1677" s="2" t="str">
        <f>IF(B1677&lt;&gt;"",IF(_xlfn.IFNA(VLOOKUP(B1677,OmsControlTable!T:T,1,0),"尚未處理")&lt;&gt;"尚未處理","已處理","尚未處理"),"")</f>
        <v/>
      </c>
      <c r="B1677" s="2"/>
      <c r="C1677" s="2"/>
      <c r="D1677" s="2"/>
      <c r="E1677" s="2"/>
    </row>
    <row r="1678" spans="1:5" x14ac:dyDescent="0.25">
      <c r="A1678" s="2" t="str">
        <f>IF(B1678&lt;&gt;"",IF(_xlfn.IFNA(VLOOKUP(B1678,OmsControlTable!T:T,1,0),"尚未處理")&lt;&gt;"尚未處理","已處理","尚未處理"),"")</f>
        <v/>
      </c>
      <c r="B1678" s="2"/>
      <c r="C1678" s="2"/>
      <c r="D1678" s="2"/>
      <c r="E1678" s="2"/>
    </row>
    <row r="1679" spans="1:5" x14ac:dyDescent="0.25">
      <c r="A1679" s="2" t="str">
        <f>IF(B1679&lt;&gt;"",IF(_xlfn.IFNA(VLOOKUP(B1679,OmsControlTable!T:T,1,0),"尚未處理")&lt;&gt;"尚未處理","已處理","尚未處理"),"")</f>
        <v/>
      </c>
      <c r="B1679" s="2"/>
      <c r="C1679" s="2"/>
      <c r="D1679" s="2"/>
      <c r="E1679" s="2"/>
    </row>
    <row r="1680" spans="1:5" x14ac:dyDescent="0.25">
      <c r="A1680" s="2" t="str">
        <f>IF(B1680&lt;&gt;"",IF(_xlfn.IFNA(VLOOKUP(B1680,OmsControlTable!T:T,1,0),"尚未處理")&lt;&gt;"尚未處理","已處理","尚未處理"),"")</f>
        <v/>
      </c>
      <c r="B1680" s="2"/>
      <c r="C1680" s="2"/>
      <c r="D1680" s="2"/>
      <c r="E1680" s="2"/>
    </row>
    <row r="1681" spans="1:5" x14ac:dyDescent="0.25">
      <c r="A1681" s="2" t="str">
        <f>IF(B1681&lt;&gt;"",IF(_xlfn.IFNA(VLOOKUP(B1681,OmsControlTable!T:T,1,0),"尚未處理")&lt;&gt;"尚未處理","已處理","尚未處理"),"")</f>
        <v/>
      </c>
      <c r="B1681" s="2"/>
      <c r="C1681" s="2"/>
      <c r="D1681" s="2"/>
      <c r="E1681" s="2"/>
    </row>
    <row r="1682" spans="1:5" x14ac:dyDescent="0.25">
      <c r="A1682" s="2" t="str">
        <f>IF(B1682&lt;&gt;"",IF(_xlfn.IFNA(VLOOKUP(B1682,OmsControlTable!T:T,1,0),"尚未處理")&lt;&gt;"尚未處理","已處理","尚未處理"),"")</f>
        <v/>
      </c>
      <c r="B1682" s="2"/>
      <c r="C1682" s="2"/>
      <c r="D1682" s="2"/>
      <c r="E1682" s="2"/>
    </row>
    <row r="1683" spans="1:5" x14ac:dyDescent="0.25">
      <c r="A1683" s="2" t="str">
        <f>IF(B1683&lt;&gt;"",IF(_xlfn.IFNA(VLOOKUP(B1683,OmsControlTable!T:T,1,0),"尚未處理")&lt;&gt;"尚未處理","已處理","尚未處理"),"")</f>
        <v/>
      </c>
      <c r="B1683" s="2"/>
      <c r="C1683" s="2"/>
      <c r="D1683" s="2"/>
      <c r="E1683" s="2"/>
    </row>
    <row r="1684" spans="1:5" x14ac:dyDescent="0.25">
      <c r="A1684" s="2" t="str">
        <f>IF(B1684&lt;&gt;"",IF(_xlfn.IFNA(VLOOKUP(B1684,OmsControlTable!T:T,1,0),"尚未處理")&lt;&gt;"尚未處理","已處理","尚未處理"),"")</f>
        <v/>
      </c>
      <c r="B1684" s="2"/>
      <c r="C1684" s="2"/>
      <c r="D1684" s="2"/>
      <c r="E1684" s="2"/>
    </row>
    <row r="1685" spans="1:5" x14ac:dyDescent="0.25">
      <c r="A1685" s="2" t="str">
        <f>IF(B1685&lt;&gt;"",IF(_xlfn.IFNA(VLOOKUP(B1685,OmsControlTable!T:T,1,0),"尚未處理")&lt;&gt;"尚未處理","已處理","尚未處理"),"")</f>
        <v/>
      </c>
      <c r="B1685" s="2"/>
      <c r="C1685" s="2"/>
      <c r="D1685" s="2"/>
      <c r="E1685" s="2"/>
    </row>
    <row r="1686" spans="1:5" x14ac:dyDescent="0.25">
      <c r="A1686" s="2" t="str">
        <f>IF(B1686&lt;&gt;"",IF(_xlfn.IFNA(VLOOKUP(B1686,OmsControlTable!T:T,1,0),"尚未處理")&lt;&gt;"尚未處理","已處理","尚未處理"),"")</f>
        <v/>
      </c>
      <c r="B1686" s="2"/>
      <c r="C1686" s="2"/>
      <c r="D1686" s="2"/>
      <c r="E1686" s="2"/>
    </row>
    <row r="1687" spans="1:5" x14ac:dyDescent="0.25">
      <c r="A1687" s="2" t="str">
        <f>IF(B1687&lt;&gt;"",IF(_xlfn.IFNA(VLOOKUP(B1687,OmsControlTable!T:T,1,0),"尚未處理")&lt;&gt;"尚未處理","已處理","尚未處理"),"")</f>
        <v/>
      </c>
      <c r="B1687" s="2"/>
      <c r="C1687" s="2"/>
      <c r="D1687" s="2"/>
      <c r="E1687" s="2"/>
    </row>
    <row r="1688" spans="1:5" x14ac:dyDescent="0.25">
      <c r="A1688" s="2" t="str">
        <f>IF(B1688&lt;&gt;"",IF(_xlfn.IFNA(VLOOKUP(B1688,OmsControlTable!T:T,1,0),"尚未處理")&lt;&gt;"尚未處理","已處理","尚未處理"),"")</f>
        <v/>
      </c>
      <c r="B1688" s="2"/>
      <c r="C1688" s="2"/>
      <c r="D1688" s="2"/>
      <c r="E1688" s="2"/>
    </row>
    <row r="1689" spans="1:5" x14ac:dyDescent="0.25">
      <c r="A1689" s="2" t="str">
        <f>IF(B1689&lt;&gt;"",IF(_xlfn.IFNA(VLOOKUP(B1689,OmsControlTable!T:T,1,0),"尚未處理")&lt;&gt;"尚未處理","已處理","尚未處理"),"")</f>
        <v/>
      </c>
      <c r="B1689" s="2"/>
      <c r="C1689" s="2"/>
      <c r="D1689" s="2"/>
      <c r="E1689" s="2"/>
    </row>
    <row r="1690" spans="1:5" x14ac:dyDescent="0.25">
      <c r="A1690" s="2" t="str">
        <f>IF(B1690&lt;&gt;"",IF(_xlfn.IFNA(VLOOKUP(B1690,OmsControlTable!T:T,1,0),"尚未處理")&lt;&gt;"尚未處理","已處理","尚未處理"),"")</f>
        <v/>
      </c>
      <c r="B1690" s="2"/>
      <c r="C1690" s="2"/>
      <c r="D1690" s="2"/>
      <c r="E1690" s="2"/>
    </row>
    <row r="1691" spans="1:5" x14ac:dyDescent="0.25">
      <c r="A1691" s="2" t="str">
        <f>IF(B1691&lt;&gt;"",IF(_xlfn.IFNA(VLOOKUP(B1691,OmsControlTable!T:T,1,0),"尚未處理")&lt;&gt;"尚未處理","已處理","尚未處理"),"")</f>
        <v/>
      </c>
      <c r="B1691" s="2"/>
      <c r="C1691" s="2"/>
      <c r="D1691" s="2"/>
      <c r="E1691" s="2"/>
    </row>
    <row r="1692" spans="1:5" x14ac:dyDescent="0.25">
      <c r="A1692" s="2" t="str">
        <f>IF(B1692&lt;&gt;"",IF(_xlfn.IFNA(VLOOKUP(B1692,OmsControlTable!T:T,1,0),"尚未處理")&lt;&gt;"尚未處理","已處理","尚未處理"),"")</f>
        <v/>
      </c>
      <c r="B1692" s="2"/>
      <c r="C1692" s="2"/>
      <c r="D1692" s="2"/>
      <c r="E1692" s="2"/>
    </row>
    <row r="1693" spans="1:5" x14ac:dyDescent="0.25">
      <c r="A1693" s="2" t="str">
        <f>IF(B1693&lt;&gt;"",IF(_xlfn.IFNA(VLOOKUP(B1693,OmsControlTable!T:T,1,0),"尚未處理")&lt;&gt;"尚未處理","已處理","尚未處理"),"")</f>
        <v/>
      </c>
      <c r="B1693" s="2"/>
      <c r="C1693" s="2"/>
      <c r="D1693" s="2"/>
      <c r="E1693" s="2"/>
    </row>
    <row r="1694" spans="1:5" x14ac:dyDescent="0.25">
      <c r="A1694" s="2" t="str">
        <f>IF(B1694&lt;&gt;"",IF(_xlfn.IFNA(VLOOKUP(B1694,OmsControlTable!T:T,1,0),"尚未處理")&lt;&gt;"尚未處理","已處理","尚未處理"),"")</f>
        <v/>
      </c>
      <c r="B1694" s="2"/>
      <c r="C1694" s="2"/>
      <c r="D1694" s="2"/>
      <c r="E1694" s="2"/>
    </row>
    <row r="1695" spans="1:5" x14ac:dyDescent="0.25">
      <c r="A1695" s="2" t="str">
        <f>IF(B1695&lt;&gt;"",IF(_xlfn.IFNA(VLOOKUP(B1695,OmsControlTable!T:T,1,0),"尚未處理")&lt;&gt;"尚未處理","已處理","尚未處理"),"")</f>
        <v/>
      </c>
      <c r="B1695" s="2"/>
      <c r="C1695" s="2"/>
      <c r="D1695" s="2"/>
      <c r="E1695" s="2"/>
    </row>
    <row r="1696" spans="1:5" x14ac:dyDescent="0.25">
      <c r="A1696" s="2" t="str">
        <f>IF(B1696&lt;&gt;"",IF(_xlfn.IFNA(VLOOKUP(B1696,OmsControlTable!T:T,1,0),"尚未處理")&lt;&gt;"尚未處理","已處理","尚未處理"),"")</f>
        <v/>
      </c>
      <c r="B1696" s="2"/>
      <c r="C1696" s="2"/>
      <c r="D1696" s="2"/>
      <c r="E1696" s="2"/>
    </row>
    <row r="1697" spans="1:5" x14ac:dyDescent="0.25">
      <c r="A1697" s="2" t="str">
        <f>IF(B1697&lt;&gt;"",IF(_xlfn.IFNA(VLOOKUP(B1697,OmsControlTable!T:T,1,0),"尚未處理")&lt;&gt;"尚未處理","已處理","尚未處理"),"")</f>
        <v/>
      </c>
      <c r="B1697" s="2"/>
      <c r="C1697" s="2"/>
      <c r="D1697" s="2"/>
      <c r="E1697" s="2"/>
    </row>
    <row r="1698" spans="1:5" x14ac:dyDescent="0.25">
      <c r="A1698" s="2" t="str">
        <f>IF(B1698&lt;&gt;"",IF(_xlfn.IFNA(VLOOKUP(B1698,OmsControlTable!T:T,1,0),"尚未處理")&lt;&gt;"尚未處理","已處理","尚未處理"),"")</f>
        <v/>
      </c>
      <c r="B1698" s="2"/>
      <c r="C1698" s="2"/>
      <c r="D1698" s="2"/>
      <c r="E1698" s="2"/>
    </row>
    <row r="1699" spans="1:5" x14ac:dyDescent="0.25">
      <c r="A1699" s="2" t="str">
        <f>IF(B1699&lt;&gt;"",IF(_xlfn.IFNA(VLOOKUP(B1699,OmsControlTable!T:T,1,0),"尚未處理")&lt;&gt;"尚未處理","已處理","尚未處理"),"")</f>
        <v/>
      </c>
      <c r="B1699" s="2"/>
      <c r="C1699" s="2"/>
      <c r="D1699" s="2"/>
      <c r="E1699" s="2"/>
    </row>
    <row r="1700" spans="1:5" x14ac:dyDescent="0.25">
      <c r="A1700" s="2" t="str">
        <f>IF(B1700&lt;&gt;"",IF(_xlfn.IFNA(VLOOKUP(B1700,OmsControlTable!T:T,1,0),"尚未處理")&lt;&gt;"尚未處理","已處理","尚未處理"),"")</f>
        <v/>
      </c>
      <c r="B1700" s="2"/>
      <c r="C1700" s="2"/>
      <c r="D1700" s="2"/>
      <c r="E1700" s="2"/>
    </row>
    <row r="1701" spans="1:5" x14ac:dyDescent="0.25">
      <c r="A1701" s="2" t="str">
        <f>IF(B1701&lt;&gt;"",IF(_xlfn.IFNA(VLOOKUP(B1701,OmsControlTable!T:T,1,0),"尚未處理")&lt;&gt;"尚未處理","已處理","尚未處理"),"")</f>
        <v/>
      </c>
      <c r="B1701" s="2"/>
      <c r="C1701" s="2"/>
      <c r="D1701" s="2"/>
      <c r="E1701" s="2"/>
    </row>
    <row r="1702" spans="1:5" x14ac:dyDescent="0.25">
      <c r="A1702" s="2" t="str">
        <f>IF(B1702&lt;&gt;"",IF(_xlfn.IFNA(VLOOKUP(B1702,OmsControlTable!T:T,1,0),"尚未處理")&lt;&gt;"尚未處理","已處理","尚未處理"),"")</f>
        <v/>
      </c>
      <c r="B1702" s="2"/>
      <c r="C1702" s="2"/>
      <c r="D1702" s="2"/>
      <c r="E1702" s="2"/>
    </row>
    <row r="1703" spans="1:5" x14ac:dyDescent="0.25">
      <c r="A1703" s="2" t="str">
        <f>IF(B1703&lt;&gt;"",IF(_xlfn.IFNA(VLOOKUP(B1703,OmsControlTable!T:T,1,0),"尚未處理")&lt;&gt;"尚未處理","已處理","尚未處理"),"")</f>
        <v/>
      </c>
      <c r="B1703" s="2"/>
      <c r="C1703" s="2"/>
      <c r="D1703" s="2"/>
      <c r="E1703" s="2"/>
    </row>
    <row r="1704" spans="1:5" x14ac:dyDescent="0.25">
      <c r="A1704" s="2" t="str">
        <f>IF(B1704&lt;&gt;"",IF(_xlfn.IFNA(VLOOKUP(B1704,OmsControlTable!T:T,1,0),"尚未處理")&lt;&gt;"尚未處理","已處理","尚未處理"),"")</f>
        <v/>
      </c>
      <c r="B1704" s="2"/>
      <c r="C1704" s="2"/>
      <c r="D1704" s="2"/>
      <c r="E1704" s="2"/>
    </row>
    <row r="1705" spans="1:5" x14ac:dyDescent="0.25">
      <c r="A1705" s="2" t="str">
        <f>IF(B1705&lt;&gt;"",IF(_xlfn.IFNA(VLOOKUP(B1705,OmsControlTable!T:T,1,0),"尚未處理")&lt;&gt;"尚未處理","已處理","尚未處理"),"")</f>
        <v/>
      </c>
      <c r="B1705" s="2"/>
      <c r="C1705" s="2"/>
      <c r="D1705" s="2"/>
      <c r="E1705" s="2"/>
    </row>
    <row r="1706" spans="1:5" x14ac:dyDescent="0.25">
      <c r="A1706" s="2" t="str">
        <f>IF(B1706&lt;&gt;"",IF(_xlfn.IFNA(VLOOKUP(B1706,OmsControlTable!T:T,1,0),"尚未處理")&lt;&gt;"尚未處理","已處理","尚未處理"),"")</f>
        <v/>
      </c>
      <c r="B1706" s="2"/>
      <c r="C1706" s="2"/>
      <c r="D1706" s="2"/>
      <c r="E1706" s="2"/>
    </row>
    <row r="1707" spans="1:5" x14ac:dyDescent="0.25">
      <c r="A1707" s="2" t="str">
        <f>IF(B1707&lt;&gt;"",IF(_xlfn.IFNA(VLOOKUP(B1707,OmsControlTable!T:T,1,0),"尚未處理")&lt;&gt;"尚未處理","已處理","尚未處理"),"")</f>
        <v/>
      </c>
      <c r="B1707" s="2"/>
      <c r="C1707" s="2"/>
      <c r="D1707" s="2"/>
      <c r="E1707" s="2"/>
    </row>
    <row r="1708" spans="1:5" x14ac:dyDescent="0.25">
      <c r="A1708" s="2" t="str">
        <f>IF(B1708&lt;&gt;"",IF(_xlfn.IFNA(VLOOKUP(B1708,OmsControlTable!T:T,1,0),"尚未處理")&lt;&gt;"尚未處理","已處理","尚未處理"),"")</f>
        <v/>
      </c>
      <c r="B1708" s="2"/>
      <c r="C1708" s="2"/>
      <c r="D1708" s="2"/>
      <c r="E1708" s="2"/>
    </row>
    <row r="1709" spans="1:5" x14ac:dyDescent="0.25">
      <c r="A1709" s="2" t="str">
        <f>IF(B1709&lt;&gt;"",IF(_xlfn.IFNA(VLOOKUP(B1709,OmsControlTable!T:T,1,0),"尚未處理")&lt;&gt;"尚未處理","已處理","尚未處理"),"")</f>
        <v/>
      </c>
      <c r="B1709" s="2"/>
      <c r="C1709" s="2"/>
      <c r="D1709" s="2"/>
      <c r="E1709" s="2"/>
    </row>
    <row r="1710" spans="1:5" x14ac:dyDescent="0.25">
      <c r="A1710" s="2" t="str">
        <f>IF(B1710&lt;&gt;"",IF(_xlfn.IFNA(VLOOKUP(B1710,OmsControlTable!T:T,1,0),"尚未處理")&lt;&gt;"尚未處理","已處理","尚未處理"),"")</f>
        <v/>
      </c>
      <c r="B1710" s="2"/>
      <c r="C1710" s="2"/>
      <c r="D1710" s="2"/>
      <c r="E1710" s="2"/>
    </row>
    <row r="1711" spans="1:5" x14ac:dyDescent="0.25">
      <c r="A1711" s="2" t="str">
        <f>IF(B1711&lt;&gt;"",IF(_xlfn.IFNA(VLOOKUP(B1711,OmsControlTable!T:T,1,0),"尚未處理")&lt;&gt;"尚未處理","已處理","尚未處理"),"")</f>
        <v/>
      </c>
      <c r="B1711" s="2"/>
      <c r="C1711" s="2"/>
      <c r="D1711" s="2"/>
      <c r="E1711" s="2"/>
    </row>
    <row r="1712" spans="1:5" x14ac:dyDescent="0.25">
      <c r="A1712" s="2" t="str">
        <f>IF(B1712&lt;&gt;"",IF(_xlfn.IFNA(VLOOKUP(B1712,OmsControlTable!T:T,1,0),"尚未處理")&lt;&gt;"尚未處理","已處理","尚未處理"),"")</f>
        <v/>
      </c>
      <c r="B1712" s="2"/>
      <c r="C1712" s="2"/>
      <c r="D1712" s="2"/>
      <c r="E1712" s="2"/>
    </row>
    <row r="1713" spans="1:5" x14ac:dyDescent="0.25">
      <c r="A1713" s="2" t="str">
        <f>IF(B1713&lt;&gt;"",IF(_xlfn.IFNA(VLOOKUP(B1713,OmsControlTable!T:T,1,0),"尚未處理")&lt;&gt;"尚未處理","已處理","尚未處理"),"")</f>
        <v/>
      </c>
      <c r="B1713" s="2"/>
      <c r="C1713" s="2"/>
      <c r="D1713" s="2"/>
      <c r="E1713" s="2"/>
    </row>
    <row r="1714" spans="1:5" x14ac:dyDescent="0.25">
      <c r="A1714" s="2" t="str">
        <f>IF(B1714&lt;&gt;"",IF(_xlfn.IFNA(VLOOKUP(B1714,OmsControlTable!T:T,1,0),"尚未處理")&lt;&gt;"尚未處理","已處理","尚未處理"),"")</f>
        <v/>
      </c>
      <c r="B1714" s="2"/>
      <c r="C1714" s="2"/>
      <c r="D1714" s="2"/>
      <c r="E1714" s="2"/>
    </row>
    <row r="1715" spans="1:5" x14ac:dyDescent="0.25">
      <c r="A1715" s="2" t="str">
        <f>IF(B1715&lt;&gt;"",IF(_xlfn.IFNA(VLOOKUP(B1715,OmsControlTable!T:T,1,0),"尚未處理")&lt;&gt;"尚未處理","已處理","尚未處理"),"")</f>
        <v/>
      </c>
      <c r="B1715" s="2"/>
      <c r="C1715" s="2"/>
      <c r="D1715" s="2"/>
      <c r="E1715" s="2"/>
    </row>
    <row r="1716" spans="1:5" x14ac:dyDescent="0.25">
      <c r="A1716" s="2" t="str">
        <f>IF(B1716&lt;&gt;"",IF(_xlfn.IFNA(VLOOKUP(B1716,OmsControlTable!T:T,1,0),"尚未處理")&lt;&gt;"尚未處理","已處理","尚未處理"),"")</f>
        <v/>
      </c>
      <c r="B1716" s="2"/>
      <c r="C1716" s="2"/>
      <c r="D1716" s="2"/>
      <c r="E1716" s="2"/>
    </row>
    <row r="1717" spans="1:5" x14ac:dyDescent="0.25">
      <c r="A1717" s="2" t="str">
        <f>IF(B1717&lt;&gt;"",IF(_xlfn.IFNA(VLOOKUP(B1717,OmsControlTable!T:T,1,0),"尚未處理")&lt;&gt;"尚未處理","已處理","尚未處理"),"")</f>
        <v/>
      </c>
      <c r="B1717" s="2"/>
      <c r="C1717" s="2"/>
      <c r="D1717" s="2"/>
      <c r="E1717" s="2"/>
    </row>
    <row r="1718" spans="1:5" x14ac:dyDescent="0.25">
      <c r="A1718" s="2" t="str">
        <f>IF(B1718&lt;&gt;"",IF(_xlfn.IFNA(VLOOKUP(B1718,OmsControlTable!T:T,1,0),"尚未處理")&lt;&gt;"尚未處理","已處理","尚未處理"),"")</f>
        <v/>
      </c>
      <c r="B1718" s="2"/>
      <c r="C1718" s="2"/>
      <c r="D1718" s="2"/>
      <c r="E1718" s="2"/>
    </row>
    <row r="1719" spans="1:5" x14ac:dyDescent="0.25">
      <c r="A1719" s="2" t="str">
        <f>IF(B1719&lt;&gt;"",IF(_xlfn.IFNA(VLOOKUP(B1719,OmsControlTable!T:T,1,0),"尚未處理")&lt;&gt;"尚未處理","已處理","尚未處理"),"")</f>
        <v/>
      </c>
      <c r="B1719" s="2"/>
      <c r="C1719" s="2"/>
      <c r="D1719" s="2"/>
      <c r="E1719" s="2"/>
    </row>
    <row r="1720" spans="1:5" x14ac:dyDescent="0.25">
      <c r="A1720" s="2" t="str">
        <f>IF(B1720&lt;&gt;"",IF(_xlfn.IFNA(VLOOKUP(B1720,OmsControlTable!T:T,1,0),"尚未處理")&lt;&gt;"尚未處理","已處理","尚未處理"),"")</f>
        <v/>
      </c>
      <c r="B1720" s="2"/>
      <c r="C1720" s="2"/>
      <c r="D1720" s="2"/>
      <c r="E1720" s="2"/>
    </row>
    <row r="1721" spans="1:5" x14ac:dyDescent="0.25">
      <c r="A1721" s="2" t="str">
        <f>IF(B1721&lt;&gt;"",IF(_xlfn.IFNA(VLOOKUP(B1721,OmsControlTable!T:T,1,0),"尚未處理")&lt;&gt;"尚未處理","已處理","尚未處理"),"")</f>
        <v/>
      </c>
      <c r="B1721" s="2"/>
      <c r="C1721" s="2"/>
      <c r="D1721" s="2"/>
      <c r="E1721" s="2"/>
    </row>
    <row r="1722" spans="1:5" x14ac:dyDescent="0.25">
      <c r="A1722" s="2" t="str">
        <f>IF(B1722&lt;&gt;"",IF(_xlfn.IFNA(VLOOKUP(B1722,OmsControlTable!T:T,1,0),"尚未處理")&lt;&gt;"尚未處理","已處理","尚未處理"),"")</f>
        <v/>
      </c>
      <c r="B1722" s="2"/>
      <c r="C1722" s="2"/>
      <c r="D1722" s="2"/>
      <c r="E1722" s="2"/>
    </row>
    <row r="1723" spans="1:5" x14ac:dyDescent="0.25">
      <c r="A1723" s="2" t="str">
        <f>IF(B1723&lt;&gt;"",IF(_xlfn.IFNA(VLOOKUP(B1723,OmsControlTable!T:T,1,0),"尚未處理")&lt;&gt;"尚未處理","已處理","尚未處理"),"")</f>
        <v/>
      </c>
      <c r="B1723" s="2"/>
      <c r="C1723" s="2"/>
      <c r="D1723" s="2"/>
      <c r="E1723" s="2"/>
    </row>
    <row r="1724" spans="1:5" x14ac:dyDescent="0.25">
      <c r="A1724" s="2" t="str">
        <f>IF(B1724&lt;&gt;"",IF(_xlfn.IFNA(VLOOKUP(B1724,OmsControlTable!T:T,1,0),"尚未處理")&lt;&gt;"尚未處理","已處理","尚未處理"),"")</f>
        <v/>
      </c>
      <c r="B1724" s="2"/>
      <c r="C1724" s="2"/>
      <c r="D1724" s="2"/>
      <c r="E1724" s="2"/>
    </row>
    <row r="1725" spans="1:5" x14ac:dyDescent="0.25">
      <c r="A1725" s="2" t="str">
        <f>IF(B1725&lt;&gt;"",IF(_xlfn.IFNA(VLOOKUP(B1725,OmsControlTable!T:T,1,0),"尚未處理")&lt;&gt;"尚未處理","已處理","尚未處理"),"")</f>
        <v/>
      </c>
      <c r="B1725" s="2"/>
      <c r="C1725" s="2"/>
      <c r="D1725" s="2"/>
      <c r="E1725" s="2"/>
    </row>
    <row r="1726" spans="1:5" x14ac:dyDescent="0.25">
      <c r="A1726" s="2" t="str">
        <f>IF(B1726&lt;&gt;"",IF(_xlfn.IFNA(VLOOKUP(B1726,OmsControlTable!T:T,1,0),"尚未處理")&lt;&gt;"尚未處理","已處理","尚未處理"),"")</f>
        <v/>
      </c>
      <c r="B1726" s="2"/>
      <c r="C1726" s="2"/>
      <c r="D1726" s="2"/>
      <c r="E1726" s="2"/>
    </row>
    <row r="1727" spans="1:5" x14ac:dyDescent="0.25">
      <c r="A1727" s="2" t="str">
        <f>IF(B1727&lt;&gt;"",IF(_xlfn.IFNA(VLOOKUP(B1727,OmsControlTable!T:T,1,0),"尚未處理")&lt;&gt;"尚未處理","已處理","尚未處理"),"")</f>
        <v/>
      </c>
      <c r="B1727" s="2"/>
      <c r="C1727" s="2"/>
      <c r="D1727" s="2"/>
      <c r="E1727" s="2"/>
    </row>
    <row r="1728" spans="1:5" x14ac:dyDescent="0.25">
      <c r="A1728" s="2" t="str">
        <f>IF(B1728&lt;&gt;"",IF(_xlfn.IFNA(VLOOKUP(B1728,OmsControlTable!T:T,1,0),"尚未處理")&lt;&gt;"尚未處理","已處理","尚未處理"),"")</f>
        <v/>
      </c>
      <c r="B1728" s="2"/>
      <c r="C1728" s="2"/>
      <c r="D1728" s="2"/>
      <c r="E1728" s="2"/>
    </row>
    <row r="1729" spans="1:5" x14ac:dyDescent="0.25">
      <c r="A1729" s="2" t="str">
        <f>IF(B1729&lt;&gt;"",IF(_xlfn.IFNA(VLOOKUP(B1729,OmsControlTable!T:T,1,0),"尚未處理")&lt;&gt;"尚未處理","已處理","尚未處理"),"")</f>
        <v/>
      </c>
      <c r="B1729" s="2"/>
      <c r="C1729" s="2"/>
      <c r="D1729" s="2"/>
      <c r="E1729" s="2"/>
    </row>
    <row r="1730" spans="1:5" x14ac:dyDescent="0.25">
      <c r="A1730" s="2" t="str">
        <f>IF(B1730&lt;&gt;"",IF(_xlfn.IFNA(VLOOKUP(B1730,OmsControlTable!T:T,1,0),"尚未處理")&lt;&gt;"尚未處理","已處理","尚未處理"),"")</f>
        <v/>
      </c>
      <c r="B1730" s="2"/>
      <c r="C1730" s="2"/>
      <c r="D1730" s="2"/>
      <c r="E1730" s="2"/>
    </row>
    <row r="1731" spans="1:5" x14ac:dyDescent="0.25">
      <c r="A1731" s="2" t="str">
        <f>IF(B1731&lt;&gt;"",IF(_xlfn.IFNA(VLOOKUP(B1731,OmsControlTable!T:T,1,0),"尚未處理")&lt;&gt;"尚未處理","已處理","尚未處理"),"")</f>
        <v/>
      </c>
      <c r="B1731" s="2"/>
      <c r="C1731" s="2"/>
      <c r="D1731" s="2"/>
      <c r="E1731" s="2"/>
    </row>
    <row r="1732" spans="1:5" x14ac:dyDescent="0.25">
      <c r="A1732" s="2" t="str">
        <f>IF(B1732&lt;&gt;"",IF(_xlfn.IFNA(VLOOKUP(B1732,OmsControlTable!T:T,1,0),"尚未處理")&lt;&gt;"尚未處理","已處理","尚未處理"),"")</f>
        <v/>
      </c>
      <c r="B1732" s="2"/>
      <c r="C1732" s="2"/>
      <c r="D1732" s="2"/>
      <c r="E1732" s="2"/>
    </row>
    <row r="1733" spans="1:5" x14ac:dyDescent="0.25">
      <c r="A1733" s="2" t="str">
        <f>IF(B1733&lt;&gt;"",IF(_xlfn.IFNA(VLOOKUP(B1733,OmsControlTable!T:T,1,0),"尚未處理")&lt;&gt;"尚未處理","已處理","尚未處理"),"")</f>
        <v/>
      </c>
      <c r="B1733" s="2"/>
      <c r="C1733" s="2"/>
      <c r="D1733" s="2"/>
      <c r="E1733" s="2"/>
    </row>
    <row r="1734" spans="1:5" x14ac:dyDescent="0.25">
      <c r="A1734" s="2" t="str">
        <f>IF(B1734&lt;&gt;"",IF(_xlfn.IFNA(VLOOKUP(B1734,OmsControlTable!T:T,1,0),"尚未處理")&lt;&gt;"尚未處理","已處理","尚未處理"),"")</f>
        <v/>
      </c>
      <c r="B1734" s="2"/>
      <c r="C1734" s="2"/>
      <c r="D1734" s="2"/>
      <c r="E1734" s="2"/>
    </row>
    <row r="1735" spans="1:5" x14ac:dyDescent="0.25">
      <c r="A1735" s="2" t="str">
        <f>IF(B1735&lt;&gt;"",IF(_xlfn.IFNA(VLOOKUP(B1735,OmsControlTable!T:T,1,0),"尚未處理")&lt;&gt;"尚未處理","已處理","尚未處理"),"")</f>
        <v/>
      </c>
      <c r="B1735" s="2"/>
      <c r="C1735" s="2"/>
      <c r="D1735" s="2"/>
      <c r="E1735" s="2"/>
    </row>
    <row r="1736" spans="1:5" x14ac:dyDescent="0.25">
      <c r="A1736" s="2" t="str">
        <f>IF(B1736&lt;&gt;"",IF(_xlfn.IFNA(VLOOKUP(B1736,OmsControlTable!T:T,1,0),"尚未處理")&lt;&gt;"尚未處理","已處理","尚未處理"),"")</f>
        <v/>
      </c>
      <c r="B1736" s="2"/>
      <c r="C1736" s="2"/>
      <c r="D1736" s="2"/>
      <c r="E1736" s="2"/>
    </row>
    <row r="1737" spans="1:5" x14ac:dyDescent="0.25">
      <c r="A1737" s="2" t="str">
        <f>IF(B1737&lt;&gt;"",IF(_xlfn.IFNA(VLOOKUP(B1737,OmsControlTable!T:T,1,0),"尚未處理")&lt;&gt;"尚未處理","已處理","尚未處理"),"")</f>
        <v/>
      </c>
      <c r="B1737" s="2"/>
      <c r="C1737" s="2"/>
      <c r="D1737" s="2"/>
      <c r="E1737" s="2"/>
    </row>
    <row r="1738" spans="1:5" x14ac:dyDescent="0.25">
      <c r="A1738" s="2" t="str">
        <f>IF(B1738&lt;&gt;"",IF(_xlfn.IFNA(VLOOKUP(B1738,OmsControlTable!T:T,1,0),"尚未處理")&lt;&gt;"尚未處理","已處理","尚未處理"),"")</f>
        <v/>
      </c>
      <c r="B1738" s="2"/>
      <c r="C1738" s="2"/>
      <c r="D1738" s="2"/>
      <c r="E1738" s="2"/>
    </row>
    <row r="1739" spans="1:5" x14ac:dyDescent="0.25">
      <c r="A1739" s="2" t="str">
        <f>IF(B1739&lt;&gt;"",IF(_xlfn.IFNA(VLOOKUP(B1739,OmsControlTable!T:T,1,0),"尚未處理")&lt;&gt;"尚未處理","已處理","尚未處理"),"")</f>
        <v/>
      </c>
      <c r="B1739" s="2"/>
      <c r="C1739" s="2"/>
      <c r="D1739" s="2"/>
      <c r="E1739" s="2"/>
    </row>
    <row r="1740" spans="1:5" x14ac:dyDescent="0.25">
      <c r="A1740" s="2" t="str">
        <f>IF(B1740&lt;&gt;"",IF(_xlfn.IFNA(VLOOKUP(B1740,OmsControlTable!T:T,1,0),"尚未處理")&lt;&gt;"尚未處理","已處理","尚未處理"),"")</f>
        <v/>
      </c>
      <c r="B1740" s="2"/>
      <c r="C1740" s="2"/>
      <c r="D1740" s="2"/>
      <c r="E1740" s="2"/>
    </row>
    <row r="1741" spans="1:5" x14ac:dyDescent="0.25">
      <c r="A1741" s="2" t="str">
        <f>IF(B1741&lt;&gt;"",IF(_xlfn.IFNA(VLOOKUP(B1741,OmsControlTable!T:T,1,0),"尚未處理")&lt;&gt;"尚未處理","已處理","尚未處理"),"")</f>
        <v/>
      </c>
      <c r="B1741" s="2"/>
      <c r="C1741" s="2"/>
      <c r="D1741" s="2"/>
      <c r="E1741" s="2"/>
    </row>
    <row r="1742" spans="1:5" x14ac:dyDescent="0.25">
      <c r="A1742" s="2" t="str">
        <f>IF(B1742&lt;&gt;"",IF(_xlfn.IFNA(VLOOKUP(B1742,OmsControlTable!T:T,1,0),"尚未處理")&lt;&gt;"尚未處理","已處理","尚未處理"),"")</f>
        <v/>
      </c>
      <c r="B1742" s="2"/>
      <c r="C1742" s="2"/>
      <c r="D1742" s="2"/>
      <c r="E1742" s="2"/>
    </row>
    <row r="1743" spans="1:5" x14ac:dyDescent="0.25">
      <c r="A1743" s="2" t="str">
        <f>IF(B1743&lt;&gt;"",IF(_xlfn.IFNA(VLOOKUP(B1743,OmsControlTable!T:T,1,0),"尚未處理")&lt;&gt;"尚未處理","已處理","尚未處理"),"")</f>
        <v/>
      </c>
      <c r="B1743" s="2"/>
      <c r="C1743" s="2"/>
      <c r="D1743" s="2"/>
      <c r="E1743" s="2"/>
    </row>
    <row r="1744" spans="1:5" x14ac:dyDescent="0.25">
      <c r="A1744" s="2" t="str">
        <f>IF(B1744&lt;&gt;"",IF(_xlfn.IFNA(VLOOKUP(B1744,OmsControlTable!T:T,1,0),"尚未處理")&lt;&gt;"尚未處理","已處理","尚未處理"),"")</f>
        <v/>
      </c>
      <c r="B1744" s="2"/>
      <c r="C1744" s="2"/>
      <c r="D1744" s="2"/>
      <c r="E1744" s="2"/>
    </row>
    <row r="1745" spans="1:5" x14ac:dyDescent="0.25">
      <c r="A1745" s="2" t="str">
        <f>IF(B1745&lt;&gt;"",IF(_xlfn.IFNA(VLOOKUP(B1745,OmsControlTable!T:T,1,0),"尚未處理")&lt;&gt;"尚未處理","已處理","尚未處理"),"")</f>
        <v/>
      </c>
      <c r="B1745" s="2"/>
      <c r="C1745" s="2"/>
      <c r="D1745" s="2"/>
      <c r="E1745" s="2"/>
    </row>
    <row r="1746" spans="1:5" x14ac:dyDescent="0.25">
      <c r="A1746" s="2" t="str">
        <f>IF(B1746&lt;&gt;"",IF(_xlfn.IFNA(VLOOKUP(B1746,OmsControlTable!T:T,1,0),"尚未處理")&lt;&gt;"尚未處理","已處理","尚未處理"),"")</f>
        <v/>
      </c>
      <c r="B1746" s="2"/>
      <c r="C1746" s="2"/>
      <c r="D1746" s="2"/>
      <c r="E1746" s="2"/>
    </row>
    <row r="1747" spans="1:5" x14ac:dyDescent="0.25">
      <c r="A1747" s="2" t="str">
        <f>IF(B1747&lt;&gt;"",IF(_xlfn.IFNA(VLOOKUP(B1747,OmsControlTable!T:T,1,0),"尚未處理")&lt;&gt;"尚未處理","已處理","尚未處理"),"")</f>
        <v/>
      </c>
      <c r="B1747" s="2"/>
      <c r="C1747" s="2"/>
      <c r="D1747" s="2"/>
      <c r="E1747" s="2"/>
    </row>
    <row r="1748" spans="1:5" x14ac:dyDescent="0.25">
      <c r="A1748" s="2" t="str">
        <f>IF(B1748&lt;&gt;"",IF(_xlfn.IFNA(VLOOKUP(B1748,OmsControlTable!T:T,1,0),"尚未處理")&lt;&gt;"尚未處理","已處理","尚未處理"),"")</f>
        <v/>
      </c>
      <c r="B1748" s="2"/>
      <c r="C1748" s="2"/>
      <c r="D1748" s="2"/>
      <c r="E1748" s="2"/>
    </row>
    <row r="1749" spans="1:5" x14ac:dyDescent="0.25">
      <c r="A1749" s="2" t="str">
        <f>IF(B1749&lt;&gt;"",IF(_xlfn.IFNA(VLOOKUP(B1749,OmsControlTable!T:T,1,0),"尚未處理")&lt;&gt;"尚未處理","已處理","尚未處理"),"")</f>
        <v/>
      </c>
      <c r="B1749" s="2"/>
      <c r="C1749" s="2"/>
      <c r="D1749" s="2"/>
      <c r="E1749" s="2"/>
    </row>
    <row r="1750" spans="1:5" x14ac:dyDescent="0.25">
      <c r="A1750" s="2" t="str">
        <f>IF(B1750&lt;&gt;"",IF(_xlfn.IFNA(VLOOKUP(B1750,OmsControlTable!T:T,1,0),"尚未處理")&lt;&gt;"尚未處理","已處理","尚未處理"),"")</f>
        <v/>
      </c>
      <c r="B1750" s="2"/>
      <c r="C1750" s="2"/>
      <c r="D1750" s="2"/>
      <c r="E1750" s="2"/>
    </row>
    <row r="1751" spans="1:5" x14ac:dyDescent="0.25">
      <c r="A1751" s="2" t="str">
        <f>IF(B1751&lt;&gt;"",IF(_xlfn.IFNA(VLOOKUP(B1751,OmsControlTable!T:T,1,0),"尚未處理")&lt;&gt;"尚未處理","已處理","尚未處理"),"")</f>
        <v/>
      </c>
      <c r="B1751" s="2"/>
      <c r="C1751" s="2"/>
      <c r="D1751" s="2"/>
      <c r="E1751" s="2"/>
    </row>
    <row r="1752" spans="1:5" x14ac:dyDescent="0.25">
      <c r="A1752" s="2" t="str">
        <f>IF(B1752&lt;&gt;"",IF(_xlfn.IFNA(VLOOKUP(B1752,OmsControlTable!T:T,1,0),"尚未處理")&lt;&gt;"尚未處理","已處理","尚未處理"),"")</f>
        <v/>
      </c>
      <c r="B1752" s="2"/>
      <c r="C1752" s="2"/>
      <c r="D1752" s="2"/>
      <c r="E1752" s="2"/>
    </row>
    <row r="1753" spans="1:5" x14ac:dyDescent="0.25">
      <c r="A1753" s="2" t="str">
        <f>IF(B1753&lt;&gt;"",IF(_xlfn.IFNA(VLOOKUP(B1753,OmsControlTable!T:T,1,0),"尚未處理")&lt;&gt;"尚未處理","已處理","尚未處理"),"")</f>
        <v/>
      </c>
      <c r="B1753" s="2"/>
      <c r="C1753" s="2"/>
      <c r="D1753" s="2"/>
      <c r="E1753" s="2"/>
    </row>
    <row r="1754" spans="1:5" x14ac:dyDescent="0.25">
      <c r="A1754" s="2" t="str">
        <f>IF(B1754&lt;&gt;"",IF(_xlfn.IFNA(VLOOKUP(B1754,OmsControlTable!T:T,1,0),"尚未處理")&lt;&gt;"尚未處理","已處理","尚未處理"),"")</f>
        <v/>
      </c>
      <c r="B1754" s="2"/>
      <c r="C1754" s="2"/>
      <c r="D1754" s="2"/>
      <c r="E1754" s="2"/>
    </row>
    <row r="1755" spans="1:5" x14ac:dyDescent="0.25">
      <c r="A1755" s="2" t="str">
        <f>IF(B1755&lt;&gt;"",IF(_xlfn.IFNA(VLOOKUP(B1755,OmsControlTable!T:T,1,0),"尚未處理")&lt;&gt;"尚未處理","已處理","尚未處理"),"")</f>
        <v/>
      </c>
      <c r="B1755" s="2"/>
      <c r="C1755" s="2"/>
      <c r="D1755" s="2"/>
      <c r="E1755" s="2"/>
    </row>
    <row r="1756" spans="1:5" x14ac:dyDescent="0.25">
      <c r="A1756" s="2" t="str">
        <f>IF(B1756&lt;&gt;"",IF(_xlfn.IFNA(VLOOKUP(B1756,OmsControlTable!T:T,1,0),"尚未處理")&lt;&gt;"尚未處理","已處理","尚未處理"),"")</f>
        <v/>
      </c>
      <c r="B1756" s="2"/>
      <c r="C1756" s="2"/>
      <c r="D1756" s="2"/>
      <c r="E1756" s="2"/>
    </row>
    <row r="1757" spans="1:5" x14ac:dyDescent="0.25">
      <c r="A1757" s="2" t="str">
        <f>IF(B1757&lt;&gt;"",IF(_xlfn.IFNA(VLOOKUP(B1757,OmsControlTable!T:T,1,0),"尚未處理")&lt;&gt;"尚未處理","已處理","尚未處理"),"")</f>
        <v/>
      </c>
      <c r="B1757" s="2"/>
      <c r="C1757" s="2"/>
      <c r="D1757" s="2"/>
      <c r="E1757" s="2"/>
    </row>
    <row r="1758" spans="1:5" x14ac:dyDescent="0.25">
      <c r="A1758" s="2" t="str">
        <f>IF(B1758&lt;&gt;"",IF(_xlfn.IFNA(VLOOKUP(B1758,OmsControlTable!T:T,1,0),"尚未處理")&lt;&gt;"尚未處理","已處理","尚未處理"),"")</f>
        <v/>
      </c>
      <c r="B1758" s="2"/>
      <c r="C1758" s="2"/>
      <c r="D1758" s="2"/>
      <c r="E1758" s="2"/>
    </row>
    <row r="1759" spans="1:5" x14ac:dyDescent="0.25">
      <c r="A1759" s="2" t="str">
        <f>IF(B1759&lt;&gt;"",IF(_xlfn.IFNA(VLOOKUP(B1759,OmsControlTable!T:T,1,0),"尚未處理")&lt;&gt;"尚未處理","已處理","尚未處理"),"")</f>
        <v/>
      </c>
      <c r="B1759" s="2"/>
      <c r="C1759" s="2"/>
      <c r="D1759" s="2"/>
      <c r="E1759" s="2"/>
    </row>
    <row r="1760" spans="1:5" x14ac:dyDescent="0.25">
      <c r="A1760" s="2" t="str">
        <f>IF(B1760&lt;&gt;"",IF(_xlfn.IFNA(VLOOKUP(B1760,OmsControlTable!T:T,1,0),"尚未處理")&lt;&gt;"尚未處理","已處理","尚未處理"),"")</f>
        <v/>
      </c>
      <c r="B1760" s="2"/>
      <c r="C1760" s="2"/>
      <c r="D1760" s="2"/>
      <c r="E1760" s="2"/>
    </row>
    <row r="1761" spans="1:5" x14ac:dyDescent="0.25">
      <c r="A1761" s="2" t="str">
        <f>IF(B1761&lt;&gt;"",IF(_xlfn.IFNA(VLOOKUP(B1761,OmsControlTable!T:T,1,0),"尚未處理")&lt;&gt;"尚未處理","已處理","尚未處理"),"")</f>
        <v/>
      </c>
      <c r="B1761" s="2"/>
      <c r="C1761" s="2"/>
      <c r="D1761" s="2"/>
      <c r="E1761" s="2"/>
    </row>
    <row r="1762" spans="1:5" x14ac:dyDescent="0.25">
      <c r="A1762" s="2" t="str">
        <f>IF(B1762&lt;&gt;"",IF(_xlfn.IFNA(VLOOKUP(B1762,OmsControlTable!T:T,1,0),"尚未處理")&lt;&gt;"尚未處理","已處理","尚未處理"),"")</f>
        <v/>
      </c>
      <c r="B1762" s="2"/>
      <c r="C1762" s="2"/>
      <c r="D1762" s="2"/>
      <c r="E1762" s="2"/>
    </row>
    <row r="1763" spans="1:5" x14ac:dyDescent="0.25">
      <c r="A1763" s="2" t="str">
        <f>IF(B1763&lt;&gt;"",IF(_xlfn.IFNA(VLOOKUP(B1763,OmsControlTable!T:T,1,0),"尚未處理")&lt;&gt;"尚未處理","已處理","尚未處理"),"")</f>
        <v/>
      </c>
      <c r="B1763" s="2"/>
      <c r="C1763" s="2"/>
      <c r="D1763" s="2"/>
      <c r="E1763" s="2"/>
    </row>
    <row r="1764" spans="1:5" x14ac:dyDescent="0.25">
      <c r="A1764" s="2" t="str">
        <f>IF(B1764&lt;&gt;"",IF(_xlfn.IFNA(VLOOKUP(B1764,OmsControlTable!T:T,1,0),"尚未處理")&lt;&gt;"尚未處理","已處理","尚未處理"),"")</f>
        <v/>
      </c>
      <c r="B1764" s="2"/>
      <c r="C1764" s="2"/>
      <c r="D1764" s="2"/>
      <c r="E1764" s="2"/>
    </row>
    <row r="1765" spans="1:5" x14ac:dyDescent="0.25">
      <c r="A1765" s="2" t="str">
        <f>IF(B1765&lt;&gt;"",IF(_xlfn.IFNA(VLOOKUP(B1765,OmsControlTable!T:T,1,0),"尚未處理")&lt;&gt;"尚未處理","已處理","尚未處理"),"")</f>
        <v/>
      </c>
      <c r="B1765" s="2"/>
      <c r="C1765" s="2"/>
      <c r="D1765" s="2"/>
      <c r="E1765" s="2"/>
    </row>
    <row r="1766" spans="1:5" x14ac:dyDescent="0.25">
      <c r="A1766" s="2" t="str">
        <f>IF(B1766&lt;&gt;"",IF(_xlfn.IFNA(VLOOKUP(B1766,OmsControlTable!T:T,1,0),"尚未處理")&lt;&gt;"尚未處理","已處理","尚未處理"),"")</f>
        <v/>
      </c>
      <c r="B1766" s="2"/>
      <c r="C1766" s="2"/>
      <c r="D1766" s="2"/>
      <c r="E1766" s="2"/>
    </row>
    <row r="1767" spans="1:5" x14ac:dyDescent="0.25">
      <c r="A1767" s="2" t="str">
        <f>IF(B1767&lt;&gt;"",IF(_xlfn.IFNA(VLOOKUP(B1767,OmsControlTable!T:T,1,0),"尚未處理")&lt;&gt;"尚未處理","已處理","尚未處理"),"")</f>
        <v/>
      </c>
      <c r="B1767" s="2"/>
      <c r="C1767" s="2"/>
      <c r="D1767" s="2"/>
      <c r="E1767" s="2"/>
    </row>
    <row r="1768" spans="1:5" x14ac:dyDescent="0.25">
      <c r="A1768" s="2" t="str">
        <f>IF(B1768&lt;&gt;"",IF(_xlfn.IFNA(VLOOKUP(B1768,OmsControlTable!T:T,1,0),"尚未處理")&lt;&gt;"尚未處理","已處理","尚未處理"),"")</f>
        <v/>
      </c>
      <c r="B1768" s="2"/>
      <c r="C1768" s="2"/>
      <c r="D1768" s="2"/>
      <c r="E1768" s="2"/>
    </row>
    <row r="1769" spans="1:5" x14ac:dyDescent="0.25">
      <c r="A1769" s="2" t="str">
        <f>IF(B1769&lt;&gt;"",IF(_xlfn.IFNA(VLOOKUP(B1769,OmsControlTable!T:T,1,0),"尚未處理")&lt;&gt;"尚未處理","已處理","尚未處理"),"")</f>
        <v/>
      </c>
      <c r="B1769" s="2"/>
      <c r="C1769" s="2"/>
      <c r="D1769" s="2"/>
      <c r="E1769" s="2"/>
    </row>
    <row r="1770" spans="1:5" x14ac:dyDescent="0.25">
      <c r="A1770" s="2" t="str">
        <f>IF(B1770&lt;&gt;"",IF(_xlfn.IFNA(VLOOKUP(B1770,OmsControlTable!T:T,1,0),"尚未處理")&lt;&gt;"尚未處理","已處理","尚未處理"),"")</f>
        <v/>
      </c>
      <c r="B1770" s="2"/>
      <c r="C1770" s="2"/>
      <c r="D1770" s="2"/>
      <c r="E1770" s="2"/>
    </row>
    <row r="1771" spans="1:5" x14ac:dyDescent="0.25">
      <c r="A1771" s="2" t="str">
        <f>IF(B1771&lt;&gt;"",IF(_xlfn.IFNA(VLOOKUP(B1771,OmsControlTable!T:T,1,0),"尚未處理")&lt;&gt;"尚未處理","已處理","尚未處理"),"")</f>
        <v/>
      </c>
      <c r="B1771" s="2"/>
      <c r="C1771" s="2"/>
      <c r="D1771" s="2"/>
      <c r="E1771" s="2"/>
    </row>
    <row r="1772" spans="1:5" x14ac:dyDescent="0.25">
      <c r="A1772" s="2" t="str">
        <f>IF(B1772&lt;&gt;"",IF(_xlfn.IFNA(VLOOKUP(B1772,OmsControlTable!T:T,1,0),"尚未處理")&lt;&gt;"尚未處理","已處理","尚未處理"),"")</f>
        <v/>
      </c>
      <c r="B1772" s="2"/>
      <c r="C1772" s="2"/>
      <c r="D1772" s="2"/>
      <c r="E1772" s="2"/>
    </row>
    <row r="1773" spans="1:5" x14ac:dyDescent="0.25">
      <c r="A1773" s="2" t="str">
        <f>IF(B1773&lt;&gt;"",IF(_xlfn.IFNA(VLOOKUP(B1773,OmsControlTable!T:T,1,0),"尚未處理")&lt;&gt;"尚未處理","已處理","尚未處理"),"")</f>
        <v/>
      </c>
      <c r="B1773" s="2"/>
      <c r="C1773" s="2"/>
      <c r="D1773" s="2"/>
      <c r="E1773" s="2"/>
    </row>
    <row r="1774" spans="1:5" x14ac:dyDescent="0.25">
      <c r="A1774" s="2" t="str">
        <f>IF(B1774&lt;&gt;"",IF(_xlfn.IFNA(VLOOKUP(B1774,OmsControlTable!T:T,1,0),"尚未處理")&lt;&gt;"尚未處理","已處理","尚未處理"),"")</f>
        <v/>
      </c>
      <c r="B1774" s="2"/>
      <c r="C1774" s="2"/>
      <c r="D1774" s="2"/>
      <c r="E1774" s="2"/>
    </row>
    <row r="1775" spans="1:5" x14ac:dyDescent="0.25">
      <c r="A1775" s="2" t="str">
        <f>IF(B1775&lt;&gt;"",IF(_xlfn.IFNA(VLOOKUP(B1775,OmsControlTable!T:T,1,0),"尚未處理")&lt;&gt;"尚未處理","已處理","尚未處理"),"")</f>
        <v/>
      </c>
      <c r="B1775" s="2"/>
      <c r="C1775" s="2"/>
      <c r="D1775" s="2"/>
      <c r="E1775" s="2"/>
    </row>
    <row r="1776" spans="1:5" x14ac:dyDescent="0.25">
      <c r="A1776" s="2" t="str">
        <f>IF(B1776&lt;&gt;"",IF(_xlfn.IFNA(VLOOKUP(B1776,OmsControlTable!T:T,1,0),"尚未處理")&lt;&gt;"尚未處理","已處理","尚未處理"),"")</f>
        <v/>
      </c>
      <c r="B1776" s="2"/>
      <c r="C1776" s="2"/>
      <c r="D1776" s="2"/>
      <c r="E1776" s="2"/>
    </row>
    <row r="1777" spans="1:5" x14ac:dyDescent="0.25">
      <c r="A1777" s="2" t="str">
        <f>IF(B1777&lt;&gt;"",IF(_xlfn.IFNA(VLOOKUP(B1777,OmsControlTable!T:T,1,0),"尚未處理")&lt;&gt;"尚未處理","已處理","尚未處理"),"")</f>
        <v/>
      </c>
      <c r="B1777" s="2"/>
      <c r="C1777" s="2"/>
      <c r="D1777" s="2"/>
      <c r="E1777" s="2"/>
    </row>
    <row r="1778" spans="1:5" x14ac:dyDescent="0.25">
      <c r="A1778" s="2" t="str">
        <f>IF(B1778&lt;&gt;"",IF(_xlfn.IFNA(VLOOKUP(B1778,OmsControlTable!T:T,1,0),"尚未處理")&lt;&gt;"尚未處理","已處理","尚未處理"),"")</f>
        <v/>
      </c>
      <c r="B1778" s="2"/>
      <c r="C1778" s="2"/>
      <c r="D1778" s="2"/>
      <c r="E1778" s="2"/>
    </row>
    <row r="1779" spans="1:5" x14ac:dyDescent="0.25">
      <c r="A1779" s="2" t="str">
        <f>IF(B1779&lt;&gt;"",IF(_xlfn.IFNA(VLOOKUP(B1779,OmsControlTable!T:T,1,0),"尚未處理")&lt;&gt;"尚未處理","已處理","尚未處理"),"")</f>
        <v/>
      </c>
      <c r="B1779" s="2"/>
      <c r="C1779" s="2"/>
      <c r="D1779" s="2"/>
      <c r="E1779" s="2"/>
    </row>
    <row r="1780" spans="1:5" x14ac:dyDescent="0.25">
      <c r="A1780" s="2" t="str">
        <f>IF(B1780&lt;&gt;"",IF(_xlfn.IFNA(VLOOKUP(B1780,OmsControlTable!T:T,1,0),"尚未處理")&lt;&gt;"尚未處理","已處理","尚未處理"),"")</f>
        <v/>
      </c>
      <c r="B1780" s="2"/>
      <c r="C1780" s="2"/>
      <c r="D1780" s="2"/>
      <c r="E1780" s="2"/>
    </row>
    <row r="1781" spans="1:5" x14ac:dyDescent="0.25">
      <c r="A1781" s="2" t="str">
        <f>IF(B1781&lt;&gt;"",IF(_xlfn.IFNA(VLOOKUP(B1781,OmsControlTable!T:T,1,0),"尚未處理")&lt;&gt;"尚未處理","已處理","尚未處理"),"")</f>
        <v/>
      </c>
      <c r="B1781" s="2"/>
      <c r="C1781" s="2"/>
      <c r="D1781" s="2"/>
      <c r="E1781" s="2"/>
    </row>
    <row r="1782" spans="1:5" x14ac:dyDescent="0.25">
      <c r="A1782" s="2" t="str">
        <f>IF(B1782&lt;&gt;"",IF(_xlfn.IFNA(VLOOKUP(B1782,OmsControlTable!T:T,1,0),"尚未處理")&lt;&gt;"尚未處理","已處理","尚未處理"),"")</f>
        <v/>
      </c>
      <c r="B1782" s="2"/>
      <c r="C1782" s="2"/>
      <c r="D1782" s="2"/>
      <c r="E1782" s="2"/>
    </row>
    <row r="1783" spans="1:5" x14ac:dyDescent="0.25">
      <c r="A1783" s="2" t="str">
        <f>IF(B1783&lt;&gt;"",IF(_xlfn.IFNA(VLOOKUP(B1783,OmsControlTable!T:T,1,0),"尚未處理")&lt;&gt;"尚未處理","已處理","尚未處理"),"")</f>
        <v/>
      </c>
      <c r="B1783" s="2"/>
      <c r="C1783" s="2"/>
      <c r="D1783" s="2"/>
      <c r="E1783" s="2"/>
    </row>
    <row r="1784" spans="1:5" x14ac:dyDescent="0.25">
      <c r="A1784" s="2" t="str">
        <f>IF(B1784&lt;&gt;"",IF(_xlfn.IFNA(VLOOKUP(B1784,OmsControlTable!T:T,1,0),"尚未處理")&lt;&gt;"尚未處理","已處理","尚未處理"),"")</f>
        <v/>
      </c>
      <c r="B1784" s="2"/>
      <c r="C1784" s="2"/>
      <c r="D1784" s="2"/>
      <c r="E1784" s="2"/>
    </row>
    <row r="1785" spans="1:5" x14ac:dyDescent="0.25">
      <c r="A1785" s="2" t="str">
        <f>IF(B1785&lt;&gt;"",IF(_xlfn.IFNA(VLOOKUP(B1785,OmsControlTable!T:T,1,0),"尚未處理")&lt;&gt;"尚未處理","已處理","尚未處理"),"")</f>
        <v/>
      </c>
      <c r="B1785" s="2"/>
      <c r="C1785" s="2"/>
      <c r="D1785" s="2"/>
      <c r="E1785" s="2"/>
    </row>
    <row r="1786" spans="1:5" x14ac:dyDescent="0.25">
      <c r="A1786" s="2" t="str">
        <f>IF(B1786&lt;&gt;"",IF(_xlfn.IFNA(VLOOKUP(B1786,OmsControlTable!T:T,1,0),"尚未處理")&lt;&gt;"尚未處理","已處理","尚未處理"),"")</f>
        <v/>
      </c>
      <c r="B1786" s="2"/>
      <c r="C1786" s="2"/>
      <c r="D1786" s="2"/>
      <c r="E1786" s="2"/>
    </row>
    <row r="1787" spans="1:5" x14ac:dyDescent="0.25">
      <c r="A1787" s="2" t="str">
        <f>IF(B1787&lt;&gt;"",IF(_xlfn.IFNA(VLOOKUP(B1787,OmsControlTable!T:T,1,0),"尚未處理")&lt;&gt;"尚未處理","已處理","尚未處理"),"")</f>
        <v/>
      </c>
      <c r="B1787" s="2"/>
      <c r="C1787" s="2"/>
      <c r="D1787" s="2"/>
      <c r="E1787" s="2"/>
    </row>
    <row r="1788" spans="1:5" x14ac:dyDescent="0.25">
      <c r="A1788" s="2" t="str">
        <f>IF(B1788&lt;&gt;"",IF(_xlfn.IFNA(VLOOKUP(B1788,OmsControlTable!T:T,1,0),"尚未處理")&lt;&gt;"尚未處理","已處理","尚未處理"),"")</f>
        <v/>
      </c>
      <c r="B1788" s="2"/>
      <c r="C1788" s="2"/>
      <c r="D1788" s="2"/>
      <c r="E1788" s="2"/>
    </row>
    <row r="1789" spans="1:5" x14ac:dyDescent="0.25">
      <c r="A1789" s="2" t="str">
        <f>IF(B1789&lt;&gt;"",IF(_xlfn.IFNA(VLOOKUP(B1789,OmsControlTable!T:T,1,0),"尚未處理")&lt;&gt;"尚未處理","已處理","尚未處理"),"")</f>
        <v/>
      </c>
      <c r="B1789" s="2"/>
      <c r="C1789" s="2"/>
      <c r="D1789" s="2"/>
      <c r="E1789" s="2"/>
    </row>
    <row r="1790" spans="1:5" x14ac:dyDescent="0.25">
      <c r="A1790" s="2" t="str">
        <f>IF(B1790&lt;&gt;"",IF(_xlfn.IFNA(VLOOKUP(B1790,OmsControlTable!T:T,1,0),"尚未處理")&lt;&gt;"尚未處理","已處理","尚未處理"),"")</f>
        <v/>
      </c>
      <c r="B1790" s="2"/>
      <c r="C1790" s="2"/>
      <c r="D1790" s="2"/>
      <c r="E1790" s="2"/>
    </row>
    <row r="1791" spans="1:5" x14ac:dyDescent="0.25">
      <c r="A1791" s="2" t="str">
        <f>IF(B1791&lt;&gt;"",IF(_xlfn.IFNA(VLOOKUP(B1791,OmsControlTable!T:T,1,0),"尚未處理")&lt;&gt;"尚未處理","已處理","尚未處理"),"")</f>
        <v/>
      </c>
      <c r="B1791" s="2"/>
      <c r="C1791" s="2"/>
      <c r="D1791" s="2"/>
      <c r="E1791" s="2"/>
    </row>
    <row r="1792" spans="1:5" x14ac:dyDescent="0.25">
      <c r="A1792" s="2" t="str">
        <f>IF(B1792&lt;&gt;"",IF(_xlfn.IFNA(VLOOKUP(B1792,OmsControlTable!T:T,1,0),"尚未處理")&lt;&gt;"尚未處理","已處理","尚未處理"),"")</f>
        <v/>
      </c>
      <c r="B1792" s="2"/>
      <c r="C1792" s="2"/>
      <c r="D1792" s="2"/>
      <c r="E1792" s="2"/>
    </row>
    <row r="1793" spans="1:5" x14ac:dyDescent="0.25">
      <c r="A1793" s="2" t="str">
        <f>IF(B1793&lt;&gt;"",IF(_xlfn.IFNA(VLOOKUP(B1793,OmsControlTable!T:T,1,0),"尚未處理")&lt;&gt;"尚未處理","已處理","尚未處理"),"")</f>
        <v/>
      </c>
      <c r="B1793" s="2"/>
      <c r="C1793" s="2"/>
      <c r="D1793" s="2"/>
      <c r="E1793" s="2"/>
    </row>
    <row r="1794" spans="1:5" x14ac:dyDescent="0.25">
      <c r="A1794" s="2" t="str">
        <f>IF(B1794&lt;&gt;"",IF(_xlfn.IFNA(VLOOKUP(B1794,OmsControlTable!T:T,1,0),"尚未處理")&lt;&gt;"尚未處理","已處理","尚未處理"),"")</f>
        <v/>
      </c>
      <c r="B1794" s="2"/>
      <c r="C1794" s="2"/>
      <c r="D1794" s="2"/>
      <c r="E1794" s="2"/>
    </row>
    <row r="1795" spans="1:5" x14ac:dyDescent="0.25">
      <c r="A1795" s="2" t="str">
        <f>IF(B1795&lt;&gt;"",IF(_xlfn.IFNA(VLOOKUP(B1795,OmsControlTable!T:T,1,0),"尚未處理")&lt;&gt;"尚未處理","已處理","尚未處理"),"")</f>
        <v/>
      </c>
      <c r="B1795" s="2"/>
      <c r="C1795" s="2"/>
      <c r="D1795" s="2"/>
      <c r="E1795" s="2"/>
    </row>
    <row r="1796" spans="1:5" x14ac:dyDescent="0.25">
      <c r="A1796" s="2" t="str">
        <f>IF(B1796&lt;&gt;"",IF(_xlfn.IFNA(VLOOKUP(B1796,OmsControlTable!T:T,1,0),"尚未處理")&lt;&gt;"尚未處理","已處理","尚未處理"),"")</f>
        <v/>
      </c>
      <c r="B1796" s="2"/>
      <c r="C1796" s="2"/>
      <c r="D1796" s="2"/>
      <c r="E1796" s="2"/>
    </row>
    <row r="1797" spans="1:5" x14ac:dyDescent="0.25">
      <c r="A1797" s="2" t="str">
        <f>IF(B1797&lt;&gt;"",IF(_xlfn.IFNA(VLOOKUP(B1797,OmsControlTable!T:T,1,0),"尚未處理")&lt;&gt;"尚未處理","已處理","尚未處理"),"")</f>
        <v/>
      </c>
      <c r="B1797" s="2"/>
      <c r="C1797" s="2"/>
      <c r="D1797" s="2"/>
      <c r="E1797" s="2"/>
    </row>
    <row r="1798" spans="1:5" x14ac:dyDescent="0.25">
      <c r="A1798" s="2" t="str">
        <f>IF(B1798&lt;&gt;"",IF(_xlfn.IFNA(VLOOKUP(B1798,OmsControlTable!T:T,1,0),"尚未處理")&lt;&gt;"尚未處理","已處理","尚未處理"),"")</f>
        <v/>
      </c>
      <c r="B1798" s="2"/>
      <c r="C1798" s="2"/>
      <c r="D1798" s="2"/>
      <c r="E1798" s="2"/>
    </row>
    <row r="1799" spans="1:5" x14ac:dyDescent="0.25">
      <c r="A1799" s="2" t="str">
        <f>IF(B1799&lt;&gt;"",IF(_xlfn.IFNA(VLOOKUP(B1799,OmsControlTable!T:T,1,0),"尚未處理")&lt;&gt;"尚未處理","已處理","尚未處理"),"")</f>
        <v/>
      </c>
      <c r="B1799" s="2"/>
      <c r="C1799" s="2"/>
      <c r="D1799" s="2"/>
      <c r="E1799" s="2"/>
    </row>
    <row r="1800" spans="1:5" x14ac:dyDescent="0.25">
      <c r="A1800" s="2" t="str">
        <f>IF(B1800&lt;&gt;"",IF(_xlfn.IFNA(VLOOKUP(B1800,OmsControlTable!T:T,1,0),"尚未處理")&lt;&gt;"尚未處理","已處理","尚未處理"),"")</f>
        <v/>
      </c>
      <c r="B1800" s="2"/>
      <c r="C1800" s="2"/>
      <c r="D1800" s="2"/>
      <c r="E1800" s="2"/>
    </row>
    <row r="1801" spans="1:5" x14ac:dyDescent="0.25">
      <c r="A1801" s="2" t="str">
        <f>IF(B1801&lt;&gt;"",IF(_xlfn.IFNA(VLOOKUP(B1801,OmsControlTable!T:T,1,0),"尚未處理")&lt;&gt;"尚未處理","已處理","尚未處理"),"")</f>
        <v/>
      </c>
      <c r="B1801" s="2"/>
      <c r="C1801" s="2"/>
      <c r="D1801" s="2"/>
      <c r="E1801" s="2"/>
    </row>
    <row r="1802" spans="1:5" x14ac:dyDescent="0.25">
      <c r="A1802" s="2" t="str">
        <f>IF(B1802&lt;&gt;"",IF(_xlfn.IFNA(VLOOKUP(B1802,OmsControlTable!T:T,1,0),"尚未處理")&lt;&gt;"尚未處理","已處理","尚未處理"),"")</f>
        <v/>
      </c>
      <c r="B1802" s="2"/>
      <c r="C1802" s="2"/>
      <c r="D1802" s="2"/>
      <c r="E1802" s="2"/>
    </row>
    <row r="1803" spans="1:5" x14ac:dyDescent="0.25">
      <c r="A1803" s="2" t="str">
        <f>IF(B1803&lt;&gt;"",IF(_xlfn.IFNA(VLOOKUP(B1803,OmsControlTable!T:T,1,0),"尚未處理")&lt;&gt;"尚未處理","已處理","尚未處理"),"")</f>
        <v/>
      </c>
      <c r="B1803" s="2"/>
      <c r="C1803" s="2"/>
      <c r="D1803" s="2"/>
      <c r="E1803" s="2"/>
    </row>
    <row r="1804" spans="1:5" x14ac:dyDescent="0.25">
      <c r="A1804" s="2" t="str">
        <f>IF(B1804&lt;&gt;"",IF(_xlfn.IFNA(VLOOKUP(B1804,OmsControlTable!T:T,1,0),"尚未處理")&lt;&gt;"尚未處理","已處理","尚未處理"),"")</f>
        <v/>
      </c>
      <c r="B1804" s="2"/>
      <c r="C1804" s="2"/>
      <c r="D1804" s="2"/>
      <c r="E1804" s="2"/>
    </row>
    <row r="1805" spans="1:5" x14ac:dyDescent="0.25">
      <c r="A1805" s="2" t="str">
        <f>IF(B1805&lt;&gt;"",IF(_xlfn.IFNA(VLOOKUP(B1805,OmsControlTable!T:T,1,0),"尚未處理")&lt;&gt;"尚未處理","已處理","尚未處理"),"")</f>
        <v/>
      </c>
      <c r="B1805" s="2"/>
      <c r="C1805" s="2"/>
      <c r="D1805" s="2"/>
      <c r="E1805" s="2"/>
    </row>
    <row r="1806" spans="1:5" x14ac:dyDescent="0.25">
      <c r="A1806" s="2" t="str">
        <f>IF(B1806&lt;&gt;"",IF(_xlfn.IFNA(VLOOKUP(B1806,OmsControlTable!T:T,1,0),"尚未處理")&lt;&gt;"尚未處理","已處理","尚未處理"),"")</f>
        <v/>
      </c>
      <c r="B1806" s="2"/>
      <c r="C1806" s="2"/>
      <c r="D1806" s="2"/>
      <c r="E1806" s="2"/>
    </row>
    <row r="1807" spans="1:5" x14ac:dyDescent="0.25">
      <c r="A1807" s="2" t="str">
        <f>IF(B1807&lt;&gt;"",IF(_xlfn.IFNA(VLOOKUP(B1807,OmsControlTable!T:T,1,0),"尚未處理")&lt;&gt;"尚未處理","已處理","尚未處理"),"")</f>
        <v/>
      </c>
      <c r="B1807" s="2"/>
      <c r="C1807" s="2"/>
      <c r="D1807" s="2"/>
      <c r="E1807" s="2"/>
    </row>
    <row r="1808" spans="1:5" x14ac:dyDescent="0.25">
      <c r="A1808" s="2" t="str">
        <f>IF(B1808&lt;&gt;"",IF(_xlfn.IFNA(VLOOKUP(B1808,OmsControlTable!T:T,1,0),"尚未處理")&lt;&gt;"尚未處理","已處理","尚未處理"),"")</f>
        <v/>
      </c>
      <c r="B1808" s="2"/>
      <c r="C1808" s="2"/>
      <c r="D1808" s="2"/>
      <c r="E1808" s="2"/>
    </row>
    <row r="1809" spans="1:5" x14ac:dyDescent="0.25">
      <c r="A1809" s="2" t="str">
        <f>IF(B1809&lt;&gt;"",IF(_xlfn.IFNA(VLOOKUP(B1809,OmsControlTable!T:T,1,0),"尚未處理")&lt;&gt;"尚未處理","已處理","尚未處理"),"")</f>
        <v/>
      </c>
      <c r="B1809" s="2"/>
      <c r="C1809" s="2"/>
      <c r="D1809" s="2"/>
      <c r="E1809" s="2"/>
    </row>
    <row r="1810" spans="1:5" x14ac:dyDescent="0.25">
      <c r="A1810" s="2" t="str">
        <f>IF(B1810&lt;&gt;"",IF(_xlfn.IFNA(VLOOKUP(B1810,OmsControlTable!T:T,1,0),"尚未處理")&lt;&gt;"尚未處理","已處理","尚未處理"),"")</f>
        <v/>
      </c>
      <c r="B1810" s="2"/>
      <c r="C1810" s="2"/>
      <c r="D1810" s="2"/>
      <c r="E1810" s="2"/>
    </row>
    <row r="1811" spans="1:5" x14ac:dyDescent="0.25">
      <c r="A1811" s="2" t="str">
        <f>IF(B1811&lt;&gt;"",IF(_xlfn.IFNA(VLOOKUP(B1811,OmsControlTable!T:T,1,0),"尚未處理")&lt;&gt;"尚未處理","已處理","尚未處理"),"")</f>
        <v/>
      </c>
      <c r="B1811" s="2"/>
      <c r="C1811" s="2"/>
      <c r="D1811" s="2"/>
      <c r="E1811" s="2"/>
    </row>
    <row r="1812" spans="1:5" x14ac:dyDescent="0.25">
      <c r="A1812" s="2" t="str">
        <f>IF(B1812&lt;&gt;"",IF(_xlfn.IFNA(VLOOKUP(B1812,OmsControlTable!T:T,1,0),"尚未處理")&lt;&gt;"尚未處理","已處理","尚未處理"),"")</f>
        <v/>
      </c>
      <c r="B1812" s="2"/>
      <c r="C1812" s="2"/>
      <c r="D1812" s="2"/>
      <c r="E1812" s="2"/>
    </row>
    <row r="1813" spans="1:5" x14ac:dyDescent="0.25">
      <c r="A1813" s="2" t="str">
        <f>IF(B1813&lt;&gt;"",IF(_xlfn.IFNA(VLOOKUP(B1813,OmsControlTable!T:T,1,0),"尚未處理")&lt;&gt;"尚未處理","已處理","尚未處理"),"")</f>
        <v/>
      </c>
      <c r="B1813" s="2"/>
      <c r="C1813" s="2"/>
      <c r="D1813" s="2"/>
      <c r="E1813" s="2"/>
    </row>
    <row r="1814" spans="1:5" x14ac:dyDescent="0.25">
      <c r="A1814" s="2" t="str">
        <f>IF(B1814&lt;&gt;"",IF(_xlfn.IFNA(VLOOKUP(B1814,OmsControlTable!T:T,1,0),"尚未處理")&lt;&gt;"尚未處理","已處理","尚未處理"),"")</f>
        <v/>
      </c>
      <c r="B1814" s="2"/>
      <c r="C1814" s="2"/>
      <c r="D1814" s="2"/>
      <c r="E1814" s="2"/>
    </row>
    <row r="1815" spans="1:5" x14ac:dyDescent="0.25">
      <c r="A1815" s="2" t="str">
        <f>IF(B1815&lt;&gt;"",IF(_xlfn.IFNA(VLOOKUP(B1815,OmsControlTable!T:T,1,0),"尚未處理")&lt;&gt;"尚未處理","已處理","尚未處理"),"")</f>
        <v/>
      </c>
      <c r="B1815" s="2"/>
      <c r="C1815" s="2"/>
      <c r="D1815" s="2"/>
      <c r="E1815" s="2"/>
    </row>
    <row r="1816" spans="1:5" x14ac:dyDescent="0.25">
      <c r="A1816" s="2" t="str">
        <f>IF(B1816&lt;&gt;"",IF(_xlfn.IFNA(VLOOKUP(B1816,OmsControlTable!T:T,1,0),"尚未處理")&lt;&gt;"尚未處理","已處理","尚未處理"),"")</f>
        <v/>
      </c>
      <c r="B1816" s="2"/>
      <c r="C1816" s="2"/>
      <c r="D1816" s="2"/>
      <c r="E1816" s="2"/>
    </row>
    <row r="1817" spans="1:5" x14ac:dyDescent="0.25">
      <c r="A1817" s="2" t="str">
        <f>IF(B1817&lt;&gt;"",IF(_xlfn.IFNA(VLOOKUP(B1817,OmsControlTable!T:T,1,0),"尚未處理")&lt;&gt;"尚未處理","已處理","尚未處理"),"")</f>
        <v/>
      </c>
      <c r="B1817" s="2"/>
      <c r="C1817" s="2"/>
      <c r="D1817" s="2"/>
      <c r="E1817" s="2"/>
    </row>
    <row r="1818" spans="1:5" x14ac:dyDescent="0.25">
      <c r="A1818" s="2" t="str">
        <f>IF(B1818&lt;&gt;"",IF(_xlfn.IFNA(VLOOKUP(B1818,OmsControlTable!T:T,1,0),"尚未處理")&lt;&gt;"尚未處理","已處理","尚未處理"),"")</f>
        <v/>
      </c>
      <c r="B1818" s="2"/>
      <c r="C1818" s="2"/>
      <c r="D1818" s="2"/>
      <c r="E1818" s="2"/>
    </row>
    <row r="1819" spans="1:5" x14ac:dyDescent="0.25">
      <c r="A1819" s="2" t="str">
        <f>IF(B1819&lt;&gt;"",IF(_xlfn.IFNA(VLOOKUP(B1819,OmsControlTable!T:T,1,0),"尚未處理")&lt;&gt;"尚未處理","已處理","尚未處理"),"")</f>
        <v/>
      </c>
      <c r="B1819" s="2"/>
      <c r="C1819" s="2"/>
      <c r="D1819" s="2"/>
      <c r="E1819" s="2"/>
    </row>
    <row r="1820" spans="1:5" x14ac:dyDescent="0.25">
      <c r="A1820" s="2" t="str">
        <f>IF(B1820&lt;&gt;"",IF(_xlfn.IFNA(VLOOKUP(B1820,OmsControlTable!T:T,1,0),"尚未處理")&lt;&gt;"尚未處理","已處理","尚未處理"),"")</f>
        <v/>
      </c>
      <c r="B1820" s="2"/>
      <c r="C1820" s="2"/>
      <c r="D1820" s="2"/>
      <c r="E1820" s="2"/>
    </row>
    <row r="1821" spans="1:5" x14ac:dyDescent="0.25">
      <c r="A1821" s="2" t="str">
        <f>IF(B1821&lt;&gt;"",IF(_xlfn.IFNA(VLOOKUP(B1821,OmsControlTable!T:T,1,0),"尚未處理")&lt;&gt;"尚未處理","已處理","尚未處理"),"")</f>
        <v/>
      </c>
      <c r="B1821" s="2"/>
      <c r="C1821" s="2"/>
      <c r="D1821" s="2"/>
      <c r="E1821" s="2"/>
    </row>
    <row r="1822" spans="1:5" x14ac:dyDescent="0.25">
      <c r="A1822" s="2" t="str">
        <f>IF(B1822&lt;&gt;"",IF(_xlfn.IFNA(VLOOKUP(B1822,OmsControlTable!T:T,1,0),"尚未處理")&lt;&gt;"尚未處理","已處理","尚未處理"),"")</f>
        <v/>
      </c>
      <c r="B1822" s="2"/>
      <c r="C1822" s="2"/>
      <c r="D1822" s="2"/>
      <c r="E1822" s="2"/>
    </row>
    <row r="1823" spans="1:5" x14ac:dyDescent="0.25">
      <c r="A1823" s="2" t="str">
        <f>IF(B1823&lt;&gt;"",IF(_xlfn.IFNA(VLOOKUP(B1823,OmsControlTable!T:T,1,0),"尚未處理")&lt;&gt;"尚未處理","已處理","尚未處理"),"")</f>
        <v/>
      </c>
      <c r="B1823" s="2"/>
      <c r="C1823" s="2"/>
      <c r="D1823" s="2"/>
      <c r="E1823" s="2"/>
    </row>
    <row r="1824" spans="1:5" x14ac:dyDescent="0.25">
      <c r="A1824" s="2" t="str">
        <f>IF(B1824&lt;&gt;"",IF(_xlfn.IFNA(VLOOKUP(B1824,OmsControlTable!T:T,1,0),"尚未處理")&lt;&gt;"尚未處理","已處理","尚未處理"),"")</f>
        <v/>
      </c>
      <c r="B1824" s="2"/>
      <c r="C1824" s="2"/>
      <c r="D1824" s="2"/>
      <c r="E1824" s="2"/>
    </row>
    <row r="1825" spans="1:5" x14ac:dyDescent="0.25">
      <c r="A1825" s="2" t="str">
        <f>IF(B1825&lt;&gt;"",IF(_xlfn.IFNA(VLOOKUP(B1825,OmsControlTable!T:T,1,0),"尚未處理")&lt;&gt;"尚未處理","已處理","尚未處理"),"")</f>
        <v/>
      </c>
      <c r="B1825" s="2"/>
      <c r="C1825" s="2"/>
      <c r="D1825" s="2"/>
      <c r="E1825" s="2"/>
    </row>
    <row r="1826" spans="1:5" x14ac:dyDescent="0.25">
      <c r="A1826" s="2" t="str">
        <f>IF(B1826&lt;&gt;"",IF(_xlfn.IFNA(VLOOKUP(B1826,OmsControlTable!T:T,1,0),"尚未處理")&lt;&gt;"尚未處理","已處理","尚未處理"),"")</f>
        <v/>
      </c>
      <c r="B1826" s="2"/>
      <c r="C1826" s="2"/>
      <c r="D1826" s="2"/>
      <c r="E1826" s="2"/>
    </row>
    <row r="1827" spans="1:5" x14ac:dyDescent="0.25">
      <c r="A1827" s="2" t="str">
        <f>IF(B1827&lt;&gt;"",IF(_xlfn.IFNA(VLOOKUP(B1827,OmsControlTable!T:T,1,0),"尚未處理")&lt;&gt;"尚未處理","已處理","尚未處理"),"")</f>
        <v/>
      </c>
      <c r="B1827" s="2"/>
      <c r="C1827" s="2"/>
      <c r="D1827" s="2"/>
      <c r="E1827" s="2"/>
    </row>
    <row r="1828" spans="1:5" x14ac:dyDescent="0.25">
      <c r="A1828" s="2" t="str">
        <f>IF(B1828&lt;&gt;"",IF(_xlfn.IFNA(VLOOKUP(B1828,OmsControlTable!T:T,1,0),"尚未處理")&lt;&gt;"尚未處理","已處理","尚未處理"),"")</f>
        <v/>
      </c>
      <c r="B1828" s="2"/>
      <c r="C1828" s="2"/>
      <c r="D1828" s="2"/>
      <c r="E1828" s="2"/>
    </row>
    <row r="1829" spans="1:5" x14ac:dyDescent="0.25">
      <c r="A1829" s="2" t="str">
        <f>IF(B1829&lt;&gt;"",IF(_xlfn.IFNA(VLOOKUP(B1829,OmsControlTable!T:T,1,0),"尚未處理")&lt;&gt;"尚未處理","已處理","尚未處理"),"")</f>
        <v/>
      </c>
      <c r="B1829" s="2"/>
      <c r="C1829" s="2"/>
      <c r="D1829" s="2"/>
      <c r="E1829" s="2"/>
    </row>
  </sheetData>
  <phoneticPr fontId="1" type="noConversion"/>
  <conditionalFormatting sqref="A6:E1048576">
    <cfRule type="expression" dxfId="0" priority="2">
      <formula>IF($A6="尚未處理",1,0)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NewData">
                <anchor moveWithCells="1" sizeWithCells="1">
                  <from>
                    <xdr:col>2</xdr:col>
                    <xdr:colOff>485775</xdr:colOff>
                    <xdr:row>0</xdr:row>
                    <xdr:rowOff>171450</xdr:rowOff>
                  </from>
                  <to>
                    <xdr:col>2</xdr:col>
                    <xdr:colOff>1695450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4:A7"/>
  <sheetViews>
    <sheetView workbookViewId="0">
      <selection activeCell="H24" sqref="H24"/>
    </sheetView>
  </sheetViews>
  <sheetFormatPr defaultRowHeight="16.5" x14ac:dyDescent="0.25"/>
  <sheetData>
    <row r="4" spans="1:1" x14ac:dyDescent="0.25">
      <c r="A4" t="s">
        <v>2785</v>
      </c>
    </row>
    <row r="5" spans="1:1" x14ac:dyDescent="0.25">
      <c r="A5" t="s">
        <v>2787</v>
      </c>
    </row>
    <row r="6" spans="1:1" x14ac:dyDescent="0.25">
      <c r="A6" t="s">
        <v>2788</v>
      </c>
    </row>
    <row r="7" spans="1:1" x14ac:dyDescent="0.25">
      <c r="A7" t="s">
        <v>3471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zoomScale="55" zoomScaleNormal="55" workbookViewId="0">
      <selection activeCell="S35" sqref="S35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OmsControlTable</vt:lpstr>
      <vt:lpstr>申請CYBERARK用</vt:lpstr>
      <vt:lpstr>SQL</vt:lpstr>
      <vt:lpstr>temp2</vt:lpstr>
      <vt:lpstr>mailMemberList</vt:lpstr>
      <vt:lpstr>raw_data</vt:lpstr>
      <vt:lpstr>para</vt:lpstr>
      <vt:lpstr>交易逾時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陳仁傑18442</dc:creator>
  <cp:lastModifiedBy>陳仁傑18442</cp:lastModifiedBy>
  <dcterms:created xsi:type="dcterms:W3CDTF">2020-10-23T02:27:30Z</dcterms:created>
  <dcterms:modified xsi:type="dcterms:W3CDTF">2022-02-18T01:02:00Z</dcterms:modified>
</cp:coreProperties>
</file>